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cg22-my.sharepoint.com/personal/jose_lopez_hopesource_com_gt/Documents/Descargas/"/>
    </mc:Choice>
  </mc:AlternateContent>
  <xr:revisionPtr revIDLastSave="0" documentId="8_{100C5776-F478-417F-918A-751F11E9DD80}" xr6:coauthVersionLast="47" xr6:coauthVersionMax="47" xr10:uidLastSave="{00000000-0000-0000-0000-000000000000}"/>
  <bookViews>
    <workbookView xWindow="-108" yWindow="-108" windowWidth="23256" windowHeight="12456" xr2:uid="{0F859D3B-E419-4C9D-8772-88C2933B04FD}"/>
  </bookViews>
  <sheets>
    <sheet name="CAPITALIZACIÓ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>#REF!</definedName>
    <definedName name="\a">#REF!</definedName>
    <definedName name="\b">#REF!</definedName>
    <definedName name="\c">#N/A</definedName>
    <definedName name="\e">#N/A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r">#N/A</definedName>
    <definedName name="\t">#REF!</definedName>
    <definedName name="\w">#REF!</definedName>
    <definedName name="\y">#N/A</definedName>
    <definedName name="\z">#REF!</definedName>
    <definedName name="_____________________KKK">#REF!</definedName>
    <definedName name="_______________gf1">#REF!</definedName>
    <definedName name="_______________XI3">#REF!</definedName>
    <definedName name="______________gf1">#REF!</definedName>
    <definedName name="______________XI3">#REF!</definedName>
    <definedName name="_____________AA21">#REF!</definedName>
    <definedName name="_____________gf1">#REF!</definedName>
    <definedName name="_____________Par1">#REF!</definedName>
    <definedName name="_____________Par2">#REF!</definedName>
    <definedName name="_____________sI9">#REF!</definedName>
    <definedName name="_____________XA1">#REF!</definedName>
    <definedName name="_____________XI3">#REF!</definedName>
    <definedName name="____________AA21">#REF!</definedName>
    <definedName name="____________BB96">#REF!</definedName>
    <definedName name="____________Par1">#REF!</definedName>
    <definedName name="____________Par2">#REF!</definedName>
    <definedName name="____________sI8">#REF!</definedName>
    <definedName name="____________sI9">#REF!</definedName>
    <definedName name="____________XA1">#REF!</definedName>
    <definedName name="___________AA21">#REF!</definedName>
    <definedName name="___________BB96">#REF!</definedName>
    <definedName name="___________gf1">#REF!</definedName>
    <definedName name="___________Par1">#REF!</definedName>
    <definedName name="___________Par2">#REF!</definedName>
    <definedName name="___________sI8">#REF!</definedName>
    <definedName name="___________sI9">#REF!</definedName>
    <definedName name="___________XA1">#REF!</definedName>
    <definedName name="___________XI3">#REF!</definedName>
    <definedName name="__________AA21">#REF!</definedName>
    <definedName name="__________BB96">#REF!</definedName>
    <definedName name="__________gf1">#REF!</definedName>
    <definedName name="__________Par1">#REF!</definedName>
    <definedName name="__________Par2">#REF!</definedName>
    <definedName name="__________sI8">#REF!</definedName>
    <definedName name="__________tax1">[2]RECIBO!#REF!</definedName>
    <definedName name="__________tax2">[2]RECIBO!#REF!</definedName>
    <definedName name="__________tax3">[2]RECIBO!#REF!</definedName>
    <definedName name="__________tax4">[2]RECIBO!#REF!</definedName>
    <definedName name="__________XA1">#REF!</definedName>
    <definedName name="__________XI3">#REF!</definedName>
    <definedName name="_________AA21">#REF!</definedName>
    <definedName name="_________BB96">#REF!</definedName>
    <definedName name="_________gf1">#REF!</definedName>
    <definedName name="_________LG161">#REF!</definedName>
    <definedName name="_________LG230">#REF!</definedName>
    <definedName name="_________LG280">#REF!</definedName>
    <definedName name="_________Par1">#REF!</definedName>
    <definedName name="_________Par2">#REF!</definedName>
    <definedName name="_________sI8">#REF!</definedName>
    <definedName name="_________sI9">#REF!</definedName>
    <definedName name="_________tax1">[2]RECIBO!#REF!</definedName>
    <definedName name="_________tax2">[2]RECIBO!#REF!</definedName>
    <definedName name="_________tax3">[2]RECIBO!#REF!</definedName>
    <definedName name="_________tax4">[2]RECIBO!#REF!</definedName>
    <definedName name="_________XA1">#REF!</definedName>
    <definedName name="_________XI3">#REF!</definedName>
    <definedName name="________AA21">#REF!</definedName>
    <definedName name="________BB96">#REF!</definedName>
    <definedName name="________gf1">#REF!</definedName>
    <definedName name="________LG161">#REF!</definedName>
    <definedName name="________LG230">#REF!</definedName>
    <definedName name="________LG280">#REF!</definedName>
    <definedName name="________Par1">#REF!</definedName>
    <definedName name="________Par2">#REF!</definedName>
    <definedName name="________sI8">#REF!</definedName>
    <definedName name="________sI9">#REF!</definedName>
    <definedName name="________tax1">[2]RECIBO!#REF!</definedName>
    <definedName name="________tax2">[2]RECIBO!#REF!</definedName>
    <definedName name="________tax3">[2]RECIBO!#REF!</definedName>
    <definedName name="________tax4">[2]RECIBO!#REF!</definedName>
    <definedName name="________XA1">#REF!</definedName>
    <definedName name="________XI3">#REF!</definedName>
    <definedName name="_______AA21">#REF!</definedName>
    <definedName name="_______BB96">#REF!</definedName>
    <definedName name="_______gf1">#REF!</definedName>
    <definedName name="_______LG161">#REF!</definedName>
    <definedName name="_______LG230">#REF!</definedName>
    <definedName name="_______LG280">#REF!</definedName>
    <definedName name="_______Par1">#REF!</definedName>
    <definedName name="_______Par2">#REF!</definedName>
    <definedName name="_______sI8">#REF!</definedName>
    <definedName name="_______sI9">#REF!</definedName>
    <definedName name="_______tax1">[2]RECIBO!#REF!</definedName>
    <definedName name="_______tax2">[2]RECIBO!#REF!</definedName>
    <definedName name="_______tax3">[2]RECIBO!#REF!</definedName>
    <definedName name="_______tax4">[2]RECIBO!#REF!</definedName>
    <definedName name="_______XA1">#REF!</definedName>
    <definedName name="_______XI3">#REF!</definedName>
    <definedName name="______AA21">#REF!</definedName>
    <definedName name="______BB96">#REF!</definedName>
    <definedName name="______gf1">#REF!</definedName>
    <definedName name="______LG161">#REF!</definedName>
    <definedName name="______LG230">#REF!</definedName>
    <definedName name="______LG280">#REF!</definedName>
    <definedName name="______Par1">#REF!</definedName>
    <definedName name="______Par2">#REF!</definedName>
    <definedName name="______sI8">#REF!</definedName>
    <definedName name="______sI9">#REF!</definedName>
    <definedName name="______tax1">[2]RECIBO!#REF!</definedName>
    <definedName name="______tax2">[2]RECIBO!#REF!</definedName>
    <definedName name="______tax3">[2]RECIBO!#REF!</definedName>
    <definedName name="______tax4">[2]RECIBO!#REF!</definedName>
    <definedName name="______XA1">#REF!</definedName>
    <definedName name="______XI3">#REF!</definedName>
    <definedName name="_____AA21">#REF!</definedName>
    <definedName name="_____BB96">#REF!</definedName>
    <definedName name="_____gf1">#REF!</definedName>
    <definedName name="_____LG161">#REF!</definedName>
    <definedName name="_____LG230">#REF!</definedName>
    <definedName name="_____LG280">#REF!</definedName>
    <definedName name="_____Par1">#REF!</definedName>
    <definedName name="_____Par2">#REF!</definedName>
    <definedName name="_____sI8">#REF!</definedName>
    <definedName name="_____sI9">#REF!</definedName>
    <definedName name="_____tax1">[2]RECIBO!#REF!</definedName>
    <definedName name="_____tax2">[2]RECIBO!#REF!</definedName>
    <definedName name="_____tax3">[2]RECIBO!#REF!</definedName>
    <definedName name="_____tax4">[2]RECIBO!#REF!</definedName>
    <definedName name="_____XA1">#REF!</definedName>
    <definedName name="_____XI3">#REF!</definedName>
    <definedName name="____AA21">#REF!</definedName>
    <definedName name="____BB96">#REF!</definedName>
    <definedName name="____gf1">#REF!</definedName>
    <definedName name="____LG161">#REF!</definedName>
    <definedName name="____LG230">#REF!</definedName>
    <definedName name="____LG280">#REF!</definedName>
    <definedName name="____Par1">#REF!</definedName>
    <definedName name="____Par2">#REF!</definedName>
    <definedName name="____sI8">#REF!</definedName>
    <definedName name="____sI9">#REF!</definedName>
    <definedName name="____tax1">[2]RECIBO!#REF!</definedName>
    <definedName name="____tax2">[2]RECIBO!#REF!</definedName>
    <definedName name="____tax3">[2]RECIBO!#REF!</definedName>
    <definedName name="____tax4">[2]RECIBO!#REF!</definedName>
    <definedName name="____XA1">#REF!</definedName>
    <definedName name="____XI3">#REF!</definedName>
    <definedName name="___AA21">#REF!</definedName>
    <definedName name="___BB96">#REF!</definedName>
    <definedName name="___cif5">#REF!,#REF!,#REF!,#REF!</definedName>
    <definedName name="___gf1">#REF!</definedName>
    <definedName name="___GTO1">#REF!</definedName>
    <definedName name="___GTO2">#REF!</definedName>
    <definedName name="___LG161">#REF!</definedName>
    <definedName name="___LG230">#REF!</definedName>
    <definedName name="___LG280">#REF!</definedName>
    <definedName name="___nu2">#REF!</definedName>
    <definedName name="___nu3">#REF!</definedName>
    <definedName name="___nu4">#REF!</definedName>
    <definedName name="___nu5">#REF!</definedName>
    <definedName name="___nu6">#REF!</definedName>
    <definedName name="___nu7">#REF!</definedName>
    <definedName name="___nu8">#REF!</definedName>
    <definedName name="___Par1">#REF!</definedName>
    <definedName name="___Par2">#REF!</definedName>
    <definedName name="___res2">'[3]CONS-GS'!#REF!</definedName>
    <definedName name="___sec2">#REF!</definedName>
    <definedName name="___SEP2001">#REF!</definedName>
    <definedName name="___sI8">#REF!</definedName>
    <definedName name="___sI9">#REF!</definedName>
    <definedName name="___tax1">[2]RECIBO!#REF!</definedName>
    <definedName name="___tax2">[2]RECIBO!#REF!</definedName>
    <definedName name="___tax3">[2]RECIBO!#REF!</definedName>
    <definedName name="___tax4">[2]RECIBO!#REF!</definedName>
    <definedName name="___td2">#REF!,#REF!,#REF!,#REF!</definedName>
    <definedName name="___tp2">#REF!,#REF!,#REF!,#REF!</definedName>
    <definedName name="___un2">#REF!</definedName>
    <definedName name="___wa1">#REF!,#REF!,#REF!,#REF!</definedName>
    <definedName name="___wa2">#REF!,#REF!,#REF!,#REF!</definedName>
    <definedName name="___wa3">#REF!</definedName>
    <definedName name="___wa4">#REF!,#REF!,#REF!,#REF!</definedName>
    <definedName name="___wa5">#REF!,#REF!,#REF!,#REF!</definedName>
    <definedName name="___woa1">#REF!</definedName>
    <definedName name="___woa2">#REF!,#REF!,#REF!,#REF!</definedName>
    <definedName name="___XA1">#REF!</definedName>
    <definedName name="___XI3">#REF!</definedName>
    <definedName name="__1Sin_nombre">#REF!</definedName>
    <definedName name="__2Sin_nombre_0">#REF!</definedName>
    <definedName name="__30Sin_nombre">#REF!</definedName>
    <definedName name="__36Sin_nombre_0">#REF!</definedName>
    <definedName name="__3Sin_nombre_8">#REF!</definedName>
    <definedName name="__AA21">#REF!</definedName>
    <definedName name="__BB96">#REF!</definedName>
    <definedName name="__cif5">#REF!,#REF!,#REF!,#REF!</definedName>
    <definedName name="__gf1">#REF!</definedName>
    <definedName name="__GTO1">#REF!</definedName>
    <definedName name="__GTO2">#REF!</definedName>
    <definedName name="__LG161">#REF!</definedName>
    <definedName name="__LG230">#REF!</definedName>
    <definedName name="__LG280">#REF!</definedName>
    <definedName name="__nu2">#REF!</definedName>
    <definedName name="__nu3">#REF!</definedName>
    <definedName name="__nu4">#REF!</definedName>
    <definedName name="__nu5">#REF!</definedName>
    <definedName name="__nu6">#REF!</definedName>
    <definedName name="__nu7">#REF!</definedName>
    <definedName name="__nu8">#REF!</definedName>
    <definedName name="__Par1">#REF!</definedName>
    <definedName name="__Par2">#REF!</definedName>
    <definedName name="__res2">'[3]CONS-GS'!#REF!</definedName>
    <definedName name="__sec2">#REF!</definedName>
    <definedName name="__SEP2001">#REF!</definedName>
    <definedName name="__sI8">#REF!</definedName>
    <definedName name="__sI9">#REF!</definedName>
    <definedName name="__tax1">[2]RECIBO!#REF!</definedName>
    <definedName name="__tax2">[2]RECIBO!#REF!</definedName>
    <definedName name="__tax3">[2]RECIBO!#REF!</definedName>
    <definedName name="__tax4">[2]RECIBO!#REF!</definedName>
    <definedName name="__td2">#REF!,#REF!,#REF!,#REF!</definedName>
    <definedName name="__tp2">#REF!,#REF!,#REF!,#REF!</definedName>
    <definedName name="__un2">#REF!</definedName>
    <definedName name="__wa1">#REF!,#REF!,#REF!,#REF!</definedName>
    <definedName name="__wa2">#REF!,#REF!,#REF!,#REF!</definedName>
    <definedName name="__wa3">#REF!</definedName>
    <definedName name="__wa4">#REF!,#REF!,#REF!,#REF!</definedName>
    <definedName name="__wa5">#REF!,#REF!,#REF!,#REF!</definedName>
    <definedName name="__woa1">#REF!</definedName>
    <definedName name="__woa2">#REF!,#REF!,#REF!,#REF!</definedName>
    <definedName name="__XA1">#REF!</definedName>
    <definedName name="__XI3">#REF!</definedName>
    <definedName name="_1________________________Sin_nombre">#REF!</definedName>
    <definedName name="_1_____________Sin_nombre">#REF!</definedName>
    <definedName name="_1_Sin_nombre">#REF!</definedName>
    <definedName name="_10_____________Sin_nombre_0">#REF!</definedName>
    <definedName name="_10_________Sin_nombre">#REF!</definedName>
    <definedName name="_10__Sin_nombre">#REF!</definedName>
    <definedName name="_108Sin_nombre">#REF!</definedName>
    <definedName name="_10Sin_nombre_0">#REF!</definedName>
    <definedName name="_11____________Sin_nombre">#REF!</definedName>
    <definedName name="_11__Sin_nombre_0">#REF!</definedName>
    <definedName name="_113___Sin_nombre">#REF!</definedName>
    <definedName name="_114___Sin_nombre_8">#REF!</definedName>
    <definedName name="_11Sin_nombre">#REF!</definedName>
    <definedName name="_11Sin_nombre_8">#REF!</definedName>
    <definedName name="_12___________Sin_nombre">#REF!</definedName>
    <definedName name="_12__Sin_nombre_8">#REF!</definedName>
    <definedName name="_12A">#N/A</definedName>
    <definedName name="_12Sin_nombre">#REF!</definedName>
    <definedName name="_12Sin_nombre_0">#REF!</definedName>
    <definedName name="_13___________Sin_nombre_0">#REF!</definedName>
    <definedName name="_13_Sin_nombre">#REF!</definedName>
    <definedName name="_130__Sin_nombre">#REF!</definedName>
    <definedName name="_133Sin_nombre_0">#REF!</definedName>
    <definedName name="_135Sin_nombre_8">#REF!</definedName>
    <definedName name="_13Sin_nombre_8">#REF!</definedName>
    <definedName name="_14___________Sin_nombre_8">#REF!</definedName>
    <definedName name="_14_Sin_nombre_0">#REF!</definedName>
    <definedName name="_141">#N/A</definedName>
    <definedName name="_146__Sin_nombre_0">#REF!</definedName>
    <definedName name="_147__Sin_nombre_8">#REF!</definedName>
    <definedName name="_15__________Sin_nombre_0">#REF!</definedName>
    <definedName name="_15_________Sin_nombre_0">#REF!</definedName>
    <definedName name="_15_Sin_nombre_8">#REF!</definedName>
    <definedName name="_15Sin_nombre">#REF!</definedName>
    <definedName name="_16_____________Sin_nombre">#REF!</definedName>
    <definedName name="_16__________Sin_nombre_8">#REF!</definedName>
    <definedName name="_163_Sin_nombre">#REF!</definedName>
    <definedName name="_17_________Sin_nombre">#REF!</definedName>
    <definedName name="_179_Sin_nombre_0">#REF!</definedName>
    <definedName name="_17Sin_nombre">#REF!</definedName>
    <definedName name="_17Sin_nombre_8">#REF!</definedName>
    <definedName name="_18_________Sin_nombre_0">#REF!</definedName>
    <definedName name="_180_000.00">#REF!</definedName>
    <definedName name="_180_Sin_nombre_8">#REF!</definedName>
    <definedName name="_18Sin_nombre">#REF!</definedName>
    <definedName name="_18Sin_nombre_0">#REF!</definedName>
    <definedName name="_19">#N/A</definedName>
    <definedName name="_19_________Sin_nombre_8">#REF!</definedName>
    <definedName name="_197Sin_nombre">#REF!</definedName>
    <definedName name="_19Sin_nombre">#REF!</definedName>
    <definedName name="_19Sin_nombre_0">#REF!</definedName>
    <definedName name="_19Sin_nombre_8">#REF!</definedName>
    <definedName name="_1Sin_nombre">#REF!</definedName>
    <definedName name="_1son_apto">#REF!</definedName>
    <definedName name="_2______________________Sin_nombre">#REF!</definedName>
    <definedName name="_2_________Sin_nombre">#REF!</definedName>
    <definedName name="_2__Sin_nombre">#REF!</definedName>
    <definedName name="_20________Sin_nombre">#REF!</definedName>
    <definedName name="_20________Sin_nombre_0">#REF!</definedName>
    <definedName name="_20A">#N/A</definedName>
    <definedName name="_20Sin_nombre_0">#REF!</definedName>
    <definedName name="_21________Sin_nombre_8">#REF!</definedName>
    <definedName name="_213Sin_nombre_0">#REF!</definedName>
    <definedName name="_215Sin_nombre_8">#REF!</definedName>
    <definedName name="_21Sin_nombre_0">#REF!</definedName>
    <definedName name="_22_______Sin_nombre">#REF!</definedName>
    <definedName name="_22Sin_nombre_0">#REF!</definedName>
    <definedName name="_22Sin_nombre_8">#REF!</definedName>
    <definedName name="_23_______Sin_nombre_8">#REF!</definedName>
    <definedName name="_23Sin_nombre_0">#REF!</definedName>
    <definedName name="_23Sin_nombre_8">#REF!</definedName>
    <definedName name="_24______Sin_nombre_0">#REF!</definedName>
    <definedName name="_24Sin_nombre">#REF!</definedName>
    <definedName name="_24Sin_nombre_0">#REF!</definedName>
    <definedName name="_24Sin_nombre_8">#REF!</definedName>
    <definedName name="_25______Sin_nombre">#REF!</definedName>
    <definedName name="_25______Sin_nombre_8">#REF!</definedName>
    <definedName name="_25Sin_nombre_8">#REF!</definedName>
    <definedName name="_26_____Sin_nombre">#REF!</definedName>
    <definedName name="_27_____Sin_nombre_8">#REF!</definedName>
    <definedName name="_28____Sin_nombre_0">#REF!</definedName>
    <definedName name="_28Sin_nombre">#REF!</definedName>
    <definedName name="_29____Sin_nombre_8">#REF!</definedName>
    <definedName name="_298">#N/A</definedName>
    <definedName name="_2Sin_nombre">#REF!</definedName>
    <definedName name="_2Sin_nombre_0">#REF!</definedName>
    <definedName name="_3____________________Sin_nombre">#REF!</definedName>
    <definedName name="_3_________Sin_nombre_0">#REF!</definedName>
    <definedName name="_3__Sin_nombre_8">#REF!</definedName>
    <definedName name="_30______Sin_nombre_0">#REF!</definedName>
    <definedName name="_30___Sin_nombre_8">#REF!</definedName>
    <definedName name="_30Sin_nombre">#REF!</definedName>
    <definedName name="_31__Sin_nombre">#REF!</definedName>
    <definedName name="_32_________Sin_nombre">#REF!</definedName>
    <definedName name="_32__Sin_nombre_0">#REF!</definedName>
    <definedName name="_33_Sin_nombre">#REF!</definedName>
    <definedName name="_34_Sin_nombre_8">#REF!</definedName>
    <definedName name="_34B">#N/A</definedName>
    <definedName name="_35_____Sin_nombre_0">#REF!</definedName>
    <definedName name="_35Sin_nombre">#REF!</definedName>
    <definedName name="_35Sin_nombre_0">#REF!</definedName>
    <definedName name="_36_____Sin_nombre_8">#REF!</definedName>
    <definedName name="_36Sin_nombre_0">#REF!</definedName>
    <definedName name="_37">#N/A</definedName>
    <definedName name="_37Sin_nombre_0">#REF!</definedName>
    <definedName name="_37Sin_nombre_8">#REF!</definedName>
    <definedName name="_38Sin_nombre_0">#REF!</definedName>
    <definedName name="_39">#N/A</definedName>
    <definedName name="_390">#N/A</definedName>
    <definedName name="_39Sin_nombre_8">#REF!</definedName>
    <definedName name="_3Sin_nombre_0">#REF!</definedName>
    <definedName name="_3Sin_nombre_8">#REF!</definedName>
    <definedName name="_4__________________Sin_nombre">#REF!</definedName>
    <definedName name="_4________Sin_nombre">#REF!</definedName>
    <definedName name="_4__Sin_nombre">#REF!</definedName>
    <definedName name="_4__Sin_nombre_0">#REF!</definedName>
    <definedName name="_4_Sin_nombre">#REF!</definedName>
    <definedName name="_41____Sin_nombre">#REF!</definedName>
    <definedName name="_410">#N/A</definedName>
    <definedName name="_411">#N/A</definedName>
    <definedName name="_41Sin_nombre">#REF!</definedName>
    <definedName name="_41Sin_nombre_8">#REF!</definedName>
    <definedName name="_42">#N/A</definedName>
    <definedName name="_42Sin_nombre_8">#REF!</definedName>
    <definedName name="_44">#N/A</definedName>
    <definedName name="_46____Sin_nombre_0">#REF!</definedName>
    <definedName name="_47____Sin_nombre_8">#REF!</definedName>
    <definedName name="_48_________Sin_nombre_0">#REF!</definedName>
    <definedName name="_4Sin_nombre">#REF!</definedName>
    <definedName name="_4Sin_nombre_8">#REF!</definedName>
    <definedName name="_5_________________Sin_nombre_0">#REF!</definedName>
    <definedName name="_5_____________Sin_nombre">#REF!</definedName>
    <definedName name="_5______Sin_nombre_0">#REF!</definedName>
    <definedName name="_5_Sin_nombre_0">#REF!</definedName>
    <definedName name="_5_Sin_nombre_8">#REF!</definedName>
    <definedName name="_52___Sin_nombre">#REF!</definedName>
    <definedName name="_55">#N/A</definedName>
    <definedName name="_57___Sin_nombre_0">#REF!</definedName>
    <definedName name="_58___Sin_nombre_8">#REF!</definedName>
    <definedName name="_5Sin_nombre">#REF!</definedName>
    <definedName name="_6________________Sin_nombre">#REF!</definedName>
    <definedName name="_6_____Sin_nombre_0">#REF!</definedName>
    <definedName name="_6_Sin_nombre_8">#REF!</definedName>
    <definedName name="_63__Sin_nombre">#REF!</definedName>
    <definedName name="_64________Sin_nombre">#REF!</definedName>
    <definedName name="_68__Sin_nombre_0">#REF!</definedName>
    <definedName name="_69__Sin_nombre_8">#REF!</definedName>
    <definedName name="_6Sin_nombre_0">#REF!</definedName>
    <definedName name="_7_______________Sin_nombre_0">#REF!</definedName>
    <definedName name="_7____Sin_nombre_8">#REF!</definedName>
    <definedName name="_74">#N/A</definedName>
    <definedName name="_74_Sin_nombre">#REF!</definedName>
    <definedName name="_75">#N/A</definedName>
    <definedName name="_76">#N/A</definedName>
    <definedName name="_79_Sin_nombre_0">#REF!</definedName>
    <definedName name="_7Sin_nombre">#REF!</definedName>
    <definedName name="_7Sin_nombre_8">#REF!</definedName>
    <definedName name="_8______________Sin_nombre">#REF!</definedName>
    <definedName name="_8___Sin_nombre">#REF!</definedName>
    <definedName name="_8__Sin_nombre_0">#REF!</definedName>
    <definedName name="_80______Sin_nombre_0">#REF!</definedName>
    <definedName name="_80_Sin_nombre_8">#REF!</definedName>
    <definedName name="_80Sin_nombre_0">#REF!</definedName>
    <definedName name="_82Sin_nombre_8">#REF!</definedName>
    <definedName name="_85">#N/A</definedName>
    <definedName name="_8A">#N/A</definedName>
    <definedName name="_9_____________Sin_nombre">#REF!</definedName>
    <definedName name="_9___Sin_nombre_8">#REF!</definedName>
    <definedName name="_9_Sin_nombre_8">#REF!</definedName>
    <definedName name="_90">#N/A</definedName>
    <definedName name="_92">#N/A</definedName>
    <definedName name="_92a">'[4]Int-0400'!$A$607:$C$610</definedName>
    <definedName name="_95">#N/A</definedName>
    <definedName name="_96_____Sin_nombre_0">#REF!</definedName>
    <definedName name="_97">#N/A</definedName>
    <definedName name="_97____Sin_nombre_8">#REF!</definedName>
    <definedName name="_9Sin_nombre">#REF!</definedName>
    <definedName name="_9Sin_nombre_0">#REF!</definedName>
    <definedName name="_a">#REF!</definedName>
    <definedName name="_a___0">#REF!</definedName>
    <definedName name="_AA21">#REF!</definedName>
    <definedName name="_BB96">#REF!</definedName>
    <definedName name="_cif5">#REF!,#REF!,#REF!,#REF!</definedName>
    <definedName name="_F">#N/A</definedName>
    <definedName name="_xlnm._FilterDatabase" localSheetId="0" hidden="1">CAPITALIZACIÓN!$A$6:$G$501</definedName>
    <definedName name="_gf1">#REF!</definedName>
    <definedName name="_gil">#REF!</definedName>
    <definedName name="_GTO1">#REF!</definedName>
    <definedName name="_GTO2">#REF!</definedName>
    <definedName name="_Key1" hidden="1">#REF!</definedName>
    <definedName name="_nu2">#REF!</definedName>
    <definedName name="_nu3">#REF!</definedName>
    <definedName name="_nu4">#REF!</definedName>
    <definedName name="_nu5">#REF!</definedName>
    <definedName name="_nu6">#REF!</definedName>
    <definedName name="_nu7">#REF!</definedName>
    <definedName name="_nu8">#REF!</definedName>
    <definedName name="_Order1" hidden="1">255</definedName>
    <definedName name="_Order2" hidden="1">0</definedName>
    <definedName name="_Par1">#REF!</definedName>
    <definedName name="_Par2">#REF!</definedName>
    <definedName name="_qa">#REF!</definedName>
    <definedName name="_res2">'[3]CONS-GS'!#REF!</definedName>
    <definedName name="_sec2">#REF!</definedName>
    <definedName name="_SEP2001">#REF!</definedName>
    <definedName name="_sI8">#REF!</definedName>
    <definedName name="_sI9">#REF!</definedName>
    <definedName name="_Sort" hidden="1">#REF!</definedName>
    <definedName name="_tax1">[2]RECIBO!#REF!</definedName>
    <definedName name="_tax2">[2]RECIBO!#REF!</definedName>
    <definedName name="_tax3">[2]RECIBO!#REF!</definedName>
    <definedName name="_tax4">[2]RECIBO!#REF!</definedName>
    <definedName name="_td2">#REF!,#REF!,#REF!,#REF!</definedName>
    <definedName name="_tp2">#REF!,#REF!,#REF!,#REF!</definedName>
    <definedName name="_un2">#REF!</definedName>
    <definedName name="_wa1">#REF!,#REF!,#REF!,#REF!</definedName>
    <definedName name="_wa2">#REF!,#REF!,#REF!,#REF!</definedName>
    <definedName name="_wa3">#REF!</definedName>
    <definedName name="_wa4">#REF!,#REF!,#REF!,#REF!</definedName>
    <definedName name="_wa5">#REF!,#REF!,#REF!,#REF!</definedName>
    <definedName name="_woa1">#REF!</definedName>
    <definedName name="_woa2">#REF!,#REF!,#REF!,#REF!</definedName>
    <definedName name="_XA1">#REF!</definedName>
    <definedName name="_XI3">#REF!</definedName>
    <definedName name="_XO1" localSheetId="0">[5]!BotDiagOK</definedName>
    <definedName name="_XO1">[5]!BotDiagOK</definedName>
    <definedName name="A">#REF!</definedName>
    <definedName name="A___0">#REF!</definedName>
    <definedName name="A_impresión_IM">#REF!</definedName>
    <definedName name="a1\">#REF!</definedName>
    <definedName name="aa">[2]RECIBO!#REF!</definedName>
    <definedName name="aaa">#REF!,#REF!,#REF!,#REF!</definedName>
    <definedName name="aaaa">#REF!</definedName>
    <definedName name="AAAA7">#REF!</definedName>
    <definedName name="aaaaa">#REF!</definedName>
    <definedName name="aaaaaaaaa">[2]RECIBO!#REF!</definedName>
    <definedName name="aaaaaaaaaaaaa">#REF!</definedName>
    <definedName name="AB">#N/A</definedName>
    <definedName name="abc">#REF!</definedName>
    <definedName name="abcdd">#REF!</definedName>
    <definedName name="Abril">#REF!</definedName>
    <definedName name="ACCSER">#REF!</definedName>
    <definedName name="ACT">#REF!</definedName>
    <definedName name="adid">#REF!</definedName>
    <definedName name="Agosto">#REF!</definedName>
    <definedName name="AJUS">#REF!</definedName>
    <definedName name="Alcatel521">#REF!</definedName>
    <definedName name="ALINSA">[6]ALINSA!$A$4:$H$508</definedName>
    <definedName name="alksd">#REF!</definedName>
    <definedName name="AMARRE">#REF!</definedName>
    <definedName name="AMARRE_1">#REF!</definedName>
    <definedName name="anexo15">'[7]CIF-3'!#REF!,'[7]CIF-3'!#REF!,'[7]CIF-3'!#REF!,'[7]CIF-3'!#REF!</definedName>
    <definedName name="Anticipo_Quincena">#REF!</definedName>
    <definedName name="Años_préstamo">#REF!</definedName>
    <definedName name="aod">#REF!</definedName>
    <definedName name="aport2">#REF!</definedName>
    <definedName name="APORTE">#REF!</definedName>
    <definedName name="APOTOSW">#REF!</definedName>
    <definedName name="APTO_ID">#REF!</definedName>
    <definedName name="area">#REF!</definedName>
    <definedName name="_xlnm.Print_Area" localSheetId="0">CAPITALIZACIÓN!$A$1:$G$537</definedName>
    <definedName name="_xlnm.Print_Area">#REF!</definedName>
    <definedName name="armando">#REF!</definedName>
    <definedName name="as">#REF!</definedName>
    <definedName name="AS2DocOpenMode" hidden="1">"AS2DocumentEdit"</definedName>
    <definedName name="asdf">[2]RECIBO!#REF!</definedName>
    <definedName name="asss">#REF!</definedName>
    <definedName name="AudifonosNokia">#REF!</definedName>
    <definedName name="AUXILIAR">#REF!</definedName>
    <definedName name="avvio">#REF!</definedName>
    <definedName name="B">#REF!</definedName>
    <definedName name="B___0">#REF!</definedName>
    <definedName name="B3_">#N/A</definedName>
    <definedName name="BA">#N/A</definedName>
    <definedName name="balance">#REF!</definedName>
    <definedName name="Banabat">#REF!</definedName>
    <definedName name="_xlnm.Database">#REF!</definedName>
    <definedName name="bb">#REF!</definedName>
    <definedName name="bbb">#REF!</definedName>
    <definedName name="BETO">#REF!</definedName>
    <definedName name="BI">#REF!</definedName>
    <definedName name="BOÇ" localSheetId="0">[5]!BotDiagCancel</definedName>
    <definedName name="BOÇ">[5]!BotDiagCancel</definedName>
    <definedName name="BocinasNokia">#REF!</definedName>
    <definedName name="boixes">[2]RECIBO!#REF!</definedName>
    <definedName name="Bonificación">#REF!</definedName>
    <definedName name="Bonificación_R">#REF!</definedName>
    <definedName name="BotDiagCancel" localSheetId="0">[5]!BotDiagCancel</definedName>
    <definedName name="BotDiagCancel">[5]!BotDiagCancel</definedName>
    <definedName name="BotDiagOK" localSheetId="0">[5]!BotDiagOK</definedName>
    <definedName name="BotDiagOK">[5]!BotDiagOK</definedName>
    <definedName name="boxes">[2]RECIBO!#REF!</definedName>
    <definedName name="boxese">[2]RECIBO!#REF!</definedName>
    <definedName name="boxess">[2]RECIBO!#REF!</definedName>
    <definedName name="budg2002">#REF!</definedName>
    <definedName name="builtin_print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NA()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on_area_1">#REF!</definedName>
    <definedName name="caja">#REF!</definedName>
    <definedName name="Calculo">"$#REF!.$#REF!$#REF!"</definedName>
    <definedName name="cantabr">'[8]Vent Abr'!$A$4:$K$218</definedName>
    <definedName name="cantene">'[8]Vent Ene'!$A$4:$M$218</definedName>
    <definedName name="cantfeb">'[8]Vent Feb'!$A$4:$M$218</definedName>
    <definedName name="cantmar">'[8]Vent Mar'!$A$4:$M$218</definedName>
    <definedName name="CAP">#REF!</definedName>
    <definedName name="Capital">#REF!</definedName>
    <definedName name="cARA">#REF!</definedName>
    <definedName name="caratula">#REF!</definedName>
    <definedName name="CCT">[2]RECIBO!#REF!</definedName>
    <definedName name="CEDMARCAS">#REF!</definedName>
    <definedName name="CEDMARCASII">#REF!</definedName>
    <definedName name="celltips_area">#REF!</definedName>
    <definedName name="CEMOSA">[9]CEMOSA!$A$3:$F$1722</definedName>
    <definedName name="CFC">#REF!</definedName>
    <definedName name="CHEQUES">#REF!</definedName>
    <definedName name="chiroy">#REF!,#REF!,#REF!,#REF!</definedName>
    <definedName name="CIFRA">#REF!</definedName>
    <definedName name="CIFSEC">#REF!</definedName>
    <definedName name="CINCO">[10]RepGast03Ago05!$A$13:$P$35</definedName>
    <definedName name="cla">#REF!</definedName>
    <definedName name="CODIGOS">#REF!</definedName>
    <definedName name="codmep">#REF!</definedName>
    <definedName name="COLUMNAS">#REF!</definedName>
    <definedName name="Comisiones">#REF!</definedName>
    <definedName name="CONCE1">#REF!</definedName>
    <definedName name="cont">'[11]D-4 VENTA Y COST'!$A$1:$IV$1</definedName>
    <definedName name="COPIA">#REF!</definedName>
    <definedName name="CORPOR">[6]CORPORACION!$A$4:$H$122</definedName>
    <definedName name="COST2002">#REF!</definedName>
    <definedName name="CostoAvvio">#REF!</definedName>
    <definedName name="COSTOS">[12]Costo2002!$A$2:$C$442</definedName>
    <definedName name="Costos_dos">#REF!</definedName>
    <definedName name="COSTOS2">#REF!</definedName>
    <definedName name="costos2003">#REF!</definedName>
    <definedName name="cosven">#REF!</definedName>
    <definedName name="CREDITO">'[13]Estado de Cuenta BAM'!#REF!</definedName>
    <definedName name="CUADRO_1">#REF!</definedName>
    <definedName name="CUADRO_2">#REF!</definedName>
    <definedName name="CUADRO_3">#REF!</definedName>
    <definedName name="CUADRO1">#REF!</definedName>
    <definedName name="CUADRO2">#REF!</definedName>
    <definedName name="CUADRO3">#REF!</definedName>
    <definedName name="CUADRO4">#REF!</definedName>
    <definedName name="CUADRO5">#REF!</definedName>
    <definedName name="CUATRO">[10]RepGast03Ago04!$A$13:$Q$40</definedName>
    <definedName name="CVTS">#REF!</definedName>
    <definedName name="CXC">#REF!</definedName>
    <definedName name="D">#REF!</definedName>
    <definedName name="DA" localSheetId="0">[5]!BotDiagOK</definedName>
    <definedName name="DA">[5]!BotDiagOK</definedName>
    <definedName name="das">"$#REF!.$#REF!$#REF!"</definedName>
    <definedName name="data10">[2]RECIBO!#REF!</definedName>
    <definedName name="data100">[2]RECIBO!#REF!</definedName>
    <definedName name="data2">[2]RECIBO!#REF!</definedName>
    <definedName name="data23">[2]RECIBO!#REF!</definedName>
    <definedName name="data24">[2]RECIBO!#REF!</definedName>
    <definedName name="data25">[2]RECIBO!#REF!</definedName>
    <definedName name="data26">[2]RECIBO!#REF!</definedName>
    <definedName name="data27">[2]RECIBO!#REF!</definedName>
    <definedName name="data28">[2]RECIBO!#REF!</definedName>
    <definedName name="data29">[2]RECIBO!#REF!</definedName>
    <definedName name="data3">[2]RECIBO!#REF!</definedName>
    <definedName name="data30">[2]RECIBO!#REF!</definedName>
    <definedName name="data31">[2]RECIBO!#REF!</definedName>
    <definedName name="data32">[2]RECIBO!#REF!</definedName>
    <definedName name="data33">[2]RECIBO!#REF!</definedName>
    <definedName name="data34">[2]RECIBO!#REF!</definedName>
    <definedName name="data35">[2]RECIBO!#REF!</definedName>
    <definedName name="data36">[2]RECIBO!#REF!</definedName>
    <definedName name="data37">[2]RECIBO!#REF!</definedName>
    <definedName name="data38">[2]RECIBO!#REF!</definedName>
    <definedName name="data39">[2]RECIBO!#REF!</definedName>
    <definedName name="data4">[2]RECIBO!#REF!</definedName>
    <definedName name="data40">[2]RECIBO!#REF!</definedName>
    <definedName name="data41">[2]RECIBO!#REF!</definedName>
    <definedName name="data42">[2]RECIBO!#REF!</definedName>
    <definedName name="data43">[2]RECIBO!#REF!</definedName>
    <definedName name="data44">[2]RECIBO!#REF!</definedName>
    <definedName name="data45">[2]RECIBO!#REF!</definedName>
    <definedName name="data46">[2]RECIBO!#REF!</definedName>
    <definedName name="data47">[2]RECIBO!#REF!</definedName>
    <definedName name="data48">[2]RECIBO!#REF!</definedName>
    <definedName name="data49">[2]RECIBO!#REF!</definedName>
    <definedName name="data50">[2]RECIBO!#REF!</definedName>
    <definedName name="data51">[2]RECIBO!#REF!</definedName>
    <definedName name="data52">[2]RECIBO!#REF!</definedName>
    <definedName name="data53">[2]RECIBO!#REF!</definedName>
    <definedName name="data54">[2]RECIBO!#REF!</definedName>
    <definedName name="data55">[2]RECIBO!#REF!</definedName>
    <definedName name="data56">[2]RECIBO!#REF!</definedName>
    <definedName name="data57">[2]RECIBO!#REF!</definedName>
    <definedName name="data58">[2]RECIBO!#REF!</definedName>
    <definedName name="data6">[2]RECIBO!#REF!</definedName>
    <definedName name="data62">[2]RECIBO!#REF!</definedName>
    <definedName name="data63">[2]RECIBO!#REF!</definedName>
    <definedName name="data64">[2]RECIBO!#REF!</definedName>
    <definedName name="data65">[2]RECIBO!#REF!</definedName>
    <definedName name="data66">[2]RECIBO!#REF!</definedName>
    <definedName name="data67">[2]RECIBO!#REF!</definedName>
    <definedName name="data68">[2]RECIBO!#REF!</definedName>
    <definedName name="data69">[2]RECIBO!#REF!</definedName>
    <definedName name="data7">[2]RECIBO!#REF!</definedName>
    <definedName name="data70">[2]RECIBO!#REF!</definedName>
    <definedName name="data8">[2]RECIBO!#REF!</definedName>
    <definedName name="data9">[2]RECIBO!#REF!</definedName>
    <definedName name="Datos">#REF!</definedName>
    <definedName name="dd">#REF!</definedName>
    <definedName name="ddd">#REF!</definedName>
    <definedName name="dddddd">[14]Ingresos!$A$1:$IV$59</definedName>
    <definedName name="DDDDDDDD">#REF!</definedName>
    <definedName name="ddddddddd">#REF!</definedName>
    <definedName name="DEBITO">'[13]Estado de Cuenta BAM'!#REF!</definedName>
    <definedName name="DEPGSTCOMP">#REF!</definedName>
    <definedName name="DEPGSTMYE">#REF!</definedName>
    <definedName name="DEPTO">[15]PLANILLA!#REF!</definedName>
    <definedName name="DESAYU">'[16]XGER-4'!#REF!</definedName>
    <definedName name="DESC">#REF!,#REF!,#REF!,#REF!</definedName>
    <definedName name="dfdf">#REF!</definedName>
    <definedName name="DFF">#REF!</definedName>
    <definedName name="Día_de_pago">#N/A</definedName>
    <definedName name="dias">"$#REF!.$#REF!$#REF!"</definedName>
    <definedName name="Dias_Trabajados">#REF!</definedName>
    <definedName name="DiasT">"$#REF!.$#REF!$#REF!"</definedName>
    <definedName name="Diciembre">#REF!</definedName>
    <definedName name="DIRECTO">#REF!</definedName>
    <definedName name="DOS">#REF!</definedName>
    <definedName name="dra">#REF!</definedName>
    <definedName name="DS">[15]PLANILLA!#REF!</definedName>
    <definedName name="dt">[15]PLANILLA!#REF!</definedName>
    <definedName name="dta">[2]RECIBO!#REF!</definedName>
    <definedName name="duu">#REF!</definedName>
    <definedName name="e">[2]RECIBO!#REF!</definedName>
    <definedName name="ED">#REF!</definedName>
    <definedName name="EDS">#REF!</definedName>
    <definedName name="eeee">#REF!</definedName>
    <definedName name="eeeee">#REF!</definedName>
    <definedName name="EEPEPPEPPE">#REF!</definedName>
    <definedName name="empleado_id">#REF!</definedName>
    <definedName name="EMPRESA">[15]PLANILLA!#REF!</definedName>
    <definedName name="ENCABEZADO">[15]PLANILLA!#REF!</definedName>
    <definedName name="ENGANCHES">#REF!</definedName>
    <definedName name="ER_1">#REF!</definedName>
    <definedName name="ER_2">#REF!</definedName>
    <definedName name="erika">#REF!</definedName>
    <definedName name="ESTADO">#REF!</definedName>
    <definedName name="ESTADOS">[15]PLANILLA!#REF!</definedName>
    <definedName name="ESTATUS">[17]Hoja2!$B$3:$B$22</definedName>
    <definedName name="Excel_BuiltIn__FilterDatabase_1">"$#REF!.$C$1:$D$445"</definedName>
    <definedName name="Excel_BuiltIn__FilterDatabase_2">"$#REF!.$C$1:$D$445"</definedName>
    <definedName name="Excel_BuiltIn__FilterDatabase_9">"$#REF!.$B$1:$D$65494"</definedName>
    <definedName name="Excel_BuiltIn_Print_Area_1">"$#REF!.$A$5:$D$6"</definedName>
    <definedName name="Excel_BuiltIn_Print_Area_1_1">"$#REF!.$#REF!$#REF!:$#REF!$#REF!"</definedName>
    <definedName name="Excel_BuiltIn_Print_Area_1_1_1">"$#REF!.$#REF!$#REF!:$#REF!$#REF!"</definedName>
    <definedName name="Excel_BuiltIn_Print_Area_1_7">"$#REF!.$#REF!$#REF!:$#REF!$#REF!"</definedName>
    <definedName name="Excel_BuiltIn_Print_Area_1_8">"$#REF!.$#REF!$#REF!:$#REF!$#REF!"</definedName>
    <definedName name="Excel_BuiltIn_Print_Area_11_1_1_1">"$#REF!.$#REF!$#REF!:$#REF!$#REF!"</definedName>
    <definedName name="Excel_BuiltIn_Print_Area_3_1_1_1">"$Integraciones.$#REF!$#REF!:$#REF!$#REF!"</definedName>
    <definedName name="Excel_BuiltIn_Print_Area_3_1_1_1_1">"$Integraciones.$#REF!$#REF!:$#REF!$#REF!"</definedName>
    <definedName name="Excel_BuiltIn_Print_Area_3_1_1_1_1_1">"$Integraciones.$#REF!$#REF!:$#REF!$#REF!"</definedName>
    <definedName name="Excel_BuiltIn_Print_Area_3_1_1_1_1_1_1">"$Integraciones.$#REF!$#REF!:$#REF!$#REF!"</definedName>
    <definedName name="Excel_BuiltIn_Print_Area_3_1_6">"ttings/sergio.hurtarte/Configuración local/Archivos temporales de Internet/OLK1E/sergio.hurtarte/Escritorio/Sergio/EASY MARKETING,S.A/E.F. 2009/Documents and Settings/monica.chanchavac/Configuración local/Archivos temporales de Internet/'#$Integraciones.$"</definedName>
    <definedName name="Excel_BuiltIn_Print_Area_3_1_7">"ttings/sergio.hurtarte/Configuración local/Archivos temporales de Internet/OLK1E/sergio.hurtarte/Escritorio/Sergio/EASY MARKETING,S.A/E.F. 2009/Documents and Settings/monica.chanchavac/Configuración local/Archivos temporales de Internet/'#$Integraciones.$"</definedName>
    <definedName name="Excel_BuiltIn_Print_Area_6_1_1_1">"$#REF!.$#REF!$#REF!:$#REF!$#REF!"</definedName>
    <definedName name="Excel_BuiltIn_Print_Area_6_1_1_1_1">"$#REF!.$#REF!$#REF!:$#REF!$#REF!"</definedName>
    <definedName name="Excel_BuiltIn_Print_Area_7_1">"$Int_Resultados.$#REF!$#REF!:$#REF!$#REF!"</definedName>
    <definedName name="Excel_BuiltIn_Print_Area_8_1">"$#REF!.$#REF!$#REF!:$#REF!$#REF!"</definedName>
    <definedName name="Excel_BuiltIn_Print_Area_9">"$#REF!.$#REF!$#REF!:$#REF!$#REF!"</definedName>
    <definedName name="Excel_BuiltIn_Print_Area_9_1">"$#REF!.$#REF!$#REF!:$#REF!$#REF!"</definedName>
    <definedName name="Excel_BuiltIn_Print_Area_9_1_1">"$#REF!.$#REF!$#REF!:$#REF!$#REF!"</definedName>
    <definedName name="EXTMUSI">#REF!</definedName>
    <definedName name="F_CE_BANCO">#REF!</definedName>
    <definedName name="F_CE_COM_005">#REF!</definedName>
    <definedName name="F_CE_COM_010">#REF!</definedName>
    <definedName name="F_CE_COM_050">#REF!</definedName>
    <definedName name="F_CE_COM_060">#REF!</definedName>
    <definedName name="F_CE_COM_125">#REF!</definedName>
    <definedName name="F_CE_COM_500">#REF!</definedName>
    <definedName name="F_CE_INICIO">#REF!</definedName>
    <definedName name="F_CHI_BANCO">#REF!</definedName>
    <definedName name="F_CHI_COM_005">#REF!</definedName>
    <definedName name="F_CHI_COM_010">#REF!</definedName>
    <definedName name="F_CHI_COM_050">#REF!</definedName>
    <definedName name="F_CHI_COM_060">#REF!</definedName>
    <definedName name="F_CHI_COM_125">#REF!</definedName>
    <definedName name="F_CHI_COM_500">#REF!</definedName>
    <definedName name="F_CHI_INICIO">#REF!</definedName>
    <definedName name="F_Z5_COM_005">[17]Z5!#REF!</definedName>
    <definedName name="F_Z5_COM_010">[17]Z5!#REF!</definedName>
    <definedName name="F_Z5_COM_050">[17]Z5!#REF!</definedName>
    <definedName name="F_Z5_COM_060">[17]Z5!#REF!</definedName>
    <definedName name="F_Z5_COM_125">[17]Z5!#REF!</definedName>
    <definedName name="F_Z5_COM_500">[17]Z5!#REF!</definedName>
    <definedName name="Factor">'[18]Pack Factor'!$A$1:$F$384</definedName>
    <definedName name="FAFDSDSFSAF">#REF!</definedName>
    <definedName name="FASDFSDAF">#REF!</definedName>
    <definedName name="FCSTCHIL">[19]CHILE!#REF!</definedName>
    <definedName name="Fecha_de_pago">#REF!</definedName>
    <definedName name="ff">#REF!</definedName>
    <definedName name="FFF">#REF!</definedName>
    <definedName name="ffff">#REF!</definedName>
    <definedName name="ffffff">#REF!</definedName>
    <definedName name="fhjd">#REF!</definedName>
    <definedName name="Fila_de_encabezado">ROW(#REF!)</definedName>
    <definedName name="FILAS">#REF!</definedName>
    <definedName name="FINAL">[15]PLANILLA!#REF!</definedName>
    <definedName name="FJAKJ">#REF!</definedName>
    <definedName name="FORMA">#REF!</definedName>
    <definedName name="FORMULAS">#REF!</definedName>
    <definedName name="fung">#REF!</definedName>
    <definedName name="g">[15]PLANILLA!#REF!</definedName>
    <definedName name="G36RA">#REF!</definedName>
    <definedName name="g3r5a">#REF!</definedName>
    <definedName name="Gastos">#REF!</definedName>
    <definedName name="GASTOS_1">#REF!</definedName>
    <definedName name="GEN_BotonIngresoCancel" localSheetId="0">[20]!GEN_BotonIngresoCancel</definedName>
    <definedName name="GEN_BotonIngresoCancel">[20]!GEN_BotonIngresoCancel</definedName>
    <definedName name="gg">#REF!</definedName>
    <definedName name="ggggg">#REF!</definedName>
    <definedName name="gh">#REF!</definedName>
    <definedName name="ghjhghghjh">#REF!</definedName>
    <definedName name="GHOTE">'[16]XGER-4'!$J$19</definedName>
    <definedName name="GO">#REF!</definedName>
    <definedName name="GOTS">#REF!</definedName>
    <definedName name="H61A1">#REF!</definedName>
    <definedName name="Help">#REF!</definedName>
    <definedName name="hhhh">#REF!</definedName>
    <definedName name="Hija">[2]RECIBO!#REF!</definedName>
    <definedName name="hijo">[2]RECIBO!#REF!</definedName>
    <definedName name="hjhfjhdjkdh" localSheetId="0">[5]!BotDiagCancel</definedName>
    <definedName name="hjhfjhdjkdh">[5]!BotDiagCancel</definedName>
    <definedName name="HJHJHJK">#REF!</definedName>
    <definedName name="HJK">#REF!</definedName>
    <definedName name="hkhdkjhkdhfkdsk">#REF!</definedName>
    <definedName name="HKJHFJKHDKJF">#REF!</definedName>
    <definedName name="hkjhkjdhfkjhdkjfdk">#REF!</definedName>
    <definedName name="hkjhkjhdskjfo99oidufoi">#REF!</definedName>
    <definedName name="hkjhkjhkhkjhk">#REF!</definedName>
    <definedName name="hmarcas">#REF!</definedName>
    <definedName name="hoja">#REF!</definedName>
    <definedName name="hoja_1.9">#REF!</definedName>
    <definedName name="hoja_5.8">#REF!</definedName>
    <definedName name="hoja_6.8">#REF!</definedName>
    <definedName name="hoja_7.8">#REF!</definedName>
    <definedName name="hoja_9.9">#REF!</definedName>
    <definedName name="HOJA1">#REF!</definedName>
    <definedName name="HOJA2">#REF!</definedName>
    <definedName name="Horas">"$#REF!.$#REF!$#REF!"</definedName>
    <definedName name="Horas_Extras_en_Q">#REF!</definedName>
    <definedName name="HOTALM">#REF!</definedName>
    <definedName name="HOTDES">#REF!</definedName>
    <definedName name="HTBAL">#REF!</definedName>
    <definedName name="HTRES">#REF!</definedName>
    <definedName name="HTSEC">#REF!</definedName>
    <definedName name="HTSECN">#REF!</definedName>
    <definedName name="I">#REF!</definedName>
    <definedName name="I_9">#REF!</definedName>
    <definedName name="I_SEC">#REF!</definedName>
    <definedName name="IGSS">#REF!</definedName>
    <definedName name="Importe_del_préstamo">#REF!</definedName>
    <definedName name="Impresión_completa">#REF!</definedName>
    <definedName name="INCOM">#REF!</definedName>
    <definedName name="INGR2">#REF!</definedName>
    <definedName name="INGRESOS">#REF!</definedName>
    <definedName name="INICIAL">[15]PLANILLA!#REF!</definedName>
    <definedName name="Inicio_prestamo">#REF!</definedName>
    <definedName name="Institucional">'[21]CIF-3'!$B$1:$AE$61,'[21]CIF-3'!#REF!,'[21]CIF-3'!#REF!,'[21]CIF-3'!#REF!,'[21]CIF-3'!#REF!</definedName>
    <definedName name="INT">#REF!</definedName>
    <definedName name="Int_acum">#REF!</definedName>
    <definedName name="INTDIP">#REF!</definedName>
    <definedName name="INTER">#REF!</definedName>
    <definedName name="INTERES">#REF!</definedName>
    <definedName name="Interés_total">#REF!</definedName>
    <definedName name="Iphone">#REF!</definedName>
    <definedName name="ISR">#REF!</definedName>
    <definedName name="iuuuuyu">#REF!</definedName>
    <definedName name="iuyt">#REF!</definedName>
    <definedName name="iva">#REF!</definedName>
    <definedName name="j">#REF!</definedName>
    <definedName name="jfjfjfj">#REF!</definedName>
    <definedName name="JHJHJ">#REF!</definedName>
    <definedName name="JHJHJH">#REF!</definedName>
    <definedName name="jj">#REF!</definedName>
    <definedName name="jjfjfjf">#REF!</definedName>
    <definedName name="jjja">#REF!</definedName>
    <definedName name="jjjj">#REF!</definedName>
    <definedName name="jjjjj">#REF!</definedName>
    <definedName name="jjjjjj">#REF!</definedName>
    <definedName name="jjjkhjh">#REF!</definedName>
    <definedName name="jjkjdkjklf">#REF!</definedName>
    <definedName name="jjkkkd">'[22]ERA H5'!#REF!</definedName>
    <definedName name="jkdjkfljdlkf">#REF!</definedName>
    <definedName name="jkj">#REF!</definedName>
    <definedName name="jkjhkjhjkjjj">#REF!</definedName>
    <definedName name="JKJHKJHKJK">#REF!</definedName>
    <definedName name="JKJK">#REF!</definedName>
    <definedName name="jkjkjdlk">#REF!</definedName>
    <definedName name="jkkll">#REF!</definedName>
    <definedName name="jksdjlis">#REF!</definedName>
    <definedName name="jlkjjlk">#REF!</definedName>
    <definedName name="jnmnmnm">#REF!</definedName>
    <definedName name="Jorge">#REF!</definedName>
    <definedName name="JUAN">#REF!</definedName>
    <definedName name="Julio">#REF!</definedName>
    <definedName name="Junio">#REF!</definedName>
    <definedName name="khkjdhfkjdhkjfdkj">#REF!</definedName>
    <definedName name="khkjdhkjfhdkjfhkjdkjd">#REF!</definedName>
    <definedName name="KHKJFHDKJF77F87D">#REF!</definedName>
    <definedName name="khkjhkjhjkhkj">#REF!</definedName>
    <definedName name="KHKJHKJHKJHKJHKJK">#REF!</definedName>
    <definedName name="kil">#REF!</definedName>
    <definedName name="kjjkhkjklkhkh" localSheetId="0">[20]!GEN_BotonIngresoCancel</definedName>
    <definedName name="kjjkhkjklkhkh">[20]!GEN_BotonIngresoCancel</definedName>
    <definedName name="KJJKJKJ">#REF!</definedName>
    <definedName name="KKJKJHJKK">#REF!</definedName>
    <definedName name="kkk">#REF!</definedName>
    <definedName name="KLCOST">[23]COSTOS!$A$2:$I$1003</definedName>
    <definedName name="kljñlkjlkjñlklkj">#REF!</definedName>
    <definedName name="L">#REF!</definedName>
    <definedName name="laborados">"$#REF!.$#REF!$#REF!"</definedName>
    <definedName name="LD">'[21]CIF-3'!#REF!,'[21]CIF-3'!#REF!,'[21]CIF-3'!#REF!,'[21]CIF-3'!#REF!</definedName>
    <definedName name="LG161Clase">#REF!</definedName>
    <definedName name="LINDET">[15]PLANILLA!#REF!</definedName>
    <definedName name="LINHOJA">[15]PLANILLA!#REF!</definedName>
    <definedName name="Local">'[21]CIF-3'!#REF!,'[21]CIF-3'!#REF!,'[21]CIF-3'!#REF!,'[21]CIF-3'!#REF!</definedName>
    <definedName name="luis">#REF!</definedName>
    <definedName name="M" localSheetId="0">[5]!BotDiagCancel</definedName>
    <definedName name="M">[5]!BotDiagCancel</definedName>
    <definedName name="mar">#REF!</definedName>
    <definedName name="marca">#REF!</definedName>
    <definedName name="Marcas">#REF!</definedName>
    <definedName name="marcos">#REF!</definedName>
    <definedName name="Mario_Rosendo_Huitz_Menchú">#REF!</definedName>
    <definedName name="Marzo">#REF!</definedName>
    <definedName name="MarzoBase">"$#REF!.$#REF!$#REF!"</definedName>
    <definedName name="MATRIZ">#REF!</definedName>
    <definedName name="matriz2">#REF!</definedName>
    <definedName name="MAY">#REF!</definedName>
    <definedName name="Mayo">#REF!</definedName>
    <definedName name="MEJOFBO">#REF!</definedName>
    <definedName name="MEJORAOFIBO">#REF!</definedName>
    <definedName name="MENU">#REF!</definedName>
    <definedName name="MIHOUSE">#N/A</definedName>
    <definedName name="mmm">#REF!</definedName>
    <definedName name="mmmmik">#REF!</definedName>
    <definedName name="mnjyt">#REF!</definedName>
    <definedName name="MotoE8">#REF!</definedName>
    <definedName name="MotoK1">#REF!</definedName>
    <definedName name="MotoQ">#REF!</definedName>
    <definedName name="MotoU9">#REF!</definedName>
    <definedName name="MotoV3i">#REF!</definedName>
    <definedName name="MotoW175">#REF!</definedName>
    <definedName name="MotoW375">#REF!</definedName>
    <definedName name="MotoW5">#REF!</definedName>
    <definedName name="MotoZ3">#REF!</definedName>
    <definedName name="MotoZ6">#REF!</definedName>
    <definedName name="MotoZ8">#REF!</definedName>
    <definedName name="Mov_inventarios">#REF!</definedName>
    <definedName name="n6se">#REF!</definedName>
    <definedName name="NBNBNM">#REF!</definedName>
    <definedName name="ni">#REF!</definedName>
    <definedName name="nmmcmncb">#REF!</definedName>
    <definedName name="nnnnn">#REF!</definedName>
    <definedName name="Nokia1208">#REF!</definedName>
    <definedName name="nokia3500">#REF!</definedName>
    <definedName name="nokia5000">#REF!</definedName>
    <definedName name="Nokia5310L">#REF!</definedName>
    <definedName name="Nokia5310T">#REF!</definedName>
    <definedName name="Nokia6230">#REF!</definedName>
    <definedName name="Nokia6555">#REF!</definedName>
    <definedName name="NokiaN95">#REF!</definedName>
    <definedName name="NOMBRESCODIGOS">[24]DICIEMBRE!$C$1:$V$65536</definedName>
    <definedName name="Noviembre">#REF!</definedName>
    <definedName name="nuevo">#REF!</definedName>
    <definedName name="Núm_de_pago">#REF!</definedName>
    <definedName name="Núm_pagos_al_año">#REF!</definedName>
    <definedName name="Número_de_pagos">MATCH(0.01,[0]!Saldo_final,-1)+1</definedName>
    <definedName name="ocho">#REF!</definedName>
    <definedName name="Octubre">#REF!</definedName>
    <definedName name="ooo">#REF!</definedName>
    <definedName name="ooooo">#REF!</definedName>
    <definedName name="osma">#REF!,#REF!,#REF!,#REF!,#REF!</definedName>
    <definedName name="osma1">#REF!,#REF!,#REF!,#REF!</definedName>
    <definedName name="osma2">#REF!,#REF!,#REF!,#REF!</definedName>
    <definedName name="osma3">#REF!</definedName>
    <definedName name="osma4">#REF!,#REF!,#REF!,#REF!</definedName>
    <definedName name="OTROS">#REF!</definedName>
    <definedName name="Otros_Descuentos">#REF!</definedName>
    <definedName name="otros2">#REF!</definedName>
    <definedName name="OTROSINGRESOS">'[16]IF-1'!#REF!</definedName>
    <definedName name="P_Clientes">#REF!</definedName>
    <definedName name="P_CODTCLA">#REF!</definedName>
    <definedName name="P_CODVCLAFIN">#REF!</definedName>
    <definedName name="P_CODVCLAINI">#REF!</definedName>
    <definedName name="P_Corte">#REF!</definedName>
    <definedName name="P_Fechas">#REF!</definedName>
    <definedName name="Pagado">#REF!</definedName>
    <definedName name="Pago_adicional">#REF!</definedName>
    <definedName name="Pago_mensual_programado">#REF!</definedName>
    <definedName name="Pago_progr">#REF!</definedName>
    <definedName name="Pago_total">#REF!</definedName>
    <definedName name="Pagos_adicionales_programados">#REF!</definedName>
    <definedName name="PARAMETROS">[15]PLANILLA!#REF!</definedName>
    <definedName name="PAS">#REF!</definedName>
    <definedName name="PDF">#REF!</definedName>
    <definedName name="planes">#REF!</definedName>
    <definedName name="PlanillaRuteoKits">#REF!</definedName>
    <definedName name="PlanillaRuteoTarjetasRecargas">#REF!</definedName>
    <definedName name="PlanillaVentaDirecta">#REF!</definedName>
    <definedName name="poo">#REF!</definedName>
    <definedName name="POTENCIA">'[25]R-HEMOFIL &amp; GAMMAGARD'!#REF!</definedName>
    <definedName name="precos">#REF!</definedName>
    <definedName name="PRINT_AREA">#REF!</definedName>
    <definedName name="PRINT_AREA_MI">#REF!</definedName>
    <definedName name="printarea2">#REF!</definedName>
    <definedName name="printareami2">#REF!</definedName>
    <definedName name="PRUE">#REF!</definedName>
    <definedName name="prue1">#REF!</definedName>
    <definedName name="prue2">#REF!</definedName>
    <definedName name="PRUEBA">#REF!</definedName>
    <definedName name="QAQ">#REF!</definedName>
    <definedName name="qqqq">#REF!</definedName>
    <definedName name="QQQQQ">#REF!</definedName>
    <definedName name="qw">#REF!</definedName>
    <definedName name="qzqzqz10">[2]RECIBO!#REF!</definedName>
    <definedName name="qzqzqz11">[2]RECIBO!#REF!</definedName>
    <definedName name="qzqzqz18">[2]RECIBO!#REF!</definedName>
    <definedName name="qzqzqz19">[2]RECIBO!#REF!</definedName>
    <definedName name="qzqzqz20">[2]RECIBO!#REF!</definedName>
    <definedName name="qzqzqz21">[2]RECIBO!#REF!</definedName>
    <definedName name="qzqzqz22">[2]RECIBO!#REF!</definedName>
    <definedName name="qzqzqz23">[2]RECIBO!#REF!</definedName>
    <definedName name="qzqzqz24">[2]RECIBO!#REF!</definedName>
    <definedName name="qzqzqz25">[2]RECIBO!#REF!</definedName>
    <definedName name="qzqzqz26">[2]RECIBO!#REF!</definedName>
    <definedName name="qzqzqz27">[2]RECIBO!#REF!</definedName>
    <definedName name="qzqzqz28">[2]RECIBO!#REF!</definedName>
    <definedName name="qzqzqz29">[2]RECIBO!#REF!</definedName>
    <definedName name="qzqzqz31">[2]RECIBO!#REF!</definedName>
    <definedName name="qzqzqz32">[2]RECIBO!#REF!</definedName>
    <definedName name="qzqzqz7">[2]RECIBO!#REF!</definedName>
    <definedName name="qzqzqz8">[2]RECIBO!#REF!</definedName>
    <definedName name="qzqzqz9">[2]RECIBO!#REF!</definedName>
    <definedName name="ra">#N/A</definedName>
    <definedName name="REMOFIS">#REF!</definedName>
    <definedName name="Report_Version_3">"A1"</definedName>
    <definedName name="Report_Version_4">"A1"</definedName>
    <definedName name="RES">#REF!</definedName>
    <definedName name="Restablecer_área_de_impresión">#N/A</definedName>
    <definedName name="RESULT">#REF!</definedName>
    <definedName name="RESULTA">#REF!</definedName>
    <definedName name="RESULTADO">#REF!</definedName>
    <definedName name="ricsima">#REF!</definedName>
    <definedName name="ROCE">#REF!</definedName>
    <definedName name="rodolfo">#REF!,#REF!,#REF!,#REF!</definedName>
    <definedName name="row_find">#REF!</definedName>
    <definedName name="s">#REF!</definedName>
    <definedName name="sa">#REF!</definedName>
    <definedName name="sadf">#REF!</definedName>
    <definedName name="Salario_a_recibir">#REF!</definedName>
    <definedName name="Saldo_final">#REF!</definedName>
    <definedName name="Saldo_inicial">#REF!</definedName>
    <definedName name="SALDOS2001">#REF!</definedName>
    <definedName name="SamC165">#REF!</definedName>
    <definedName name="SamE746">#REF!</definedName>
    <definedName name="SamG600">#REF!</definedName>
    <definedName name="SamU600">#REF!</definedName>
    <definedName name="saulo">#REF!</definedName>
    <definedName name="sdf">#REF!</definedName>
    <definedName name="sdfsdfsdfsdfsdfsdf">[2]RECIBO!#REF!</definedName>
    <definedName name="sdfssdfsf">[2]RECIBO!#REF!</definedName>
    <definedName name="seas">#REF!</definedName>
    <definedName name="SEC">#REF!</definedName>
    <definedName name="SECCYG">#REF!</definedName>
    <definedName name="seccyg2">#REF!</definedName>
    <definedName name="seccyg3">#REF!</definedName>
    <definedName name="SECING">#REF!</definedName>
    <definedName name="secing2">#REF!</definedName>
    <definedName name="SECN">#REF!</definedName>
    <definedName name="secn2">'[3]CONS-GS'!#REF!</definedName>
    <definedName name="Septiembre">#REF!</definedName>
    <definedName name="Servicios">#REF!</definedName>
    <definedName name="SERVICOLT">[26]SERVICOLT!$A$3:$F$500</definedName>
    <definedName name="SFDSAF">#REF!</definedName>
    <definedName name="SHARED_FORMULA_0">#N/A</definedName>
    <definedName name="SHARED_FORMULA_1">#N/A</definedName>
    <definedName name="SHARED_FORMULA_2">#N/A</definedName>
    <definedName name="SLSLSLSLSLSLSLSLSL">#REF!</definedName>
    <definedName name="SOLAIR">[6]SOLAIRE!$A$4:$H$554</definedName>
    <definedName name="SonyC702">#REF!</definedName>
    <definedName name="SonyC902">#REF!</definedName>
    <definedName name="SonyJ110">#REF!</definedName>
    <definedName name="SonyK550">#REF!</definedName>
    <definedName name="SonyW580">#REF!</definedName>
    <definedName name="SonyW610">#REF!</definedName>
    <definedName name="SonyW760">#REF!</definedName>
    <definedName name="SonyW810">#REF!</definedName>
    <definedName name="SonyW910">#REF!</definedName>
    <definedName name="SonyW980">#REF!</definedName>
    <definedName name="sssss">#REF!</definedName>
    <definedName name="Statement_Date">#REF!</definedName>
    <definedName name="Sueldo_Base">#REF!</definedName>
    <definedName name="Sueldo_Base_R">#REF!</definedName>
    <definedName name="Sueldo_Devengado">#REF!</definedName>
    <definedName name="T_CE_COM_005">#REF!</definedName>
    <definedName name="T_CE_COM_010">#REF!</definedName>
    <definedName name="T_CE_COM_050">#REF!</definedName>
    <definedName name="T_CE_COM_060">#REF!</definedName>
    <definedName name="T_CE_COM_125">#REF!</definedName>
    <definedName name="T_CE_COM_500">#REF!</definedName>
    <definedName name="T_CHI_COM_005">#REF!</definedName>
    <definedName name="T_CHI_COM_010">#REF!</definedName>
    <definedName name="T_CHI_COM_050">#REF!</definedName>
    <definedName name="T_CHI_COM_060">#REF!</definedName>
    <definedName name="T_CHI_COM_125">#REF!</definedName>
    <definedName name="T_CHI_COM_500">#REF!</definedName>
    <definedName name="T_ESTATUS">[27]LISTAS!$B$3:$B$24</definedName>
    <definedName name="T_Z5_COM_005">[17]Z5!#REF!</definedName>
    <definedName name="T_Z5_COM_010">[17]Z5!#REF!</definedName>
    <definedName name="T_Z5_COM_050">[17]Z5!#REF!</definedName>
    <definedName name="T_Z5_COM_060">[17]Z5!#REF!</definedName>
    <definedName name="T_Z5_COM_125">[17]Z5!#REF!</definedName>
    <definedName name="T_Z5_COM_500">[17]Z5!#REF!</definedName>
    <definedName name="TABLE">#REF!</definedName>
    <definedName name="table2">#REF!</definedName>
    <definedName name="tas">"$#REF!.$#REF!$#REF!"</definedName>
    <definedName name="TASA">"ts and Settings/sergio.hurtarte/Configuración local/Archivos temporales de Internet/OLK1E/sergio.hurtarte/Escritorio/Sergio/EASY MARKETING,S.A/E.F. 2009/Documents and Settings/monica.chanchavac/Configuración local/Archivos temporales de Internet/'#$_.$F$2"</definedName>
    <definedName name="TASA_6">"ts and Settings/sergio.hurtarte/Configuración local/Archivos temporales de Internet/OLK1E/sergio.hurtarte/Escritorio/Sergio/EASY MARKETING,S.A/E.F. 2009/Documents and Settings/monica.chanchavac/Configuración local/Archivos temporales de Internet/'#$_.$F$2"</definedName>
    <definedName name="TASA_7">"ts and Settings/sergio.hurtarte/Configuración local/Archivos temporales de Internet/OLK1E/sergio.hurtarte/Escritorio/Sergio/EASY MARKETING,S.A/E.F. 2009/Documents and Settings/monica.chanchavac/Configuración local/Archivos temporales de Internet/'#$_.$F$2"</definedName>
    <definedName name="Tasa_de_interés">#REF!</definedName>
    <definedName name="Tasa_de_interés_programada">#REF!</definedName>
    <definedName name="TD">'[21]CIF-3'!#REF!,'[21]CIF-3'!#REF!,'[21]CIF-3'!#REF!,'[21]CIF-3'!#REF!</definedName>
    <definedName name="tempo">'[7]CIF-3'!$A$1:$I$63,'[7]CIF-3'!#REF!,'[7]CIF-3'!#REF!,'[7]CIF-3'!#REF!,'[7]CIF-3'!#REF!</definedName>
    <definedName name="TextRefCopyRangeCount" hidden="1">1</definedName>
    <definedName name="Tipo_de_cambio">#REF!</definedName>
    <definedName name="TITULO">[15]PLANILLA!#REF!</definedName>
    <definedName name="_xlnm.Print_Titles" localSheetId="0">CAPITALIZACIÓN!$1:$6</definedName>
    <definedName name="_xlnm.Print_Titles">#N/A</definedName>
    <definedName name="TODOFI">#REF!,#REF!,#REF!,#REF!</definedName>
    <definedName name="TOT">#REF!</definedName>
    <definedName name="TOTAL">#REF!</definedName>
    <definedName name="TOTDEP">[15]PLANILLA!#REF!</definedName>
    <definedName name="TOTGEN">[15]PLANILLA!#REF!</definedName>
    <definedName name="touch">#REF!</definedName>
    <definedName name="TP">'[21]CIF-3'!#REF!,'[21]CIF-3'!#REF!,'[21]CIF-3'!#REF!,'[21]CIF-3'!#REF!</definedName>
    <definedName name="TRES">[10]RepGast03Ago03!$A$13:$R$37</definedName>
    <definedName name="TTT">#REF!,#REF!,#REF!,#REF!</definedName>
    <definedName name="Última_fila">#N/A</definedName>
    <definedName name="UN">#REF!</definedName>
    <definedName name="UNO">#REF!</definedName>
    <definedName name="UtilidadTarjetasDirecta">#REF!</definedName>
    <definedName name="UtilidadTarjetasKits">#REF!</definedName>
    <definedName name="UtilidadTarjetasRuteo">#REF!</definedName>
    <definedName name="Valores_especificados">IF(Importe_del_préstamo*Tasa_de_interés*Años_préstamo*Inicio_prestamo&gt;0,1,0)</definedName>
    <definedName name="VentasKitsDirecta">#REF!</definedName>
    <definedName name="VentasKitsRuteo">#REF!</definedName>
    <definedName name="VentasTarjetasDirecta">#REF!</definedName>
    <definedName name="VentasTarjetasRuteo">#REF!</definedName>
    <definedName name="VentasTarketasKits">#REF!</definedName>
    <definedName name="VIDCEN">[6]VICA!$A$4:$H$50</definedName>
    <definedName name="vini">#REF!</definedName>
    <definedName name="VV">#REF!</definedName>
    <definedName name="VVV">#REF!</definedName>
    <definedName name="wa">'[7]CIF-3'!#REF!,'[7]CIF-3'!#REF!,'[7]CIF-3'!#REF!,'[7]CIF-3'!#REF!</definedName>
    <definedName name="WAA">#REF!</definedName>
    <definedName name="wac">#REF!</definedName>
    <definedName name="WACA">#REF!,#REF!,#REF!,#REF!</definedName>
    <definedName name="WAFITO">#REF!,#REF!,#REF!,#REF!</definedName>
    <definedName name="WAL">#REF!,#REF!,#REF!,#REF!</definedName>
    <definedName name="WALTER">#REF!</definedName>
    <definedName name="wam">#REF!,#REF!,#REF!,#REF!</definedName>
    <definedName name="was">#REF!,#REF!,#REF!,#REF!</definedName>
    <definedName name="WAWA">[28]local!$C$1:$K$21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1_1" hidden="1">{#N/A,#N/A,FALSE,"Aging Summary";#N/A,#N/A,FALSE,"Ratio Analysis";#N/A,#N/A,FALSE,"Test 120 Day Accts";#N/A,#N/A,FALSE,"Tickmarks"}</definedName>
    <definedName name="wrn.Aging._.and._.Trend._.Analysis._1_1_1_1" hidden="1">{#N/A,#N/A,FALSE,"Aging Summary";#N/A,#N/A,FALSE,"Ratio Analysis";#N/A,#N/A,FALSE,"Test 120 Day Accts";#N/A,#N/A,FALSE,"Tickmarks"}</definedName>
    <definedName name="wrn.Aging._.and._.Trend._.Analysis._1_1_1_1_1" hidden="1">{#N/A,#N/A,FALSE,"Aging Summary";#N/A,#N/A,FALSE,"Ratio Analysis";#N/A,#N/A,FALSE,"Test 120 Day Accts";#N/A,#N/A,FALSE,"Tickmarks"}</definedName>
    <definedName name="wrn.Aging._.and._.Trend._.Analysis._1_1_1_1_1_1" hidden="1">{#N/A,#N/A,FALSE,"Aging Summary";#N/A,#N/A,FALSE,"Ratio Analysis";#N/A,#N/A,FALSE,"Test 120 Day Accts";#N/A,#N/A,FALSE,"Tickmarks"}</definedName>
    <definedName name="wrn.Aging._.and._.Trend._.Analysis._1_1_1_1_1_1_1" hidden="1">{#N/A,#N/A,FALSE,"Aging Summary";#N/A,#N/A,FALSE,"Ratio Analysis";#N/A,#N/A,FALSE,"Test 120 Day Accts";#N/A,#N/A,FALSE,"Tickmarks"}</definedName>
    <definedName name="wrn.Aging._.and._.Trend._.Analysis._1_1_1_1_1_1_1_1" hidden="1">{#N/A,#N/A,FALSE,"Aging Summary";#N/A,#N/A,FALSE,"Ratio Analysis";#N/A,#N/A,FALSE,"Test 120 Day Accts";#N/A,#N/A,FALSE,"Tickmarks"}</definedName>
    <definedName name="wrn.Aging._.and._.Trend._.Analysis._1_1_1_1_1_1_1_1_1" hidden="1">{#N/A,#N/A,FALSE,"Aging Summary";#N/A,#N/A,FALSE,"Ratio Analysis";#N/A,#N/A,FALSE,"Test 120 Day Accts";#N/A,#N/A,FALSE,"Tickmarks"}</definedName>
    <definedName name="wrn.Aging._.and._.Trend._.Analysis._1_1_1_1_1_1_1_1_1_1" hidden="1">{#N/A,#N/A,FALSE,"Aging Summary";#N/A,#N/A,FALSE,"Ratio Analysis";#N/A,#N/A,FALSE,"Test 120 Day Accts";#N/A,#N/A,FALSE,"Tickmarks"}</definedName>
    <definedName name="wrn.Aging._.and._.Trend._.Analysis._1_1_1_1_1_1_1_1_1_1_1" hidden="1">{#N/A,#N/A,FALSE,"Aging Summary";#N/A,#N/A,FALSE,"Ratio Analysis";#N/A,#N/A,FALSE,"Test 120 Day Accts";#N/A,#N/A,FALSE,"Tickmarks"}</definedName>
    <definedName name="wrn.Aging._.and._.Trend._.Analysis._1_1_1_1_1_1_1_1_1_1_1_1" hidden="1">{#N/A,#N/A,FALSE,"Aging Summary";#N/A,#N/A,FALSE,"Ratio Analysis";#N/A,#N/A,FALSE,"Test 120 Day Accts";#N/A,#N/A,FALSE,"Tickmarks"}</definedName>
    <definedName name="wrn.Aging._.and._.Trend._.Analysis._1_1_1_1_1_1_1_1_1_2" hidden="1">{#N/A,#N/A,FALSE,"Aging Summary";#N/A,#N/A,FALSE,"Ratio Analysis";#N/A,#N/A,FALSE,"Test 120 Day Accts";#N/A,#N/A,FALSE,"Tickmarks"}</definedName>
    <definedName name="wrn.Aging._.and._.Trend._.Analysis._1_1_1_1_1_1_1_1_2" hidden="1">{#N/A,#N/A,FALSE,"Aging Summary";#N/A,#N/A,FALSE,"Ratio Analysis";#N/A,#N/A,FALSE,"Test 120 Day Accts";#N/A,#N/A,FALSE,"Tickmarks"}</definedName>
    <definedName name="wrn.Aging._.and._.Trend._.Analysis._1_1_1_1_1_1_1_1_2_1" hidden="1">{#N/A,#N/A,FALSE,"Aging Summary";#N/A,#N/A,FALSE,"Ratio Analysis";#N/A,#N/A,FALSE,"Test 120 Day Accts";#N/A,#N/A,FALSE,"Tickmarks"}</definedName>
    <definedName name="wrn.Aging._.and._.Trend._.Analysis._1_1_1_1_1_1_1_2" hidden="1">{#N/A,#N/A,FALSE,"Aging Summary";#N/A,#N/A,FALSE,"Ratio Analysis";#N/A,#N/A,FALSE,"Test 120 Day Accts";#N/A,#N/A,FALSE,"Tickmarks"}</definedName>
    <definedName name="wrn.Aging._.and._.Trend._.Analysis._1_1_1_1_1_1_1_2_1" hidden="1">{#N/A,#N/A,FALSE,"Aging Summary";#N/A,#N/A,FALSE,"Ratio Analysis";#N/A,#N/A,FALSE,"Test 120 Day Accts";#N/A,#N/A,FALSE,"Tickmarks"}</definedName>
    <definedName name="wrn.Aging._.and._.Trend._.Analysis._1_1_1_1_1_1_1_2_1_1" hidden="1">{#N/A,#N/A,FALSE,"Aging Summary";#N/A,#N/A,FALSE,"Ratio Analysis";#N/A,#N/A,FALSE,"Test 120 Day Accts";#N/A,#N/A,FALSE,"Tickmarks"}</definedName>
    <definedName name="wrn.Aging._.and._.Trend._.Analysis._1_1_1_1_1_1_1_2_1_1_1" hidden="1">{#N/A,#N/A,FALSE,"Aging Summary";#N/A,#N/A,FALSE,"Ratio Analysis";#N/A,#N/A,FALSE,"Test 120 Day Accts";#N/A,#N/A,FALSE,"Tickmarks"}</definedName>
    <definedName name="wrn.Aging._.and._.Trend._.Analysis._1_1_1_1_1_1_1_2_2" hidden="1">{#N/A,#N/A,FALSE,"Aging Summary";#N/A,#N/A,FALSE,"Ratio Analysis";#N/A,#N/A,FALSE,"Test 120 Day Accts";#N/A,#N/A,FALSE,"Tickmarks"}</definedName>
    <definedName name="wrn.Aging._.and._.Trend._.Analysis._1_1_1_1_1_1_1_3" hidden="1">{#N/A,#N/A,FALSE,"Aging Summary";#N/A,#N/A,FALSE,"Ratio Analysis";#N/A,#N/A,FALSE,"Test 120 Day Accts";#N/A,#N/A,FALSE,"Tickmarks"}</definedName>
    <definedName name="wrn.Aging._.and._.Trend._.Analysis._1_1_1_1_1_1_1_3_1" hidden="1">{#N/A,#N/A,FALSE,"Aging Summary";#N/A,#N/A,FALSE,"Ratio Analysis";#N/A,#N/A,FALSE,"Test 120 Day Accts";#N/A,#N/A,FALSE,"Tickmarks"}</definedName>
    <definedName name="wrn.Aging._.and._.Trend._.Analysis._1_1_1_1_1_1_1_3_1_1" hidden="1">{#N/A,#N/A,FALSE,"Aging Summary";#N/A,#N/A,FALSE,"Ratio Analysis";#N/A,#N/A,FALSE,"Test 120 Day Accts";#N/A,#N/A,FALSE,"Tickmarks"}</definedName>
    <definedName name="wrn.Aging._.and._.Trend._.Analysis._1_1_1_1_1_1_1_4" hidden="1">{#N/A,#N/A,FALSE,"Aging Summary";#N/A,#N/A,FALSE,"Ratio Analysis";#N/A,#N/A,FALSE,"Test 120 Day Accts";#N/A,#N/A,FALSE,"Tickmarks"}</definedName>
    <definedName name="wrn.Aging._.and._.Trend._.Analysis._1_1_1_1_1_1_2" hidden="1">{#N/A,#N/A,FALSE,"Aging Summary";#N/A,#N/A,FALSE,"Ratio Analysis";#N/A,#N/A,FALSE,"Test 120 Day Accts";#N/A,#N/A,FALSE,"Tickmarks"}</definedName>
    <definedName name="wrn.Aging._.and._.Trend._.Analysis._1_1_1_1_1_1_2_1" hidden="1">{#N/A,#N/A,FALSE,"Aging Summary";#N/A,#N/A,FALSE,"Ratio Analysis";#N/A,#N/A,FALSE,"Test 120 Day Accts";#N/A,#N/A,FALSE,"Tickmarks"}</definedName>
    <definedName name="wrn.Aging._.and._.Trend._.Analysis._1_1_1_1_1_1_2_1_1" hidden="1">{#N/A,#N/A,FALSE,"Aging Summary";#N/A,#N/A,FALSE,"Ratio Analysis";#N/A,#N/A,FALSE,"Test 120 Day Accts";#N/A,#N/A,FALSE,"Tickmarks"}</definedName>
    <definedName name="wrn.Aging._.and._.Trend._.Analysis._1_1_1_1_1_1_2_1_1_1" hidden="1">{#N/A,#N/A,FALSE,"Aging Summary";#N/A,#N/A,FALSE,"Ratio Analysis";#N/A,#N/A,FALSE,"Test 120 Day Accts";#N/A,#N/A,FALSE,"Tickmarks"}</definedName>
    <definedName name="wrn.Aging._.and._.Trend._.Analysis._1_1_1_1_1_1_2_1_1_1_1" hidden="1">{#N/A,#N/A,FALSE,"Aging Summary";#N/A,#N/A,FALSE,"Ratio Analysis";#N/A,#N/A,FALSE,"Test 120 Day Accts";#N/A,#N/A,FALSE,"Tickmarks"}</definedName>
    <definedName name="wrn.Aging._.and._.Trend._.Analysis._1_1_1_1_1_1_2_1_2" hidden="1">{#N/A,#N/A,FALSE,"Aging Summary";#N/A,#N/A,FALSE,"Ratio Analysis";#N/A,#N/A,FALSE,"Test 120 Day Accts";#N/A,#N/A,FALSE,"Tickmarks"}</definedName>
    <definedName name="wrn.Aging._.and._.Trend._.Analysis._1_1_1_1_1_1_2_2" hidden="1">{#N/A,#N/A,FALSE,"Aging Summary";#N/A,#N/A,FALSE,"Ratio Analysis";#N/A,#N/A,FALSE,"Test 120 Day Accts";#N/A,#N/A,FALSE,"Tickmarks"}</definedName>
    <definedName name="wrn.Aging._.and._.Trend._.Analysis._1_1_1_1_1_1_2_2_1" hidden="1">{#N/A,#N/A,FALSE,"Aging Summary";#N/A,#N/A,FALSE,"Ratio Analysis";#N/A,#N/A,FALSE,"Test 120 Day Accts";#N/A,#N/A,FALSE,"Tickmarks"}</definedName>
    <definedName name="wrn.Aging._.and._.Trend._.Analysis._1_1_1_1_1_1_3" hidden="1">{#N/A,#N/A,FALSE,"Aging Summary";#N/A,#N/A,FALSE,"Ratio Analysis";#N/A,#N/A,FALSE,"Test 120 Day Accts";#N/A,#N/A,FALSE,"Tickmarks"}</definedName>
    <definedName name="wrn.Aging._.and._.Trend._.Analysis._1_1_1_1_1_1_3_1" hidden="1">{#N/A,#N/A,FALSE,"Aging Summary";#N/A,#N/A,FALSE,"Ratio Analysis";#N/A,#N/A,FALSE,"Test 120 Day Accts";#N/A,#N/A,FALSE,"Tickmarks"}</definedName>
    <definedName name="wrn.Aging._.and._.Trend._.Analysis._1_1_1_1_1_1_3_1_1" hidden="1">{#N/A,#N/A,FALSE,"Aging Summary";#N/A,#N/A,FALSE,"Ratio Analysis";#N/A,#N/A,FALSE,"Test 120 Day Accts";#N/A,#N/A,FALSE,"Tickmarks"}</definedName>
    <definedName name="wrn.Aging._.and._.Trend._.Analysis._1_1_1_1_1_1_4" hidden="1">{#N/A,#N/A,FALSE,"Aging Summary";#N/A,#N/A,FALSE,"Ratio Analysis";#N/A,#N/A,FALSE,"Test 120 Day Accts";#N/A,#N/A,FALSE,"Tickmarks"}</definedName>
    <definedName name="wrn.Aging._.and._.Trend._.Analysis._1_1_1_1_1_2" hidden="1">{#N/A,#N/A,FALSE,"Aging Summary";#N/A,#N/A,FALSE,"Ratio Analysis";#N/A,#N/A,FALSE,"Test 120 Day Accts";#N/A,#N/A,FALSE,"Tickmarks"}</definedName>
    <definedName name="wrn.Aging._.and._.Trend._.Analysis._1_1_1_1_1_2_1" hidden="1">{#N/A,#N/A,FALSE,"Aging Summary";#N/A,#N/A,FALSE,"Ratio Analysis";#N/A,#N/A,FALSE,"Test 120 Day Accts";#N/A,#N/A,FALSE,"Tickmarks"}</definedName>
    <definedName name="wrn.Aging._.and._.Trend._.Analysis._1_1_1_1_1_2_1_1" hidden="1">{#N/A,#N/A,FALSE,"Aging Summary";#N/A,#N/A,FALSE,"Ratio Analysis";#N/A,#N/A,FALSE,"Test 120 Day Accts";#N/A,#N/A,FALSE,"Tickmarks"}</definedName>
    <definedName name="wrn.Aging._.and._.Trend._.Analysis._1_1_1_1_1_2_1_1_1" hidden="1">{#N/A,#N/A,FALSE,"Aging Summary";#N/A,#N/A,FALSE,"Ratio Analysis";#N/A,#N/A,FALSE,"Test 120 Day Accts";#N/A,#N/A,FALSE,"Tickmarks"}</definedName>
    <definedName name="wrn.Aging._.and._.Trend._.Analysis._1_1_1_1_1_2_1_1_1_1" hidden="1">{#N/A,#N/A,FALSE,"Aging Summary";#N/A,#N/A,FALSE,"Ratio Analysis";#N/A,#N/A,FALSE,"Test 120 Day Accts";#N/A,#N/A,FALSE,"Tickmarks"}</definedName>
    <definedName name="wrn.Aging._.and._.Trend._.Analysis._1_1_1_1_1_2_1_1_1_1_1" hidden="1">{#N/A,#N/A,FALSE,"Aging Summary";#N/A,#N/A,FALSE,"Ratio Analysis";#N/A,#N/A,FALSE,"Test 120 Day Accts";#N/A,#N/A,FALSE,"Tickmarks"}</definedName>
    <definedName name="wrn.Aging._.and._.Trend._.Analysis._1_1_1_1_1_2_1_1_2" hidden="1">{#N/A,#N/A,FALSE,"Aging Summary";#N/A,#N/A,FALSE,"Ratio Analysis";#N/A,#N/A,FALSE,"Test 120 Day Accts";#N/A,#N/A,FALSE,"Tickmarks"}</definedName>
    <definedName name="wrn.Aging._.and._.Trend._.Analysis._1_1_1_1_1_2_1_2" hidden="1">{#N/A,#N/A,FALSE,"Aging Summary";#N/A,#N/A,FALSE,"Ratio Analysis";#N/A,#N/A,FALSE,"Test 120 Day Accts";#N/A,#N/A,FALSE,"Tickmarks"}</definedName>
    <definedName name="wrn.Aging._.and._.Trend._.Analysis._1_1_1_1_1_2_1_2_1" hidden="1">{#N/A,#N/A,FALSE,"Aging Summary";#N/A,#N/A,FALSE,"Ratio Analysis";#N/A,#N/A,FALSE,"Test 120 Day Accts";#N/A,#N/A,FALSE,"Tickmarks"}</definedName>
    <definedName name="wrn.Aging._.and._.Trend._.Analysis._1_1_1_1_1_2_2" hidden="1">{#N/A,#N/A,FALSE,"Aging Summary";#N/A,#N/A,FALSE,"Ratio Analysis";#N/A,#N/A,FALSE,"Test 120 Day Accts";#N/A,#N/A,FALSE,"Tickmarks"}</definedName>
    <definedName name="wrn.Aging._.and._.Trend._.Analysis._1_1_1_1_1_2_2_1" hidden="1">{#N/A,#N/A,FALSE,"Aging Summary";#N/A,#N/A,FALSE,"Ratio Analysis";#N/A,#N/A,FALSE,"Test 120 Day Accts";#N/A,#N/A,FALSE,"Tickmarks"}</definedName>
    <definedName name="wrn.Aging._.and._.Trend._.Analysis._1_1_1_1_1_2_2_1_1" hidden="1">{#N/A,#N/A,FALSE,"Aging Summary";#N/A,#N/A,FALSE,"Ratio Analysis";#N/A,#N/A,FALSE,"Test 120 Day Accts";#N/A,#N/A,FALSE,"Tickmarks"}</definedName>
    <definedName name="wrn.Aging._.and._.Trend._.Analysis._1_1_1_1_1_2_2_1_1_1" hidden="1">{#N/A,#N/A,FALSE,"Aging Summary";#N/A,#N/A,FALSE,"Ratio Analysis";#N/A,#N/A,FALSE,"Test 120 Day Accts";#N/A,#N/A,FALSE,"Tickmarks"}</definedName>
    <definedName name="wrn.Aging._.and._.Trend._.Analysis._1_1_1_1_1_2_2_2" hidden="1">{#N/A,#N/A,FALSE,"Aging Summary";#N/A,#N/A,FALSE,"Ratio Analysis";#N/A,#N/A,FALSE,"Test 120 Day Accts";#N/A,#N/A,FALSE,"Tickmarks"}</definedName>
    <definedName name="wrn.Aging._.and._.Trend._.Analysis._1_1_1_1_1_2_3" hidden="1">{#N/A,#N/A,FALSE,"Aging Summary";#N/A,#N/A,FALSE,"Ratio Analysis";#N/A,#N/A,FALSE,"Test 120 Day Accts";#N/A,#N/A,FALSE,"Tickmarks"}</definedName>
    <definedName name="wrn.Aging._.and._.Trend._.Analysis._1_1_1_1_1_2_3_1" hidden="1">{#N/A,#N/A,FALSE,"Aging Summary";#N/A,#N/A,FALSE,"Ratio Analysis";#N/A,#N/A,FALSE,"Test 120 Day Accts";#N/A,#N/A,FALSE,"Tickmarks"}</definedName>
    <definedName name="wrn.Aging._.and._.Trend._.Analysis._1_1_1_1_1_2_3_1_1" hidden="1">{#N/A,#N/A,FALSE,"Aging Summary";#N/A,#N/A,FALSE,"Ratio Analysis";#N/A,#N/A,FALSE,"Test 120 Day Accts";#N/A,#N/A,FALSE,"Tickmarks"}</definedName>
    <definedName name="wrn.Aging._.and._.Trend._.Analysis._1_1_1_1_1_2_4" hidden="1">{#N/A,#N/A,FALSE,"Aging Summary";#N/A,#N/A,FALSE,"Ratio Analysis";#N/A,#N/A,FALSE,"Test 120 Day Accts";#N/A,#N/A,FALSE,"Tickmarks"}</definedName>
    <definedName name="wrn.Aging._.and._.Trend._.Analysis._1_1_1_1_1_3" hidden="1">{#N/A,#N/A,FALSE,"Aging Summary";#N/A,#N/A,FALSE,"Ratio Analysis";#N/A,#N/A,FALSE,"Test 120 Day Accts";#N/A,#N/A,FALSE,"Tickmarks"}</definedName>
    <definedName name="wrn.Aging._.and._.Trend._.Analysis._1_1_1_1_1_3_1" hidden="1">{#N/A,#N/A,FALSE,"Aging Summary";#N/A,#N/A,FALSE,"Ratio Analysis";#N/A,#N/A,FALSE,"Test 120 Day Accts";#N/A,#N/A,FALSE,"Tickmarks"}</definedName>
    <definedName name="wrn.Aging._.and._.Trend._.Analysis._1_1_1_1_1_3_1_1" hidden="1">{#N/A,#N/A,FALSE,"Aging Summary";#N/A,#N/A,FALSE,"Ratio Analysis";#N/A,#N/A,FALSE,"Test 120 Day Accts";#N/A,#N/A,FALSE,"Tickmarks"}</definedName>
    <definedName name="wrn.Aging._.and._.Trend._.Analysis._1_1_1_1_1_3_1_1_1" hidden="1">{#N/A,#N/A,FALSE,"Aging Summary";#N/A,#N/A,FALSE,"Ratio Analysis";#N/A,#N/A,FALSE,"Test 120 Day Accts";#N/A,#N/A,FALSE,"Tickmarks"}</definedName>
    <definedName name="wrn.Aging._.and._.Trend._.Analysis._1_1_1_1_1_3_1_1_1_1" hidden="1">{#N/A,#N/A,FALSE,"Aging Summary";#N/A,#N/A,FALSE,"Ratio Analysis";#N/A,#N/A,FALSE,"Test 120 Day Accts";#N/A,#N/A,FALSE,"Tickmarks"}</definedName>
    <definedName name="wrn.Aging._.and._.Trend._.Analysis._1_1_1_1_1_3_1_2" hidden="1">{#N/A,#N/A,FALSE,"Aging Summary";#N/A,#N/A,FALSE,"Ratio Analysis";#N/A,#N/A,FALSE,"Test 120 Day Accts";#N/A,#N/A,FALSE,"Tickmarks"}</definedName>
    <definedName name="wrn.Aging._.and._.Trend._.Analysis._1_1_1_1_1_3_2" hidden="1">{#N/A,#N/A,FALSE,"Aging Summary";#N/A,#N/A,FALSE,"Ratio Analysis";#N/A,#N/A,FALSE,"Test 120 Day Accts";#N/A,#N/A,FALSE,"Tickmarks"}</definedName>
    <definedName name="wrn.Aging._.and._.Trend._.Analysis._1_1_1_1_1_3_2_1" hidden="1">{#N/A,#N/A,FALSE,"Aging Summary";#N/A,#N/A,FALSE,"Ratio Analysis";#N/A,#N/A,FALSE,"Test 120 Day Accts";#N/A,#N/A,FALSE,"Tickmarks"}</definedName>
    <definedName name="wrn.Aging._.and._.Trend._.Analysis._1_1_1_1_1_4" hidden="1">{#N/A,#N/A,FALSE,"Aging Summary";#N/A,#N/A,FALSE,"Ratio Analysis";#N/A,#N/A,FALSE,"Test 120 Day Accts";#N/A,#N/A,FALSE,"Tickmarks"}</definedName>
    <definedName name="wrn.Aging._.and._.Trend._.Analysis._1_1_1_1_1_4_1" hidden="1">{#N/A,#N/A,FALSE,"Aging Summary";#N/A,#N/A,FALSE,"Ratio Analysis";#N/A,#N/A,FALSE,"Test 120 Day Accts";#N/A,#N/A,FALSE,"Tickmarks"}</definedName>
    <definedName name="wrn.Aging._.and._.Trend._.Analysis._1_1_1_1_1_4_1_1" hidden="1">{#N/A,#N/A,FALSE,"Aging Summary";#N/A,#N/A,FALSE,"Ratio Analysis";#N/A,#N/A,FALSE,"Test 120 Day Accts";#N/A,#N/A,FALSE,"Tickmarks"}</definedName>
    <definedName name="wrn.Aging._.and._.Trend._.Analysis._1_1_1_1_1_5" hidden="1">{#N/A,#N/A,FALSE,"Aging Summary";#N/A,#N/A,FALSE,"Ratio Analysis";#N/A,#N/A,FALSE,"Test 120 Day Accts";#N/A,#N/A,FALSE,"Tickmarks"}</definedName>
    <definedName name="wrn.Aging._.and._.Trend._.Analysis._1_1_1_1_2" hidden="1">{#N/A,#N/A,FALSE,"Aging Summary";#N/A,#N/A,FALSE,"Ratio Analysis";#N/A,#N/A,FALSE,"Test 120 Day Accts";#N/A,#N/A,FALSE,"Tickmarks"}</definedName>
    <definedName name="wrn.Aging._.and._.Trend._.Analysis._1_1_1_1_2_1" hidden="1">{#N/A,#N/A,FALSE,"Aging Summary";#N/A,#N/A,FALSE,"Ratio Analysis";#N/A,#N/A,FALSE,"Test 120 Day Accts";#N/A,#N/A,FALSE,"Tickmarks"}</definedName>
    <definedName name="wrn.Aging._.and._.Trend._.Analysis._1_1_1_1_2_1_1" hidden="1">{#N/A,#N/A,FALSE,"Aging Summary";#N/A,#N/A,FALSE,"Ratio Analysis";#N/A,#N/A,FALSE,"Test 120 Day Accts";#N/A,#N/A,FALSE,"Tickmarks"}</definedName>
    <definedName name="wrn.Aging._.and._.Trend._.Analysis._1_1_1_1_2_1_1_1" hidden="1">{#N/A,#N/A,FALSE,"Aging Summary";#N/A,#N/A,FALSE,"Ratio Analysis";#N/A,#N/A,FALSE,"Test 120 Day Accts";#N/A,#N/A,FALSE,"Tickmarks"}</definedName>
    <definedName name="wrn.Aging._.and._.Trend._.Analysis._1_1_1_1_2_1_1_1_1" hidden="1">{#N/A,#N/A,FALSE,"Aging Summary";#N/A,#N/A,FALSE,"Ratio Analysis";#N/A,#N/A,FALSE,"Test 120 Day Accts";#N/A,#N/A,FALSE,"Tickmarks"}</definedName>
    <definedName name="wrn.Aging._.and._.Trend._.Analysis._1_1_1_1_2_1_1_1_1_1" hidden="1">{#N/A,#N/A,FALSE,"Aging Summary";#N/A,#N/A,FALSE,"Ratio Analysis";#N/A,#N/A,FALSE,"Test 120 Day Accts";#N/A,#N/A,FALSE,"Tickmarks"}</definedName>
    <definedName name="wrn.Aging._.and._.Trend._.Analysis._1_1_1_1_2_1_1_2" hidden="1">{#N/A,#N/A,FALSE,"Aging Summary";#N/A,#N/A,FALSE,"Ratio Analysis";#N/A,#N/A,FALSE,"Test 120 Day Accts";#N/A,#N/A,FALSE,"Tickmarks"}</definedName>
    <definedName name="wrn.Aging._.and._.Trend._.Analysis._1_1_1_1_2_1_2" hidden="1">{#N/A,#N/A,FALSE,"Aging Summary";#N/A,#N/A,FALSE,"Ratio Analysis";#N/A,#N/A,FALSE,"Test 120 Day Accts";#N/A,#N/A,FALSE,"Tickmarks"}</definedName>
    <definedName name="wrn.Aging._.and._.Trend._.Analysis._1_1_1_1_2_1_2_1" hidden="1">{#N/A,#N/A,FALSE,"Aging Summary";#N/A,#N/A,FALSE,"Ratio Analysis";#N/A,#N/A,FALSE,"Test 120 Day Accts";#N/A,#N/A,FALSE,"Tickmarks"}</definedName>
    <definedName name="wrn.Aging._.and._.Trend._.Analysis._1_1_1_1_2_2" hidden="1">{#N/A,#N/A,FALSE,"Aging Summary";#N/A,#N/A,FALSE,"Ratio Analysis";#N/A,#N/A,FALSE,"Test 120 Day Accts";#N/A,#N/A,FALSE,"Tickmarks"}</definedName>
    <definedName name="wrn.Aging._.and._.Trend._.Analysis._1_1_1_1_2_2_1" hidden="1">{#N/A,#N/A,FALSE,"Aging Summary";#N/A,#N/A,FALSE,"Ratio Analysis";#N/A,#N/A,FALSE,"Test 120 Day Accts";#N/A,#N/A,FALSE,"Tickmarks"}</definedName>
    <definedName name="wrn.Aging._.and._.Trend._.Analysis._1_1_1_1_2_2_1_1" hidden="1">{#N/A,#N/A,FALSE,"Aging Summary";#N/A,#N/A,FALSE,"Ratio Analysis";#N/A,#N/A,FALSE,"Test 120 Day Accts";#N/A,#N/A,FALSE,"Tickmarks"}</definedName>
    <definedName name="wrn.Aging._.and._.Trend._.Analysis._1_1_1_1_2_2_1_1_1" hidden="1">{#N/A,#N/A,FALSE,"Aging Summary";#N/A,#N/A,FALSE,"Ratio Analysis";#N/A,#N/A,FALSE,"Test 120 Day Accts";#N/A,#N/A,FALSE,"Tickmarks"}</definedName>
    <definedName name="wrn.Aging._.and._.Trend._.Analysis._1_1_1_1_2_2_2" hidden="1">{#N/A,#N/A,FALSE,"Aging Summary";#N/A,#N/A,FALSE,"Ratio Analysis";#N/A,#N/A,FALSE,"Test 120 Day Accts";#N/A,#N/A,FALSE,"Tickmarks"}</definedName>
    <definedName name="wrn.Aging._.and._.Trend._.Analysis._1_1_1_1_2_3" hidden="1">{#N/A,#N/A,FALSE,"Aging Summary";#N/A,#N/A,FALSE,"Ratio Analysis";#N/A,#N/A,FALSE,"Test 120 Day Accts";#N/A,#N/A,FALSE,"Tickmarks"}</definedName>
    <definedName name="wrn.Aging._.and._.Trend._.Analysis._1_1_1_1_2_3_1" hidden="1">{#N/A,#N/A,FALSE,"Aging Summary";#N/A,#N/A,FALSE,"Ratio Analysis";#N/A,#N/A,FALSE,"Test 120 Day Accts";#N/A,#N/A,FALSE,"Tickmarks"}</definedName>
    <definedName name="wrn.Aging._.and._.Trend._.Analysis._1_1_1_1_2_3_1_1" hidden="1">{#N/A,#N/A,FALSE,"Aging Summary";#N/A,#N/A,FALSE,"Ratio Analysis";#N/A,#N/A,FALSE,"Test 120 Day Accts";#N/A,#N/A,FALSE,"Tickmarks"}</definedName>
    <definedName name="wrn.Aging._.and._.Trend._.Analysis._1_1_1_1_2_4" hidden="1">{#N/A,#N/A,FALSE,"Aging Summary";#N/A,#N/A,FALSE,"Ratio Analysis";#N/A,#N/A,FALSE,"Test 120 Day Accts";#N/A,#N/A,FALSE,"Tickmarks"}</definedName>
    <definedName name="wrn.Aging._.and._.Trend._.Analysis._1_1_1_1_3" hidden="1">{#N/A,#N/A,FALSE,"Aging Summary";#N/A,#N/A,FALSE,"Ratio Analysis";#N/A,#N/A,FALSE,"Test 120 Day Accts";#N/A,#N/A,FALSE,"Tickmarks"}</definedName>
    <definedName name="wrn.Aging._.and._.Trend._.Analysis._1_1_1_1_3_1" hidden="1">{#N/A,#N/A,FALSE,"Aging Summary";#N/A,#N/A,FALSE,"Ratio Analysis";#N/A,#N/A,FALSE,"Test 120 Day Accts";#N/A,#N/A,FALSE,"Tickmarks"}</definedName>
    <definedName name="wrn.Aging._.and._.Trend._.Analysis._1_1_1_1_3_1_1" hidden="1">{#N/A,#N/A,FALSE,"Aging Summary";#N/A,#N/A,FALSE,"Ratio Analysis";#N/A,#N/A,FALSE,"Test 120 Day Accts";#N/A,#N/A,FALSE,"Tickmarks"}</definedName>
    <definedName name="wrn.Aging._.and._.Trend._.Analysis._1_1_1_1_3_1_1_1" hidden="1">{#N/A,#N/A,FALSE,"Aging Summary";#N/A,#N/A,FALSE,"Ratio Analysis";#N/A,#N/A,FALSE,"Test 120 Day Accts";#N/A,#N/A,FALSE,"Tickmarks"}</definedName>
    <definedName name="wrn.Aging._.and._.Trend._.Analysis._1_1_1_1_3_1_1_1_1" hidden="1">{#N/A,#N/A,FALSE,"Aging Summary";#N/A,#N/A,FALSE,"Ratio Analysis";#N/A,#N/A,FALSE,"Test 120 Day Accts";#N/A,#N/A,FALSE,"Tickmarks"}</definedName>
    <definedName name="wrn.Aging._.and._.Trend._.Analysis._1_1_1_1_3_1_2" hidden="1">{#N/A,#N/A,FALSE,"Aging Summary";#N/A,#N/A,FALSE,"Ratio Analysis";#N/A,#N/A,FALSE,"Test 120 Day Accts";#N/A,#N/A,FALSE,"Tickmarks"}</definedName>
    <definedName name="wrn.Aging._.and._.Trend._.Analysis._1_1_1_1_3_2" hidden="1">{#N/A,#N/A,FALSE,"Aging Summary";#N/A,#N/A,FALSE,"Ratio Analysis";#N/A,#N/A,FALSE,"Test 120 Day Accts";#N/A,#N/A,FALSE,"Tickmarks"}</definedName>
    <definedName name="wrn.Aging._.and._.Trend._.Analysis._1_1_1_1_3_2_1" hidden="1">{#N/A,#N/A,FALSE,"Aging Summary";#N/A,#N/A,FALSE,"Ratio Analysis";#N/A,#N/A,FALSE,"Test 120 Day Accts";#N/A,#N/A,FALSE,"Tickmarks"}</definedName>
    <definedName name="wrn.Aging._.and._.Trend._.Analysis._1_1_1_1_4" hidden="1">{#N/A,#N/A,FALSE,"Aging Summary";#N/A,#N/A,FALSE,"Ratio Analysis";#N/A,#N/A,FALSE,"Test 120 Day Accts";#N/A,#N/A,FALSE,"Tickmarks"}</definedName>
    <definedName name="wrn.Aging._.and._.Trend._.Analysis._1_1_1_1_4_1" hidden="1">{#N/A,#N/A,FALSE,"Aging Summary";#N/A,#N/A,FALSE,"Ratio Analysis";#N/A,#N/A,FALSE,"Test 120 Day Accts";#N/A,#N/A,FALSE,"Tickmarks"}</definedName>
    <definedName name="wrn.Aging._.and._.Trend._.Analysis._1_1_1_1_4_1_1" hidden="1">{#N/A,#N/A,FALSE,"Aging Summary";#N/A,#N/A,FALSE,"Ratio Analysis";#N/A,#N/A,FALSE,"Test 120 Day Accts";#N/A,#N/A,FALSE,"Tickmarks"}</definedName>
    <definedName name="wrn.Aging._.and._.Trend._.Analysis._1_1_1_1_5" hidden="1">{#N/A,#N/A,FALSE,"Aging Summary";#N/A,#N/A,FALSE,"Ratio Analysis";#N/A,#N/A,FALSE,"Test 120 Day Accts";#N/A,#N/A,FALSE,"Tickmarks"}</definedName>
    <definedName name="wrn.Aging._.and._.Trend._.Analysis._1_1_1_2" hidden="1">{#N/A,#N/A,FALSE,"Aging Summary";#N/A,#N/A,FALSE,"Ratio Analysis";#N/A,#N/A,FALSE,"Test 120 Day Accts";#N/A,#N/A,FALSE,"Tickmarks"}</definedName>
    <definedName name="wrn.Aging._.and._.Trend._.Analysis._1_1_1_2_1" hidden="1">{#N/A,#N/A,FALSE,"Aging Summary";#N/A,#N/A,FALSE,"Ratio Analysis";#N/A,#N/A,FALSE,"Test 120 Day Accts";#N/A,#N/A,FALSE,"Tickmarks"}</definedName>
    <definedName name="wrn.Aging._.and._.Trend._.Analysis._1_1_1_2_1_1" hidden="1">{#N/A,#N/A,FALSE,"Aging Summary";#N/A,#N/A,FALSE,"Ratio Analysis";#N/A,#N/A,FALSE,"Test 120 Day Accts";#N/A,#N/A,FALSE,"Tickmarks"}</definedName>
    <definedName name="wrn.Aging._.and._.Trend._.Analysis._1_1_1_2_1_1_1" hidden="1">{#N/A,#N/A,FALSE,"Aging Summary";#N/A,#N/A,FALSE,"Ratio Analysis";#N/A,#N/A,FALSE,"Test 120 Day Accts";#N/A,#N/A,FALSE,"Tickmarks"}</definedName>
    <definedName name="wrn.Aging._.and._.Trend._.Analysis._1_1_1_2_1_1_1_1" hidden="1">{#N/A,#N/A,FALSE,"Aging Summary";#N/A,#N/A,FALSE,"Ratio Analysis";#N/A,#N/A,FALSE,"Test 120 Day Accts";#N/A,#N/A,FALSE,"Tickmarks"}</definedName>
    <definedName name="wrn.Aging._.and._.Trend._.Analysis._1_1_1_2_1_1_1_1_1" hidden="1">{#N/A,#N/A,FALSE,"Aging Summary";#N/A,#N/A,FALSE,"Ratio Analysis";#N/A,#N/A,FALSE,"Test 120 Day Accts";#N/A,#N/A,FALSE,"Tickmarks"}</definedName>
    <definedName name="wrn.Aging._.and._.Trend._.Analysis._1_1_1_2_1_1_1_1_1_1" hidden="1">{#N/A,#N/A,FALSE,"Aging Summary";#N/A,#N/A,FALSE,"Ratio Analysis";#N/A,#N/A,FALSE,"Test 120 Day Accts";#N/A,#N/A,FALSE,"Tickmarks"}</definedName>
    <definedName name="wrn.Aging._.and._.Trend._.Analysis._1_1_1_2_1_1_1_2" hidden="1">{#N/A,#N/A,FALSE,"Aging Summary";#N/A,#N/A,FALSE,"Ratio Analysis";#N/A,#N/A,FALSE,"Test 120 Day Accts";#N/A,#N/A,FALSE,"Tickmarks"}</definedName>
    <definedName name="wrn.Aging._.and._.Trend._.Analysis._1_1_1_2_1_1_2" hidden="1">{#N/A,#N/A,FALSE,"Aging Summary";#N/A,#N/A,FALSE,"Ratio Analysis";#N/A,#N/A,FALSE,"Test 120 Day Accts";#N/A,#N/A,FALSE,"Tickmarks"}</definedName>
    <definedName name="wrn.Aging._.and._.Trend._.Analysis._1_1_1_2_1_1_2_1" hidden="1">{#N/A,#N/A,FALSE,"Aging Summary";#N/A,#N/A,FALSE,"Ratio Analysis";#N/A,#N/A,FALSE,"Test 120 Day Accts";#N/A,#N/A,FALSE,"Tickmarks"}</definedName>
    <definedName name="wrn.Aging._.and._.Trend._.Analysis._1_1_1_2_1_2" hidden="1">{#N/A,#N/A,FALSE,"Aging Summary";#N/A,#N/A,FALSE,"Ratio Analysis";#N/A,#N/A,FALSE,"Test 120 Day Accts";#N/A,#N/A,FALSE,"Tickmarks"}</definedName>
    <definedName name="wrn.Aging._.and._.Trend._.Analysis._1_1_1_2_1_2_1" hidden="1">{#N/A,#N/A,FALSE,"Aging Summary";#N/A,#N/A,FALSE,"Ratio Analysis";#N/A,#N/A,FALSE,"Test 120 Day Accts";#N/A,#N/A,FALSE,"Tickmarks"}</definedName>
    <definedName name="wrn.Aging._.and._.Trend._.Analysis._1_1_1_2_1_2_1_1" hidden="1">{#N/A,#N/A,FALSE,"Aging Summary";#N/A,#N/A,FALSE,"Ratio Analysis";#N/A,#N/A,FALSE,"Test 120 Day Accts";#N/A,#N/A,FALSE,"Tickmarks"}</definedName>
    <definedName name="wrn.Aging._.and._.Trend._.Analysis._1_1_1_2_1_2_1_1_1" hidden="1">{#N/A,#N/A,FALSE,"Aging Summary";#N/A,#N/A,FALSE,"Ratio Analysis";#N/A,#N/A,FALSE,"Test 120 Day Accts";#N/A,#N/A,FALSE,"Tickmarks"}</definedName>
    <definedName name="wrn.Aging._.and._.Trend._.Analysis._1_1_1_2_1_2_2" hidden="1">{#N/A,#N/A,FALSE,"Aging Summary";#N/A,#N/A,FALSE,"Ratio Analysis";#N/A,#N/A,FALSE,"Test 120 Day Accts";#N/A,#N/A,FALSE,"Tickmarks"}</definedName>
    <definedName name="wrn.Aging._.and._.Trend._.Analysis._1_1_1_2_1_3" hidden="1">{#N/A,#N/A,FALSE,"Aging Summary";#N/A,#N/A,FALSE,"Ratio Analysis";#N/A,#N/A,FALSE,"Test 120 Day Accts";#N/A,#N/A,FALSE,"Tickmarks"}</definedName>
    <definedName name="wrn.Aging._.and._.Trend._.Analysis._1_1_1_2_1_3_1" hidden="1">{#N/A,#N/A,FALSE,"Aging Summary";#N/A,#N/A,FALSE,"Ratio Analysis";#N/A,#N/A,FALSE,"Test 120 Day Accts";#N/A,#N/A,FALSE,"Tickmarks"}</definedName>
    <definedName name="wrn.Aging._.and._.Trend._.Analysis._1_1_1_2_1_3_1_1" hidden="1">{#N/A,#N/A,FALSE,"Aging Summary";#N/A,#N/A,FALSE,"Ratio Analysis";#N/A,#N/A,FALSE,"Test 120 Day Accts";#N/A,#N/A,FALSE,"Tickmarks"}</definedName>
    <definedName name="wrn.Aging._.and._.Trend._.Analysis._1_1_1_2_1_4" hidden="1">{#N/A,#N/A,FALSE,"Aging Summary";#N/A,#N/A,FALSE,"Ratio Analysis";#N/A,#N/A,FALSE,"Test 120 Day Accts";#N/A,#N/A,FALSE,"Tickmarks"}</definedName>
    <definedName name="wrn.Aging._.and._.Trend._.Analysis._1_1_1_2_2" hidden="1">{#N/A,#N/A,FALSE,"Aging Summary";#N/A,#N/A,FALSE,"Ratio Analysis";#N/A,#N/A,FALSE,"Test 120 Day Accts";#N/A,#N/A,FALSE,"Tickmarks"}</definedName>
    <definedName name="wrn.Aging._.and._.Trend._.Analysis._1_1_1_2_2_1" hidden="1">{#N/A,#N/A,FALSE,"Aging Summary";#N/A,#N/A,FALSE,"Ratio Analysis";#N/A,#N/A,FALSE,"Test 120 Day Accts";#N/A,#N/A,FALSE,"Tickmarks"}</definedName>
    <definedName name="wrn.Aging._.and._.Trend._.Analysis._1_1_1_2_2_1_1" hidden="1">{#N/A,#N/A,FALSE,"Aging Summary";#N/A,#N/A,FALSE,"Ratio Analysis";#N/A,#N/A,FALSE,"Test 120 Day Accts";#N/A,#N/A,FALSE,"Tickmarks"}</definedName>
    <definedName name="wrn.Aging._.and._.Trend._.Analysis._1_1_1_2_2_1_1_1" hidden="1">{#N/A,#N/A,FALSE,"Aging Summary";#N/A,#N/A,FALSE,"Ratio Analysis";#N/A,#N/A,FALSE,"Test 120 Day Accts";#N/A,#N/A,FALSE,"Tickmarks"}</definedName>
    <definedName name="wrn.Aging._.and._.Trend._.Analysis._1_1_1_2_2_1_1_1_1" hidden="1">{#N/A,#N/A,FALSE,"Aging Summary";#N/A,#N/A,FALSE,"Ratio Analysis";#N/A,#N/A,FALSE,"Test 120 Day Accts";#N/A,#N/A,FALSE,"Tickmarks"}</definedName>
    <definedName name="wrn.Aging._.and._.Trend._.Analysis._1_1_1_2_2_1_2" hidden="1">{#N/A,#N/A,FALSE,"Aging Summary";#N/A,#N/A,FALSE,"Ratio Analysis";#N/A,#N/A,FALSE,"Test 120 Day Accts";#N/A,#N/A,FALSE,"Tickmarks"}</definedName>
    <definedName name="wrn.Aging._.and._.Trend._.Analysis._1_1_1_2_2_2" hidden="1">{#N/A,#N/A,FALSE,"Aging Summary";#N/A,#N/A,FALSE,"Ratio Analysis";#N/A,#N/A,FALSE,"Test 120 Day Accts";#N/A,#N/A,FALSE,"Tickmarks"}</definedName>
    <definedName name="wrn.Aging._.and._.Trend._.Analysis._1_1_1_2_2_2_1" hidden="1">{#N/A,#N/A,FALSE,"Aging Summary";#N/A,#N/A,FALSE,"Ratio Analysis";#N/A,#N/A,FALSE,"Test 120 Day Accts";#N/A,#N/A,FALSE,"Tickmarks"}</definedName>
    <definedName name="wrn.Aging._.and._.Trend._.Analysis._1_1_1_2_3" hidden="1">{#N/A,#N/A,FALSE,"Aging Summary";#N/A,#N/A,FALSE,"Ratio Analysis";#N/A,#N/A,FALSE,"Test 120 Day Accts";#N/A,#N/A,FALSE,"Tickmarks"}</definedName>
    <definedName name="wrn.Aging._.and._.Trend._.Analysis._1_1_1_2_3_1" hidden="1">{#N/A,#N/A,FALSE,"Aging Summary";#N/A,#N/A,FALSE,"Ratio Analysis";#N/A,#N/A,FALSE,"Test 120 Day Accts";#N/A,#N/A,FALSE,"Tickmarks"}</definedName>
    <definedName name="wrn.Aging._.and._.Trend._.Analysis._1_1_1_2_3_1_1" hidden="1">{#N/A,#N/A,FALSE,"Aging Summary";#N/A,#N/A,FALSE,"Ratio Analysis";#N/A,#N/A,FALSE,"Test 120 Day Accts";#N/A,#N/A,FALSE,"Tickmarks"}</definedName>
    <definedName name="wrn.Aging._.and._.Trend._.Analysis._1_1_1_2_4" hidden="1">{#N/A,#N/A,FALSE,"Aging Summary";#N/A,#N/A,FALSE,"Ratio Analysis";#N/A,#N/A,FALSE,"Test 120 Day Accts";#N/A,#N/A,FALSE,"Tickmarks"}</definedName>
    <definedName name="wrn.Aging._.and._.Trend._.Analysis._1_1_1_3" hidden="1">{#N/A,#N/A,FALSE,"Aging Summary";#N/A,#N/A,FALSE,"Ratio Analysis";#N/A,#N/A,FALSE,"Test 120 Day Accts";#N/A,#N/A,FALSE,"Tickmarks"}</definedName>
    <definedName name="wrn.Aging._.and._.Trend._.Analysis._1_1_1_3_1" hidden="1">{#N/A,#N/A,FALSE,"Aging Summary";#N/A,#N/A,FALSE,"Ratio Analysis";#N/A,#N/A,FALSE,"Test 120 Day Accts";#N/A,#N/A,FALSE,"Tickmarks"}</definedName>
    <definedName name="wrn.Aging._.and._.Trend._.Analysis._1_1_1_3_1_1" hidden="1">{#N/A,#N/A,FALSE,"Aging Summary";#N/A,#N/A,FALSE,"Ratio Analysis";#N/A,#N/A,FALSE,"Test 120 Day Accts";#N/A,#N/A,FALSE,"Tickmarks"}</definedName>
    <definedName name="wrn.Aging._.and._.Trend._.Analysis._1_1_1_3_1_1_1" hidden="1">{#N/A,#N/A,FALSE,"Aging Summary";#N/A,#N/A,FALSE,"Ratio Analysis";#N/A,#N/A,FALSE,"Test 120 Day Accts";#N/A,#N/A,FALSE,"Tickmarks"}</definedName>
    <definedName name="wrn.Aging._.and._.Trend._.Analysis._1_1_1_3_1_1_1_1" hidden="1">{#N/A,#N/A,FALSE,"Aging Summary";#N/A,#N/A,FALSE,"Ratio Analysis";#N/A,#N/A,FALSE,"Test 120 Day Accts";#N/A,#N/A,FALSE,"Tickmarks"}</definedName>
    <definedName name="wrn.Aging._.and._.Trend._.Analysis._1_1_1_3_1_1_1_1_1" hidden="1">{#N/A,#N/A,FALSE,"Aging Summary";#N/A,#N/A,FALSE,"Ratio Analysis";#N/A,#N/A,FALSE,"Test 120 Day Accts";#N/A,#N/A,FALSE,"Tickmarks"}</definedName>
    <definedName name="wrn.Aging._.and._.Trend._.Analysis._1_1_1_3_1_1_2" hidden="1">{#N/A,#N/A,FALSE,"Aging Summary";#N/A,#N/A,FALSE,"Ratio Analysis";#N/A,#N/A,FALSE,"Test 120 Day Accts";#N/A,#N/A,FALSE,"Tickmarks"}</definedName>
    <definedName name="wrn.Aging._.and._.Trend._.Analysis._1_1_1_3_1_2" hidden="1">{#N/A,#N/A,FALSE,"Aging Summary";#N/A,#N/A,FALSE,"Ratio Analysis";#N/A,#N/A,FALSE,"Test 120 Day Accts";#N/A,#N/A,FALSE,"Tickmarks"}</definedName>
    <definedName name="wrn.Aging._.and._.Trend._.Analysis._1_1_1_3_1_2_1" hidden="1">{#N/A,#N/A,FALSE,"Aging Summary";#N/A,#N/A,FALSE,"Ratio Analysis";#N/A,#N/A,FALSE,"Test 120 Day Accts";#N/A,#N/A,FALSE,"Tickmarks"}</definedName>
    <definedName name="wrn.Aging._.and._.Trend._.Analysis._1_1_1_3_2" hidden="1">{#N/A,#N/A,FALSE,"Aging Summary";#N/A,#N/A,FALSE,"Ratio Analysis";#N/A,#N/A,FALSE,"Test 120 Day Accts";#N/A,#N/A,FALSE,"Tickmarks"}</definedName>
    <definedName name="wrn.Aging._.and._.Trend._.Analysis._1_1_1_3_2_1" hidden="1">{#N/A,#N/A,FALSE,"Aging Summary";#N/A,#N/A,FALSE,"Ratio Analysis";#N/A,#N/A,FALSE,"Test 120 Day Accts";#N/A,#N/A,FALSE,"Tickmarks"}</definedName>
    <definedName name="wrn.Aging._.and._.Trend._.Analysis._1_1_1_3_2_1_1" hidden="1">{#N/A,#N/A,FALSE,"Aging Summary";#N/A,#N/A,FALSE,"Ratio Analysis";#N/A,#N/A,FALSE,"Test 120 Day Accts";#N/A,#N/A,FALSE,"Tickmarks"}</definedName>
    <definedName name="wrn.Aging._.and._.Trend._.Analysis._1_1_1_3_2_1_1_1" hidden="1">{#N/A,#N/A,FALSE,"Aging Summary";#N/A,#N/A,FALSE,"Ratio Analysis";#N/A,#N/A,FALSE,"Test 120 Day Accts";#N/A,#N/A,FALSE,"Tickmarks"}</definedName>
    <definedName name="wrn.Aging._.and._.Trend._.Analysis._1_1_1_3_2_2" hidden="1">{#N/A,#N/A,FALSE,"Aging Summary";#N/A,#N/A,FALSE,"Ratio Analysis";#N/A,#N/A,FALSE,"Test 120 Day Accts";#N/A,#N/A,FALSE,"Tickmarks"}</definedName>
    <definedName name="wrn.Aging._.and._.Trend._.Analysis._1_1_1_3_3" hidden="1">{#N/A,#N/A,FALSE,"Aging Summary";#N/A,#N/A,FALSE,"Ratio Analysis";#N/A,#N/A,FALSE,"Test 120 Day Accts";#N/A,#N/A,FALSE,"Tickmarks"}</definedName>
    <definedName name="wrn.Aging._.and._.Trend._.Analysis._1_1_1_3_3_1" hidden="1">{#N/A,#N/A,FALSE,"Aging Summary";#N/A,#N/A,FALSE,"Ratio Analysis";#N/A,#N/A,FALSE,"Test 120 Day Accts";#N/A,#N/A,FALSE,"Tickmarks"}</definedName>
    <definedName name="wrn.Aging._.and._.Trend._.Analysis._1_1_1_3_3_1_1" hidden="1">{#N/A,#N/A,FALSE,"Aging Summary";#N/A,#N/A,FALSE,"Ratio Analysis";#N/A,#N/A,FALSE,"Test 120 Day Accts";#N/A,#N/A,FALSE,"Tickmarks"}</definedName>
    <definedName name="wrn.Aging._.and._.Trend._.Analysis._1_1_1_3_4" hidden="1">{#N/A,#N/A,FALSE,"Aging Summary";#N/A,#N/A,FALSE,"Ratio Analysis";#N/A,#N/A,FALSE,"Test 120 Day Accts";#N/A,#N/A,FALSE,"Tickmarks"}</definedName>
    <definedName name="wrn.Aging._.and._.Trend._.Analysis._1_1_1_4" hidden="1">{#N/A,#N/A,FALSE,"Aging Summary";#N/A,#N/A,FALSE,"Ratio Analysis";#N/A,#N/A,FALSE,"Test 120 Day Accts";#N/A,#N/A,FALSE,"Tickmarks"}</definedName>
    <definedName name="wrn.Aging._.and._.Trend._.Analysis._1_1_1_4_1" hidden="1">{#N/A,#N/A,FALSE,"Aging Summary";#N/A,#N/A,FALSE,"Ratio Analysis";#N/A,#N/A,FALSE,"Test 120 Day Accts";#N/A,#N/A,FALSE,"Tickmarks"}</definedName>
    <definedName name="wrn.Aging._.and._.Trend._.Analysis._1_1_1_4_1_1" hidden="1">{#N/A,#N/A,FALSE,"Aging Summary";#N/A,#N/A,FALSE,"Ratio Analysis";#N/A,#N/A,FALSE,"Test 120 Day Accts";#N/A,#N/A,FALSE,"Tickmarks"}</definedName>
    <definedName name="wrn.Aging._.and._.Trend._.Analysis._1_1_1_4_1_1_1" hidden="1">{#N/A,#N/A,FALSE,"Aging Summary";#N/A,#N/A,FALSE,"Ratio Analysis";#N/A,#N/A,FALSE,"Test 120 Day Accts";#N/A,#N/A,FALSE,"Tickmarks"}</definedName>
    <definedName name="wrn.Aging._.and._.Trend._.Analysis._1_1_1_4_1_1_1_1" hidden="1">{#N/A,#N/A,FALSE,"Aging Summary";#N/A,#N/A,FALSE,"Ratio Analysis";#N/A,#N/A,FALSE,"Test 120 Day Accts";#N/A,#N/A,FALSE,"Tickmarks"}</definedName>
    <definedName name="wrn.Aging._.and._.Trend._.Analysis._1_1_1_4_1_2" hidden="1">{#N/A,#N/A,FALSE,"Aging Summary";#N/A,#N/A,FALSE,"Ratio Analysis";#N/A,#N/A,FALSE,"Test 120 Day Accts";#N/A,#N/A,FALSE,"Tickmarks"}</definedName>
    <definedName name="wrn.Aging._.and._.Trend._.Analysis._1_1_1_4_2" hidden="1">{#N/A,#N/A,FALSE,"Aging Summary";#N/A,#N/A,FALSE,"Ratio Analysis";#N/A,#N/A,FALSE,"Test 120 Day Accts";#N/A,#N/A,FALSE,"Tickmarks"}</definedName>
    <definedName name="wrn.Aging._.and._.Trend._.Analysis._1_1_1_4_2_1" hidden="1">{#N/A,#N/A,FALSE,"Aging Summary";#N/A,#N/A,FALSE,"Ratio Analysis";#N/A,#N/A,FALSE,"Test 120 Day Accts";#N/A,#N/A,FALSE,"Tickmarks"}</definedName>
    <definedName name="wrn.Aging._.and._.Trend._.Analysis._1_1_1_5" hidden="1">{#N/A,#N/A,FALSE,"Aging Summary";#N/A,#N/A,FALSE,"Ratio Analysis";#N/A,#N/A,FALSE,"Test 120 Day Accts";#N/A,#N/A,FALSE,"Tickmarks"}</definedName>
    <definedName name="wrn.Aging._.and._.Trend._.Analysis._1_1_1_5_1" hidden="1">{#N/A,#N/A,FALSE,"Aging Summary";#N/A,#N/A,FALSE,"Ratio Analysis";#N/A,#N/A,FALSE,"Test 120 Day Accts";#N/A,#N/A,FALSE,"Tickmarks"}</definedName>
    <definedName name="wrn.Aging._.and._.Trend._.Analysis._1_1_1_5_1_1" hidden="1">{#N/A,#N/A,FALSE,"Aging Summary";#N/A,#N/A,FALSE,"Ratio Analysis";#N/A,#N/A,FALSE,"Test 120 Day Accts";#N/A,#N/A,FALSE,"Tickmarks"}</definedName>
    <definedName name="wrn.Aging._.and._.Trend._.Analysis._1_1_2" hidden="1">{#N/A,#N/A,FALSE,"Aging Summary";#N/A,#N/A,FALSE,"Ratio Analysis";#N/A,#N/A,FALSE,"Test 120 Day Accts";#N/A,#N/A,FALSE,"Tickmarks"}</definedName>
    <definedName name="wrn.Aging._.and._.Trend._.Analysis._1_1_2_1" hidden="1">{#N/A,#N/A,FALSE,"Aging Summary";#N/A,#N/A,FALSE,"Ratio Analysis";#N/A,#N/A,FALSE,"Test 120 Day Accts";#N/A,#N/A,FALSE,"Tickmarks"}</definedName>
    <definedName name="wrn.Aging._.and._.Trend._.Analysis._1_1_2_1_1" hidden="1">{#N/A,#N/A,FALSE,"Aging Summary";#N/A,#N/A,FALSE,"Ratio Analysis";#N/A,#N/A,FALSE,"Test 120 Day Accts";#N/A,#N/A,FALSE,"Tickmarks"}</definedName>
    <definedName name="wrn.Aging._.and._.Trend._.Analysis._1_1_2_1_1_1" hidden="1">{#N/A,#N/A,FALSE,"Aging Summary";#N/A,#N/A,FALSE,"Ratio Analysis";#N/A,#N/A,FALSE,"Test 120 Day Accts";#N/A,#N/A,FALSE,"Tickmarks"}</definedName>
    <definedName name="wrn.Aging._.and._.Trend._.Analysis._1_1_2_1_1_1_1" hidden="1">{#N/A,#N/A,FALSE,"Aging Summary";#N/A,#N/A,FALSE,"Ratio Analysis";#N/A,#N/A,FALSE,"Test 120 Day Accts";#N/A,#N/A,FALSE,"Tickmarks"}</definedName>
    <definedName name="wrn.Aging._.and._.Trend._.Analysis._1_1_2_1_1_1_1_1" hidden="1">{#N/A,#N/A,FALSE,"Aging Summary";#N/A,#N/A,FALSE,"Ratio Analysis";#N/A,#N/A,FALSE,"Test 120 Day Accts";#N/A,#N/A,FALSE,"Tickmarks"}</definedName>
    <definedName name="wrn.Aging._.and._.Trend._.Analysis._1_1_2_1_1_1_1_1_1" hidden="1">{#N/A,#N/A,FALSE,"Aging Summary";#N/A,#N/A,FALSE,"Ratio Analysis";#N/A,#N/A,FALSE,"Test 120 Day Accts";#N/A,#N/A,FALSE,"Tickmarks"}</definedName>
    <definedName name="wrn.Aging._.and._.Trend._.Analysis._1_1_2_1_1_1_1_1_1_1" hidden="1">{#N/A,#N/A,FALSE,"Aging Summary";#N/A,#N/A,FALSE,"Ratio Analysis";#N/A,#N/A,FALSE,"Test 120 Day Accts";#N/A,#N/A,FALSE,"Tickmarks"}</definedName>
    <definedName name="wrn.Aging._.and._.Trend._.Analysis._1_1_2_1_1_1_1_2" hidden="1">{#N/A,#N/A,FALSE,"Aging Summary";#N/A,#N/A,FALSE,"Ratio Analysis";#N/A,#N/A,FALSE,"Test 120 Day Accts";#N/A,#N/A,FALSE,"Tickmarks"}</definedName>
    <definedName name="wrn.Aging._.and._.Trend._.Analysis._1_1_2_1_1_1_2" hidden="1">{#N/A,#N/A,FALSE,"Aging Summary";#N/A,#N/A,FALSE,"Ratio Analysis";#N/A,#N/A,FALSE,"Test 120 Day Accts";#N/A,#N/A,FALSE,"Tickmarks"}</definedName>
    <definedName name="wrn.Aging._.and._.Trend._.Analysis._1_1_2_1_1_1_2_1" hidden="1">{#N/A,#N/A,FALSE,"Aging Summary";#N/A,#N/A,FALSE,"Ratio Analysis";#N/A,#N/A,FALSE,"Test 120 Day Accts";#N/A,#N/A,FALSE,"Tickmarks"}</definedName>
    <definedName name="wrn.Aging._.and._.Trend._.Analysis._1_1_2_1_1_2" hidden="1">{#N/A,#N/A,FALSE,"Aging Summary";#N/A,#N/A,FALSE,"Ratio Analysis";#N/A,#N/A,FALSE,"Test 120 Day Accts";#N/A,#N/A,FALSE,"Tickmarks"}</definedName>
    <definedName name="wrn.Aging._.and._.Trend._.Analysis._1_1_2_1_1_2_1" hidden="1">{#N/A,#N/A,FALSE,"Aging Summary";#N/A,#N/A,FALSE,"Ratio Analysis";#N/A,#N/A,FALSE,"Test 120 Day Accts";#N/A,#N/A,FALSE,"Tickmarks"}</definedName>
    <definedName name="wrn.Aging._.and._.Trend._.Analysis._1_1_2_1_1_2_1_1" hidden="1">{#N/A,#N/A,FALSE,"Aging Summary";#N/A,#N/A,FALSE,"Ratio Analysis";#N/A,#N/A,FALSE,"Test 120 Day Accts";#N/A,#N/A,FALSE,"Tickmarks"}</definedName>
    <definedName name="wrn.Aging._.and._.Trend._.Analysis._1_1_2_1_1_2_1_1_1" hidden="1">{#N/A,#N/A,FALSE,"Aging Summary";#N/A,#N/A,FALSE,"Ratio Analysis";#N/A,#N/A,FALSE,"Test 120 Day Accts";#N/A,#N/A,FALSE,"Tickmarks"}</definedName>
    <definedName name="wrn.Aging._.and._.Trend._.Analysis._1_1_2_1_1_2_2" hidden="1">{#N/A,#N/A,FALSE,"Aging Summary";#N/A,#N/A,FALSE,"Ratio Analysis";#N/A,#N/A,FALSE,"Test 120 Day Accts";#N/A,#N/A,FALSE,"Tickmarks"}</definedName>
    <definedName name="wrn.Aging._.and._.Trend._.Analysis._1_1_2_1_1_3" hidden="1">{#N/A,#N/A,FALSE,"Aging Summary";#N/A,#N/A,FALSE,"Ratio Analysis";#N/A,#N/A,FALSE,"Test 120 Day Accts";#N/A,#N/A,FALSE,"Tickmarks"}</definedName>
    <definedName name="wrn.Aging._.and._.Trend._.Analysis._1_1_2_1_1_3_1" hidden="1">{#N/A,#N/A,FALSE,"Aging Summary";#N/A,#N/A,FALSE,"Ratio Analysis";#N/A,#N/A,FALSE,"Test 120 Day Accts";#N/A,#N/A,FALSE,"Tickmarks"}</definedName>
    <definedName name="wrn.Aging._.and._.Trend._.Analysis._1_1_2_1_1_3_1_1" hidden="1">{#N/A,#N/A,FALSE,"Aging Summary";#N/A,#N/A,FALSE,"Ratio Analysis";#N/A,#N/A,FALSE,"Test 120 Day Accts";#N/A,#N/A,FALSE,"Tickmarks"}</definedName>
    <definedName name="wrn.Aging._.and._.Trend._.Analysis._1_1_2_1_1_4" hidden="1">{#N/A,#N/A,FALSE,"Aging Summary";#N/A,#N/A,FALSE,"Ratio Analysis";#N/A,#N/A,FALSE,"Test 120 Day Accts";#N/A,#N/A,FALSE,"Tickmarks"}</definedName>
    <definedName name="wrn.Aging._.and._.Trend._.Analysis._1_1_2_1_2" hidden="1">{#N/A,#N/A,FALSE,"Aging Summary";#N/A,#N/A,FALSE,"Ratio Analysis";#N/A,#N/A,FALSE,"Test 120 Day Accts";#N/A,#N/A,FALSE,"Tickmarks"}</definedName>
    <definedName name="wrn.Aging._.and._.Trend._.Analysis._1_1_2_1_2_1" hidden="1">{#N/A,#N/A,FALSE,"Aging Summary";#N/A,#N/A,FALSE,"Ratio Analysis";#N/A,#N/A,FALSE,"Test 120 Day Accts";#N/A,#N/A,FALSE,"Tickmarks"}</definedName>
    <definedName name="wrn.Aging._.and._.Trend._.Analysis._1_1_2_1_2_1_1" hidden="1">{#N/A,#N/A,FALSE,"Aging Summary";#N/A,#N/A,FALSE,"Ratio Analysis";#N/A,#N/A,FALSE,"Test 120 Day Accts";#N/A,#N/A,FALSE,"Tickmarks"}</definedName>
    <definedName name="wrn.Aging._.and._.Trend._.Analysis._1_1_2_1_2_1_1_1" hidden="1">{#N/A,#N/A,FALSE,"Aging Summary";#N/A,#N/A,FALSE,"Ratio Analysis";#N/A,#N/A,FALSE,"Test 120 Day Accts";#N/A,#N/A,FALSE,"Tickmarks"}</definedName>
    <definedName name="wrn.Aging._.and._.Trend._.Analysis._1_1_2_1_2_1_1_1_1" hidden="1">{#N/A,#N/A,FALSE,"Aging Summary";#N/A,#N/A,FALSE,"Ratio Analysis";#N/A,#N/A,FALSE,"Test 120 Day Accts";#N/A,#N/A,FALSE,"Tickmarks"}</definedName>
    <definedName name="wrn.Aging._.and._.Trend._.Analysis._1_1_2_1_2_1_2" hidden="1">{#N/A,#N/A,FALSE,"Aging Summary";#N/A,#N/A,FALSE,"Ratio Analysis";#N/A,#N/A,FALSE,"Test 120 Day Accts";#N/A,#N/A,FALSE,"Tickmarks"}</definedName>
    <definedName name="wrn.Aging._.and._.Trend._.Analysis._1_1_2_1_2_2" hidden="1">{#N/A,#N/A,FALSE,"Aging Summary";#N/A,#N/A,FALSE,"Ratio Analysis";#N/A,#N/A,FALSE,"Test 120 Day Accts";#N/A,#N/A,FALSE,"Tickmarks"}</definedName>
    <definedName name="wrn.Aging._.and._.Trend._.Analysis._1_1_2_1_2_2_1" hidden="1">{#N/A,#N/A,FALSE,"Aging Summary";#N/A,#N/A,FALSE,"Ratio Analysis";#N/A,#N/A,FALSE,"Test 120 Day Accts";#N/A,#N/A,FALSE,"Tickmarks"}</definedName>
    <definedName name="wrn.Aging._.and._.Trend._.Analysis._1_1_2_1_3" hidden="1">{#N/A,#N/A,FALSE,"Aging Summary";#N/A,#N/A,FALSE,"Ratio Analysis";#N/A,#N/A,FALSE,"Test 120 Day Accts";#N/A,#N/A,FALSE,"Tickmarks"}</definedName>
    <definedName name="wrn.Aging._.and._.Trend._.Analysis._1_1_2_1_3_1" hidden="1">{#N/A,#N/A,FALSE,"Aging Summary";#N/A,#N/A,FALSE,"Ratio Analysis";#N/A,#N/A,FALSE,"Test 120 Day Accts";#N/A,#N/A,FALSE,"Tickmarks"}</definedName>
    <definedName name="wrn.Aging._.and._.Trend._.Analysis._1_1_2_1_3_1_1" hidden="1">{#N/A,#N/A,FALSE,"Aging Summary";#N/A,#N/A,FALSE,"Ratio Analysis";#N/A,#N/A,FALSE,"Test 120 Day Accts";#N/A,#N/A,FALSE,"Tickmarks"}</definedName>
    <definedName name="wrn.Aging._.and._.Trend._.Analysis._1_1_2_1_4" hidden="1">{#N/A,#N/A,FALSE,"Aging Summary";#N/A,#N/A,FALSE,"Ratio Analysis";#N/A,#N/A,FALSE,"Test 120 Day Accts";#N/A,#N/A,FALSE,"Tickmarks"}</definedName>
    <definedName name="wrn.Aging._.and._.Trend._.Analysis._1_1_2_2" hidden="1">{#N/A,#N/A,FALSE,"Aging Summary";#N/A,#N/A,FALSE,"Ratio Analysis";#N/A,#N/A,FALSE,"Test 120 Day Accts";#N/A,#N/A,FALSE,"Tickmarks"}</definedName>
    <definedName name="wrn.Aging._.and._.Trend._.Analysis._1_1_2_2_1" hidden="1">{#N/A,#N/A,FALSE,"Aging Summary";#N/A,#N/A,FALSE,"Ratio Analysis";#N/A,#N/A,FALSE,"Test 120 Day Accts";#N/A,#N/A,FALSE,"Tickmarks"}</definedName>
    <definedName name="wrn.Aging._.and._.Trend._.Analysis._1_1_2_2_1_1" hidden="1">{#N/A,#N/A,FALSE,"Aging Summary";#N/A,#N/A,FALSE,"Ratio Analysis";#N/A,#N/A,FALSE,"Test 120 Day Accts";#N/A,#N/A,FALSE,"Tickmarks"}</definedName>
    <definedName name="wrn.Aging._.and._.Trend._.Analysis._1_1_2_2_1_1_1" hidden="1">{#N/A,#N/A,FALSE,"Aging Summary";#N/A,#N/A,FALSE,"Ratio Analysis";#N/A,#N/A,FALSE,"Test 120 Day Accts";#N/A,#N/A,FALSE,"Tickmarks"}</definedName>
    <definedName name="wrn.Aging._.and._.Trend._.Analysis._1_1_2_2_1_1_1_1" hidden="1">{#N/A,#N/A,FALSE,"Aging Summary";#N/A,#N/A,FALSE,"Ratio Analysis";#N/A,#N/A,FALSE,"Test 120 Day Accts";#N/A,#N/A,FALSE,"Tickmarks"}</definedName>
    <definedName name="wrn.Aging._.and._.Trend._.Analysis._1_1_2_2_1_1_1_1_1" hidden="1">{#N/A,#N/A,FALSE,"Aging Summary";#N/A,#N/A,FALSE,"Ratio Analysis";#N/A,#N/A,FALSE,"Test 120 Day Accts";#N/A,#N/A,FALSE,"Tickmarks"}</definedName>
    <definedName name="wrn.Aging._.and._.Trend._.Analysis._1_1_2_2_1_1_2" hidden="1">{#N/A,#N/A,FALSE,"Aging Summary";#N/A,#N/A,FALSE,"Ratio Analysis";#N/A,#N/A,FALSE,"Test 120 Day Accts";#N/A,#N/A,FALSE,"Tickmarks"}</definedName>
    <definedName name="wrn.Aging._.and._.Trend._.Analysis._1_1_2_2_1_2" hidden="1">{#N/A,#N/A,FALSE,"Aging Summary";#N/A,#N/A,FALSE,"Ratio Analysis";#N/A,#N/A,FALSE,"Test 120 Day Accts";#N/A,#N/A,FALSE,"Tickmarks"}</definedName>
    <definedName name="wrn.Aging._.and._.Trend._.Analysis._1_1_2_2_1_2_1" hidden="1">{#N/A,#N/A,FALSE,"Aging Summary";#N/A,#N/A,FALSE,"Ratio Analysis";#N/A,#N/A,FALSE,"Test 120 Day Accts";#N/A,#N/A,FALSE,"Tickmarks"}</definedName>
    <definedName name="wrn.Aging._.and._.Trend._.Analysis._1_1_2_2_2" hidden="1">{#N/A,#N/A,FALSE,"Aging Summary";#N/A,#N/A,FALSE,"Ratio Analysis";#N/A,#N/A,FALSE,"Test 120 Day Accts";#N/A,#N/A,FALSE,"Tickmarks"}</definedName>
    <definedName name="wrn.Aging._.and._.Trend._.Analysis._1_1_2_2_2_1" hidden="1">{#N/A,#N/A,FALSE,"Aging Summary";#N/A,#N/A,FALSE,"Ratio Analysis";#N/A,#N/A,FALSE,"Test 120 Day Accts";#N/A,#N/A,FALSE,"Tickmarks"}</definedName>
    <definedName name="wrn.Aging._.and._.Trend._.Analysis._1_1_2_2_2_1_1" hidden="1">{#N/A,#N/A,FALSE,"Aging Summary";#N/A,#N/A,FALSE,"Ratio Analysis";#N/A,#N/A,FALSE,"Test 120 Day Accts";#N/A,#N/A,FALSE,"Tickmarks"}</definedName>
    <definedName name="wrn.Aging._.and._.Trend._.Analysis._1_1_2_2_2_1_1_1" hidden="1">{#N/A,#N/A,FALSE,"Aging Summary";#N/A,#N/A,FALSE,"Ratio Analysis";#N/A,#N/A,FALSE,"Test 120 Day Accts";#N/A,#N/A,FALSE,"Tickmarks"}</definedName>
    <definedName name="wrn.Aging._.and._.Trend._.Analysis._1_1_2_2_2_2" hidden="1">{#N/A,#N/A,FALSE,"Aging Summary";#N/A,#N/A,FALSE,"Ratio Analysis";#N/A,#N/A,FALSE,"Test 120 Day Accts";#N/A,#N/A,FALSE,"Tickmarks"}</definedName>
    <definedName name="wrn.Aging._.and._.Trend._.Analysis._1_1_2_2_3" hidden="1">{#N/A,#N/A,FALSE,"Aging Summary";#N/A,#N/A,FALSE,"Ratio Analysis";#N/A,#N/A,FALSE,"Test 120 Day Accts";#N/A,#N/A,FALSE,"Tickmarks"}</definedName>
    <definedName name="wrn.Aging._.and._.Trend._.Analysis._1_1_2_2_3_1" hidden="1">{#N/A,#N/A,FALSE,"Aging Summary";#N/A,#N/A,FALSE,"Ratio Analysis";#N/A,#N/A,FALSE,"Test 120 Day Accts";#N/A,#N/A,FALSE,"Tickmarks"}</definedName>
    <definedName name="wrn.Aging._.and._.Trend._.Analysis._1_1_2_2_3_1_1" hidden="1">{#N/A,#N/A,FALSE,"Aging Summary";#N/A,#N/A,FALSE,"Ratio Analysis";#N/A,#N/A,FALSE,"Test 120 Day Accts";#N/A,#N/A,FALSE,"Tickmarks"}</definedName>
    <definedName name="wrn.Aging._.and._.Trend._.Analysis._1_1_2_2_4" hidden="1">{#N/A,#N/A,FALSE,"Aging Summary";#N/A,#N/A,FALSE,"Ratio Analysis";#N/A,#N/A,FALSE,"Test 120 Day Accts";#N/A,#N/A,FALSE,"Tickmarks"}</definedName>
    <definedName name="wrn.Aging._.and._.Trend._.Analysis._1_1_2_3" hidden="1">{#N/A,#N/A,FALSE,"Aging Summary";#N/A,#N/A,FALSE,"Ratio Analysis";#N/A,#N/A,FALSE,"Test 120 Day Accts";#N/A,#N/A,FALSE,"Tickmarks"}</definedName>
    <definedName name="wrn.Aging._.and._.Trend._.Analysis._1_1_2_3_1" hidden="1">{#N/A,#N/A,FALSE,"Aging Summary";#N/A,#N/A,FALSE,"Ratio Analysis";#N/A,#N/A,FALSE,"Test 120 Day Accts";#N/A,#N/A,FALSE,"Tickmarks"}</definedName>
    <definedName name="wrn.Aging._.and._.Trend._.Analysis._1_1_2_3_1_1" hidden="1">{#N/A,#N/A,FALSE,"Aging Summary";#N/A,#N/A,FALSE,"Ratio Analysis";#N/A,#N/A,FALSE,"Test 120 Day Accts";#N/A,#N/A,FALSE,"Tickmarks"}</definedName>
    <definedName name="wrn.Aging._.and._.Trend._.Analysis._1_1_2_3_1_1_1" hidden="1">{#N/A,#N/A,FALSE,"Aging Summary";#N/A,#N/A,FALSE,"Ratio Analysis";#N/A,#N/A,FALSE,"Test 120 Day Accts";#N/A,#N/A,FALSE,"Tickmarks"}</definedName>
    <definedName name="wrn.Aging._.and._.Trend._.Analysis._1_1_2_3_1_1_1_1" hidden="1">{#N/A,#N/A,FALSE,"Aging Summary";#N/A,#N/A,FALSE,"Ratio Analysis";#N/A,#N/A,FALSE,"Test 120 Day Accts";#N/A,#N/A,FALSE,"Tickmarks"}</definedName>
    <definedName name="wrn.Aging._.and._.Trend._.Analysis._1_1_2_3_1_2" hidden="1">{#N/A,#N/A,FALSE,"Aging Summary";#N/A,#N/A,FALSE,"Ratio Analysis";#N/A,#N/A,FALSE,"Test 120 Day Accts";#N/A,#N/A,FALSE,"Tickmarks"}</definedName>
    <definedName name="wrn.Aging._.and._.Trend._.Analysis._1_1_2_3_2" hidden="1">{#N/A,#N/A,FALSE,"Aging Summary";#N/A,#N/A,FALSE,"Ratio Analysis";#N/A,#N/A,FALSE,"Test 120 Day Accts";#N/A,#N/A,FALSE,"Tickmarks"}</definedName>
    <definedName name="wrn.Aging._.and._.Trend._.Analysis._1_1_2_3_2_1" hidden="1">{#N/A,#N/A,FALSE,"Aging Summary";#N/A,#N/A,FALSE,"Ratio Analysis";#N/A,#N/A,FALSE,"Test 120 Day Accts";#N/A,#N/A,FALSE,"Tickmarks"}</definedName>
    <definedName name="wrn.Aging._.and._.Trend._.Analysis._1_1_2_4" hidden="1">{#N/A,#N/A,FALSE,"Aging Summary";#N/A,#N/A,FALSE,"Ratio Analysis";#N/A,#N/A,FALSE,"Test 120 Day Accts";#N/A,#N/A,FALSE,"Tickmarks"}</definedName>
    <definedName name="wrn.Aging._.and._.Trend._.Analysis._1_1_2_4_1" hidden="1">{#N/A,#N/A,FALSE,"Aging Summary";#N/A,#N/A,FALSE,"Ratio Analysis";#N/A,#N/A,FALSE,"Test 120 Day Accts";#N/A,#N/A,FALSE,"Tickmarks"}</definedName>
    <definedName name="wrn.Aging._.and._.Trend._.Analysis._1_1_2_4_1_1" hidden="1">{#N/A,#N/A,FALSE,"Aging Summary";#N/A,#N/A,FALSE,"Ratio Analysis";#N/A,#N/A,FALSE,"Test 120 Day Accts";#N/A,#N/A,FALSE,"Tickmarks"}</definedName>
    <definedName name="wrn.Aging._.and._.Trend._.Analysis._1_1_2_5" hidden="1">{#N/A,#N/A,FALSE,"Aging Summary";#N/A,#N/A,FALSE,"Ratio Analysis";#N/A,#N/A,FALSE,"Test 120 Day Accts";#N/A,#N/A,FALSE,"Tickmarks"}</definedName>
    <definedName name="wrn.Aging._.and._.Trend._.Analysis._1_1_3" hidden="1">{#N/A,#N/A,FALSE,"Aging Summary";#N/A,#N/A,FALSE,"Ratio Analysis";#N/A,#N/A,FALSE,"Test 120 Day Accts";#N/A,#N/A,FALSE,"Tickmarks"}</definedName>
    <definedName name="wrn.Aging._.and._.Trend._.Analysis._1_1_3_1" hidden="1">{#N/A,#N/A,FALSE,"Aging Summary";#N/A,#N/A,FALSE,"Ratio Analysis";#N/A,#N/A,FALSE,"Test 120 Day Accts";#N/A,#N/A,FALSE,"Tickmarks"}</definedName>
    <definedName name="wrn.Aging._.and._.Trend._.Analysis._1_1_3_1_1" hidden="1">{#N/A,#N/A,FALSE,"Aging Summary";#N/A,#N/A,FALSE,"Ratio Analysis";#N/A,#N/A,FALSE,"Test 120 Day Accts";#N/A,#N/A,FALSE,"Tickmarks"}</definedName>
    <definedName name="wrn.Aging._.and._.Trend._.Analysis._1_1_3_1_1_1" hidden="1">{#N/A,#N/A,FALSE,"Aging Summary";#N/A,#N/A,FALSE,"Ratio Analysis";#N/A,#N/A,FALSE,"Test 120 Day Accts";#N/A,#N/A,FALSE,"Tickmarks"}</definedName>
    <definedName name="wrn.Aging._.and._.Trend._.Analysis._1_1_3_1_1_1_1" hidden="1">{#N/A,#N/A,FALSE,"Aging Summary";#N/A,#N/A,FALSE,"Ratio Analysis";#N/A,#N/A,FALSE,"Test 120 Day Accts";#N/A,#N/A,FALSE,"Tickmarks"}</definedName>
    <definedName name="wrn.Aging._.and._.Trend._.Analysis._1_1_3_1_1_1_1_1" hidden="1">{#N/A,#N/A,FALSE,"Aging Summary";#N/A,#N/A,FALSE,"Ratio Analysis";#N/A,#N/A,FALSE,"Test 120 Day Accts";#N/A,#N/A,FALSE,"Tickmarks"}</definedName>
    <definedName name="wrn.Aging._.and._.Trend._.Analysis._1_1_3_1_1_2" hidden="1">{#N/A,#N/A,FALSE,"Aging Summary";#N/A,#N/A,FALSE,"Ratio Analysis";#N/A,#N/A,FALSE,"Test 120 Day Accts";#N/A,#N/A,FALSE,"Tickmarks"}</definedName>
    <definedName name="wrn.Aging._.and._.Trend._.Analysis._1_1_3_1_2" hidden="1">{#N/A,#N/A,FALSE,"Aging Summary";#N/A,#N/A,FALSE,"Ratio Analysis";#N/A,#N/A,FALSE,"Test 120 Day Accts";#N/A,#N/A,FALSE,"Tickmarks"}</definedName>
    <definedName name="wrn.Aging._.and._.Trend._.Analysis._1_1_3_1_2_1" hidden="1">{#N/A,#N/A,FALSE,"Aging Summary";#N/A,#N/A,FALSE,"Ratio Analysis";#N/A,#N/A,FALSE,"Test 120 Day Accts";#N/A,#N/A,FALSE,"Tickmarks"}</definedName>
    <definedName name="wrn.Aging._.and._.Trend._.Analysis._1_1_3_2" hidden="1">{#N/A,#N/A,FALSE,"Aging Summary";#N/A,#N/A,FALSE,"Ratio Analysis";#N/A,#N/A,FALSE,"Test 120 Day Accts";#N/A,#N/A,FALSE,"Tickmarks"}</definedName>
    <definedName name="wrn.Aging._.and._.Trend._.Analysis._1_1_3_2_1" hidden="1">{#N/A,#N/A,FALSE,"Aging Summary";#N/A,#N/A,FALSE,"Ratio Analysis";#N/A,#N/A,FALSE,"Test 120 Day Accts";#N/A,#N/A,FALSE,"Tickmarks"}</definedName>
    <definedName name="wrn.Aging._.and._.Trend._.Analysis._1_1_3_2_1_1" hidden="1">{#N/A,#N/A,FALSE,"Aging Summary";#N/A,#N/A,FALSE,"Ratio Analysis";#N/A,#N/A,FALSE,"Test 120 Day Accts";#N/A,#N/A,FALSE,"Tickmarks"}</definedName>
    <definedName name="wrn.Aging._.and._.Trend._.Analysis._1_1_3_2_1_1_1" hidden="1">{#N/A,#N/A,FALSE,"Aging Summary";#N/A,#N/A,FALSE,"Ratio Analysis";#N/A,#N/A,FALSE,"Test 120 Day Accts";#N/A,#N/A,FALSE,"Tickmarks"}</definedName>
    <definedName name="wrn.Aging._.and._.Trend._.Analysis._1_1_3_2_2" hidden="1">{#N/A,#N/A,FALSE,"Aging Summary";#N/A,#N/A,FALSE,"Ratio Analysis";#N/A,#N/A,FALSE,"Test 120 Day Accts";#N/A,#N/A,FALSE,"Tickmarks"}</definedName>
    <definedName name="wrn.Aging._.and._.Trend._.Analysis._1_1_3_3" hidden="1">{#N/A,#N/A,FALSE,"Aging Summary";#N/A,#N/A,FALSE,"Ratio Analysis";#N/A,#N/A,FALSE,"Test 120 Day Accts";#N/A,#N/A,FALSE,"Tickmarks"}</definedName>
    <definedName name="wrn.Aging._.and._.Trend._.Analysis._1_1_3_3_1" hidden="1">{#N/A,#N/A,FALSE,"Aging Summary";#N/A,#N/A,FALSE,"Ratio Analysis";#N/A,#N/A,FALSE,"Test 120 Day Accts";#N/A,#N/A,FALSE,"Tickmarks"}</definedName>
    <definedName name="wrn.Aging._.and._.Trend._.Analysis._1_1_3_3_1_1" hidden="1">{#N/A,#N/A,FALSE,"Aging Summary";#N/A,#N/A,FALSE,"Ratio Analysis";#N/A,#N/A,FALSE,"Test 120 Day Accts";#N/A,#N/A,FALSE,"Tickmarks"}</definedName>
    <definedName name="wrn.Aging._.and._.Trend._.Analysis._1_1_3_4" hidden="1">{#N/A,#N/A,FALSE,"Aging Summary";#N/A,#N/A,FALSE,"Ratio Analysis";#N/A,#N/A,FALSE,"Test 120 Day Accts";#N/A,#N/A,FALSE,"Tickmarks"}</definedName>
    <definedName name="wrn.Aging._.and._.Trend._.Analysis._1_1_4" hidden="1">{#N/A,#N/A,FALSE,"Aging Summary";#N/A,#N/A,FALSE,"Ratio Analysis";#N/A,#N/A,FALSE,"Test 120 Day Accts";#N/A,#N/A,FALSE,"Tickmarks"}</definedName>
    <definedName name="wrn.Aging._.and._.Trend._.Analysis._1_1_4_1" hidden="1">{#N/A,#N/A,FALSE,"Aging Summary";#N/A,#N/A,FALSE,"Ratio Analysis";#N/A,#N/A,FALSE,"Test 120 Day Accts";#N/A,#N/A,FALSE,"Tickmarks"}</definedName>
    <definedName name="wrn.Aging._.and._.Trend._.Analysis._1_1_4_1_1" hidden="1">{#N/A,#N/A,FALSE,"Aging Summary";#N/A,#N/A,FALSE,"Ratio Analysis";#N/A,#N/A,FALSE,"Test 120 Day Accts";#N/A,#N/A,FALSE,"Tickmarks"}</definedName>
    <definedName name="wrn.Aging._.and._.Trend._.Analysis._1_1_4_1_1_1" hidden="1">{#N/A,#N/A,FALSE,"Aging Summary";#N/A,#N/A,FALSE,"Ratio Analysis";#N/A,#N/A,FALSE,"Test 120 Day Accts";#N/A,#N/A,FALSE,"Tickmarks"}</definedName>
    <definedName name="wrn.Aging._.and._.Trend._.Analysis._1_1_4_1_1_1_1" hidden="1">{#N/A,#N/A,FALSE,"Aging Summary";#N/A,#N/A,FALSE,"Ratio Analysis";#N/A,#N/A,FALSE,"Test 120 Day Accts";#N/A,#N/A,FALSE,"Tickmarks"}</definedName>
    <definedName name="wrn.Aging._.and._.Trend._.Analysis._1_1_4_1_2" hidden="1">{#N/A,#N/A,FALSE,"Aging Summary";#N/A,#N/A,FALSE,"Ratio Analysis";#N/A,#N/A,FALSE,"Test 120 Day Accts";#N/A,#N/A,FALSE,"Tickmarks"}</definedName>
    <definedName name="wrn.Aging._.and._.Trend._.Analysis._1_1_4_2" hidden="1">{#N/A,#N/A,FALSE,"Aging Summary";#N/A,#N/A,FALSE,"Ratio Analysis";#N/A,#N/A,FALSE,"Test 120 Day Accts";#N/A,#N/A,FALSE,"Tickmarks"}</definedName>
    <definedName name="wrn.Aging._.and._.Trend._.Analysis._1_1_4_2_1" hidden="1">{#N/A,#N/A,FALSE,"Aging Summary";#N/A,#N/A,FALSE,"Ratio Analysis";#N/A,#N/A,FALSE,"Test 120 Day Accts";#N/A,#N/A,FALSE,"Tickmarks"}</definedName>
    <definedName name="wrn.Aging._.and._.Trend._.Analysis._1_1_5" hidden="1">{#N/A,#N/A,FALSE,"Aging Summary";#N/A,#N/A,FALSE,"Ratio Analysis";#N/A,#N/A,FALSE,"Test 120 Day Accts";#N/A,#N/A,FALSE,"Tickmarks"}</definedName>
    <definedName name="wrn.Aging._.and._.Trend._.Analysis._1_1_5_1" hidden="1">{#N/A,#N/A,FALSE,"Aging Summary";#N/A,#N/A,FALSE,"Ratio Analysis";#N/A,#N/A,FALSE,"Test 120 Day Accts";#N/A,#N/A,FALSE,"Tickmarks"}</definedName>
    <definedName name="wrn.Aging._.and._.Trend._.Analysis._1_1_5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2_1" hidden="1">{#N/A,#N/A,FALSE,"Aging Summary";#N/A,#N/A,FALSE,"Ratio Analysis";#N/A,#N/A,FALSE,"Test 120 Day Accts";#N/A,#N/A,FALSE,"Tickmarks"}</definedName>
    <definedName name="wrn.Aging._.and._.Trend._.Analysis._1_2_1_1" hidden="1">{#N/A,#N/A,FALSE,"Aging Summary";#N/A,#N/A,FALSE,"Ratio Analysis";#N/A,#N/A,FALSE,"Test 120 Day Accts";#N/A,#N/A,FALSE,"Tickmarks"}</definedName>
    <definedName name="wrn.Aging._.and._.Trend._.Analysis._1_2_1_1_1" hidden="1">{#N/A,#N/A,FALSE,"Aging Summary";#N/A,#N/A,FALSE,"Ratio Analysis";#N/A,#N/A,FALSE,"Test 120 Day Accts";#N/A,#N/A,FALSE,"Tickmarks"}</definedName>
    <definedName name="wrn.Aging._.and._.Trend._.Analysis._1_2_1_1_1_1" hidden="1">{#N/A,#N/A,FALSE,"Aging Summary";#N/A,#N/A,FALSE,"Ratio Analysis";#N/A,#N/A,FALSE,"Test 120 Day Accts";#N/A,#N/A,FALSE,"Tickmarks"}</definedName>
    <definedName name="wrn.Aging._.and._.Trend._.Analysis._1_2_1_1_1_1_1" hidden="1">{#N/A,#N/A,FALSE,"Aging Summary";#N/A,#N/A,FALSE,"Ratio Analysis";#N/A,#N/A,FALSE,"Test 120 Day Accts";#N/A,#N/A,FALSE,"Tickmarks"}</definedName>
    <definedName name="wrn.Aging._.and._.Trend._.Analysis._1_2_1_1_1_1_1_1" hidden="1">{#N/A,#N/A,FALSE,"Aging Summary";#N/A,#N/A,FALSE,"Ratio Analysis";#N/A,#N/A,FALSE,"Test 120 Day Accts";#N/A,#N/A,FALSE,"Tickmarks"}</definedName>
    <definedName name="wrn.Aging._.and._.Trend._.Analysis._1_2_1_1_1_1_1_1_1" hidden="1">{#N/A,#N/A,FALSE,"Aging Summary";#N/A,#N/A,FALSE,"Ratio Analysis";#N/A,#N/A,FALSE,"Test 120 Day Accts";#N/A,#N/A,FALSE,"Tickmarks"}</definedName>
    <definedName name="wrn.Aging._.and._.Trend._.Analysis._1_2_1_1_1_1_1_1_1_1" hidden="1">{#N/A,#N/A,FALSE,"Aging Summary";#N/A,#N/A,FALSE,"Ratio Analysis";#N/A,#N/A,FALSE,"Test 120 Day Accts";#N/A,#N/A,FALSE,"Tickmarks"}</definedName>
    <definedName name="wrn.Aging._.and._.Trend._.Analysis._1_2_1_1_1_1_1_2" hidden="1">{#N/A,#N/A,FALSE,"Aging Summary";#N/A,#N/A,FALSE,"Ratio Analysis";#N/A,#N/A,FALSE,"Test 120 Day Accts";#N/A,#N/A,FALSE,"Tickmarks"}</definedName>
    <definedName name="wrn.Aging._.and._.Trend._.Analysis._1_2_1_1_1_1_2" hidden="1">{#N/A,#N/A,FALSE,"Aging Summary";#N/A,#N/A,FALSE,"Ratio Analysis";#N/A,#N/A,FALSE,"Test 120 Day Accts";#N/A,#N/A,FALSE,"Tickmarks"}</definedName>
    <definedName name="wrn.Aging._.and._.Trend._.Analysis._1_2_1_1_1_1_2_1" hidden="1">{#N/A,#N/A,FALSE,"Aging Summary";#N/A,#N/A,FALSE,"Ratio Analysis";#N/A,#N/A,FALSE,"Test 120 Day Accts";#N/A,#N/A,FALSE,"Tickmarks"}</definedName>
    <definedName name="wrn.Aging._.and._.Trend._.Analysis._1_2_1_1_1_2" hidden="1">{#N/A,#N/A,FALSE,"Aging Summary";#N/A,#N/A,FALSE,"Ratio Analysis";#N/A,#N/A,FALSE,"Test 120 Day Accts";#N/A,#N/A,FALSE,"Tickmarks"}</definedName>
    <definedName name="wrn.Aging._.and._.Trend._.Analysis._1_2_1_1_1_2_1" hidden="1">{#N/A,#N/A,FALSE,"Aging Summary";#N/A,#N/A,FALSE,"Ratio Analysis";#N/A,#N/A,FALSE,"Test 120 Day Accts";#N/A,#N/A,FALSE,"Tickmarks"}</definedName>
    <definedName name="wrn.Aging._.and._.Trend._.Analysis._1_2_1_1_1_2_1_1" hidden="1">{#N/A,#N/A,FALSE,"Aging Summary";#N/A,#N/A,FALSE,"Ratio Analysis";#N/A,#N/A,FALSE,"Test 120 Day Accts";#N/A,#N/A,FALSE,"Tickmarks"}</definedName>
    <definedName name="wrn.Aging._.and._.Trend._.Analysis._1_2_1_1_1_2_1_1_1" hidden="1">{#N/A,#N/A,FALSE,"Aging Summary";#N/A,#N/A,FALSE,"Ratio Analysis";#N/A,#N/A,FALSE,"Test 120 Day Accts";#N/A,#N/A,FALSE,"Tickmarks"}</definedName>
    <definedName name="wrn.Aging._.and._.Trend._.Analysis._1_2_1_1_1_2_2" hidden="1">{#N/A,#N/A,FALSE,"Aging Summary";#N/A,#N/A,FALSE,"Ratio Analysis";#N/A,#N/A,FALSE,"Test 120 Day Accts";#N/A,#N/A,FALSE,"Tickmarks"}</definedName>
    <definedName name="wrn.Aging._.and._.Trend._.Analysis._1_2_1_1_1_3" hidden="1">{#N/A,#N/A,FALSE,"Aging Summary";#N/A,#N/A,FALSE,"Ratio Analysis";#N/A,#N/A,FALSE,"Test 120 Day Accts";#N/A,#N/A,FALSE,"Tickmarks"}</definedName>
    <definedName name="wrn.Aging._.and._.Trend._.Analysis._1_2_1_1_1_3_1" hidden="1">{#N/A,#N/A,FALSE,"Aging Summary";#N/A,#N/A,FALSE,"Ratio Analysis";#N/A,#N/A,FALSE,"Test 120 Day Accts";#N/A,#N/A,FALSE,"Tickmarks"}</definedName>
    <definedName name="wrn.Aging._.and._.Trend._.Analysis._1_2_1_1_1_3_1_1" hidden="1">{#N/A,#N/A,FALSE,"Aging Summary";#N/A,#N/A,FALSE,"Ratio Analysis";#N/A,#N/A,FALSE,"Test 120 Day Accts";#N/A,#N/A,FALSE,"Tickmarks"}</definedName>
    <definedName name="wrn.Aging._.and._.Trend._.Analysis._1_2_1_1_1_4" hidden="1">{#N/A,#N/A,FALSE,"Aging Summary";#N/A,#N/A,FALSE,"Ratio Analysis";#N/A,#N/A,FALSE,"Test 120 Day Accts";#N/A,#N/A,FALSE,"Tickmarks"}</definedName>
    <definedName name="wrn.Aging._.and._.Trend._.Analysis._1_2_1_1_2" hidden="1">{#N/A,#N/A,FALSE,"Aging Summary";#N/A,#N/A,FALSE,"Ratio Analysis";#N/A,#N/A,FALSE,"Test 120 Day Accts";#N/A,#N/A,FALSE,"Tickmarks"}</definedName>
    <definedName name="wrn.Aging._.and._.Trend._.Analysis._1_2_1_1_2_1" hidden="1">{#N/A,#N/A,FALSE,"Aging Summary";#N/A,#N/A,FALSE,"Ratio Analysis";#N/A,#N/A,FALSE,"Test 120 Day Accts";#N/A,#N/A,FALSE,"Tickmarks"}</definedName>
    <definedName name="wrn.Aging._.and._.Trend._.Analysis._1_2_1_1_2_1_1" hidden="1">{#N/A,#N/A,FALSE,"Aging Summary";#N/A,#N/A,FALSE,"Ratio Analysis";#N/A,#N/A,FALSE,"Test 120 Day Accts";#N/A,#N/A,FALSE,"Tickmarks"}</definedName>
    <definedName name="wrn.Aging._.and._.Trend._.Analysis._1_2_1_1_2_1_1_1" hidden="1">{#N/A,#N/A,FALSE,"Aging Summary";#N/A,#N/A,FALSE,"Ratio Analysis";#N/A,#N/A,FALSE,"Test 120 Day Accts";#N/A,#N/A,FALSE,"Tickmarks"}</definedName>
    <definedName name="wrn.Aging._.and._.Trend._.Analysis._1_2_1_1_2_1_1_1_1" hidden="1">{#N/A,#N/A,FALSE,"Aging Summary";#N/A,#N/A,FALSE,"Ratio Analysis";#N/A,#N/A,FALSE,"Test 120 Day Accts";#N/A,#N/A,FALSE,"Tickmarks"}</definedName>
    <definedName name="wrn.Aging._.and._.Trend._.Analysis._1_2_1_1_2_1_2" hidden="1">{#N/A,#N/A,FALSE,"Aging Summary";#N/A,#N/A,FALSE,"Ratio Analysis";#N/A,#N/A,FALSE,"Test 120 Day Accts";#N/A,#N/A,FALSE,"Tickmarks"}</definedName>
    <definedName name="wrn.Aging._.and._.Trend._.Analysis._1_2_1_1_2_2" hidden="1">{#N/A,#N/A,FALSE,"Aging Summary";#N/A,#N/A,FALSE,"Ratio Analysis";#N/A,#N/A,FALSE,"Test 120 Day Accts";#N/A,#N/A,FALSE,"Tickmarks"}</definedName>
    <definedName name="wrn.Aging._.and._.Trend._.Analysis._1_2_1_1_2_2_1" hidden="1">{#N/A,#N/A,FALSE,"Aging Summary";#N/A,#N/A,FALSE,"Ratio Analysis";#N/A,#N/A,FALSE,"Test 120 Day Accts";#N/A,#N/A,FALSE,"Tickmarks"}</definedName>
    <definedName name="wrn.Aging._.and._.Trend._.Analysis._1_2_1_1_3" hidden="1">{#N/A,#N/A,FALSE,"Aging Summary";#N/A,#N/A,FALSE,"Ratio Analysis";#N/A,#N/A,FALSE,"Test 120 Day Accts";#N/A,#N/A,FALSE,"Tickmarks"}</definedName>
    <definedName name="wrn.Aging._.and._.Trend._.Analysis._1_2_1_1_3_1" hidden="1">{#N/A,#N/A,FALSE,"Aging Summary";#N/A,#N/A,FALSE,"Ratio Analysis";#N/A,#N/A,FALSE,"Test 120 Day Accts";#N/A,#N/A,FALSE,"Tickmarks"}</definedName>
    <definedName name="wrn.Aging._.and._.Trend._.Analysis._1_2_1_1_3_1_1" hidden="1">{#N/A,#N/A,FALSE,"Aging Summary";#N/A,#N/A,FALSE,"Ratio Analysis";#N/A,#N/A,FALSE,"Test 120 Day Accts";#N/A,#N/A,FALSE,"Tickmarks"}</definedName>
    <definedName name="wrn.Aging._.and._.Trend._.Analysis._1_2_1_1_4" hidden="1">{#N/A,#N/A,FALSE,"Aging Summary";#N/A,#N/A,FALSE,"Ratio Analysis";#N/A,#N/A,FALSE,"Test 120 Day Accts";#N/A,#N/A,FALSE,"Tickmarks"}</definedName>
    <definedName name="wrn.Aging._.and._.Trend._.Analysis._1_2_1_2" hidden="1">{#N/A,#N/A,FALSE,"Aging Summary";#N/A,#N/A,FALSE,"Ratio Analysis";#N/A,#N/A,FALSE,"Test 120 Day Accts";#N/A,#N/A,FALSE,"Tickmarks"}</definedName>
    <definedName name="wrn.Aging._.and._.Trend._.Analysis._1_2_1_2_1" hidden="1">{#N/A,#N/A,FALSE,"Aging Summary";#N/A,#N/A,FALSE,"Ratio Analysis";#N/A,#N/A,FALSE,"Test 120 Day Accts";#N/A,#N/A,FALSE,"Tickmarks"}</definedName>
    <definedName name="wrn.Aging._.and._.Trend._.Analysis._1_2_1_2_1_1" hidden="1">{#N/A,#N/A,FALSE,"Aging Summary";#N/A,#N/A,FALSE,"Ratio Analysis";#N/A,#N/A,FALSE,"Test 120 Day Accts";#N/A,#N/A,FALSE,"Tickmarks"}</definedName>
    <definedName name="wrn.Aging._.and._.Trend._.Analysis._1_2_1_2_1_1_1" hidden="1">{#N/A,#N/A,FALSE,"Aging Summary";#N/A,#N/A,FALSE,"Ratio Analysis";#N/A,#N/A,FALSE,"Test 120 Day Accts";#N/A,#N/A,FALSE,"Tickmarks"}</definedName>
    <definedName name="wrn.Aging._.and._.Trend._.Analysis._1_2_1_2_1_1_1_1" hidden="1">{#N/A,#N/A,FALSE,"Aging Summary";#N/A,#N/A,FALSE,"Ratio Analysis";#N/A,#N/A,FALSE,"Test 120 Day Accts";#N/A,#N/A,FALSE,"Tickmarks"}</definedName>
    <definedName name="wrn.Aging._.and._.Trend._.Analysis._1_2_1_2_1_1_1_1_1" hidden="1">{#N/A,#N/A,FALSE,"Aging Summary";#N/A,#N/A,FALSE,"Ratio Analysis";#N/A,#N/A,FALSE,"Test 120 Day Accts";#N/A,#N/A,FALSE,"Tickmarks"}</definedName>
    <definedName name="wrn.Aging._.and._.Trend._.Analysis._1_2_1_2_1_1_2" hidden="1">{#N/A,#N/A,FALSE,"Aging Summary";#N/A,#N/A,FALSE,"Ratio Analysis";#N/A,#N/A,FALSE,"Test 120 Day Accts";#N/A,#N/A,FALSE,"Tickmarks"}</definedName>
    <definedName name="wrn.Aging._.and._.Trend._.Analysis._1_2_1_2_1_2" hidden="1">{#N/A,#N/A,FALSE,"Aging Summary";#N/A,#N/A,FALSE,"Ratio Analysis";#N/A,#N/A,FALSE,"Test 120 Day Accts";#N/A,#N/A,FALSE,"Tickmarks"}</definedName>
    <definedName name="wrn.Aging._.and._.Trend._.Analysis._1_2_1_2_1_2_1" hidden="1">{#N/A,#N/A,FALSE,"Aging Summary";#N/A,#N/A,FALSE,"Ratio Analysis";#N/A,#N/A,FALSE,"Test 120 Day Accts";#N/A,#N/A,FALSE,"Tickmarks"}</definedName>
    <definedName name="wrn.Aging._.and._.Trend._.Analysis._1_2_1_2_2" hidden="1">{#N/A,#N/A,FALSE,"Aging Summary";#N/A,#N/A,FALSE,"Ratio Analysis";#N/A,#N/A,FALSE,"Test 120 Day Accts";#N/A,#N/A,FALSE,"Tickmarks"}</definedName>
    <definedName name="wrn.Aging._.and._.Trend._.Analysis._1_2_1_2_2_1" hidden="1">{#N/A,#N/A,FALSE,"Aging Summary";#N/A,#N/A,FALSE,"Ratio Analysis";#N/A,#N/A,FALSE,"Test 120 Day Accts";#N/A,#N/A,FALSE,"Tickmarks"}</definedName>
    <definedName name="wrn.Aging._.and._.Trend._.Analysis._1_2_1_2_2_1_1" hidden="1">{#N/A,#N/A,FALSE,"Aging Summary";#N/A,#N/A,FALSE,"Ratio Analysis";#N/A,#N/A,FALSE,"Test 120 Day Accts";#N/A,#N/A,FALSE,"Tickmarks"}</definedName>
    <definedName name="wrn.Aging._.and._.Trend._.Analysis._1_2_1_2_2_1_1_1" hidden="1">{#N/A,#N/A,FALSE,"Aging Summary";#N/A,#N/A,FALSE,"Ratio Analysis";#N/A,#N/A,FALSE,"Test 120 Day Accts";#N/A,#N/A,FALSE,"Tickmarks"}</definedName>
    <definedName name="wrn.Aging._.and._.Trend._.Analysis._1_2_1_2_2_2" hidden="1">{#N/A,#N/A,FALSE,"Aging Summary";#N/A,#N/A,FALSE,"Ratio Analysis";#N/A,#N/A,FALSE,"Test 120 Day Accts";#N/A,#N/A,FALSE,"Tickmarks"}</definedName>
    <definedName name="wrn.Aging._.and._.Trend._.Analysis._1_2_1_2_3" hidden="1">{#N/A,#N/A,FALSE,"Aging Summary";#N/A,#N/A,FALSE,"Ratio Analysis";#N/A,#N/A,FALSE,"Test 120 Day Accts";#N/A,#N/A,FALSE,"Tickmarks"}</definedName>
    <definedName name="wrn.Aging._.and._.Trend._.Analysis._1_2_1_2_3_1" hidden="1">{#N/A,#N/A,FALSE,"Aging Summary";#N/A,#N/A,FALSE,"Ratio Analysis";#N/A,#N/A,FALSE,"Test 120 Day Accts";#N/A,#N/A,FALSE,"Tickmarks"}</definedName>
    <definedName name="wrn.Aging._.and._.Trend._.Analysis._1_2_1_2_3_1_1" hidden="1">{#N/A,#N/A,FALSE,"Aging Summary";#N/A,#N/A,FALSE,"Ratio Analysis";#N/A,#N/A,FALSE,"Test 120 Day Accts";#N/A,#N/A,FALSE,"Tickmarks"}</definedName>
    <definedName name="wrn.Aging._.and._.Trend._.Analysis._1_2_1_2_4" hidden="1">{#N/A,#N/A,FALSE,"Aging Summary";#N/A,#N/A,FALSE,"Ratio Analysis";#N/A,#N/A,FALSE,"Test 120 Day Accts";#N/A,#N/A,FALSE,"Tickmarks"}</definedName>
    <definedName name="wrn.Aging._.and._.Trend._.Analysis._1_2_1_3" hidden="1">{#N/A,#N/A,FALSE,"Aging Summary";#N/A,#N/A,FALSE,"Ratio Analysis";#N/A,#N/A,FALSE,"Test 120 Day Accts";#N/A,#N/A,FALSE,"Tickmarks"}</definedName>
    <definedName name="wrn.Aging._.and._.Trend._.Analysis._1_2_1_3_1" hidden="1">{#N/A,#N/A,FALSE,"Aging Summary";#N/A,#N/A,FALSE,"Ratio Analysis";#N/A,#N/A,FALSE,"Test 120 Day Accts";#N/A,#N/A,FALSE,"Tickmarks"}</definedName>
    <definedName name="wrn.Aging._.and._.Trend._.Analysis._1_2_1_3_1_1" hidden="1">{#N/A,#N/A,FALSE,"Aging Summary";#N/A,#N/A,FALSE,"Ratio Analysis";#N/A,#N/A,FALSE,"Test 120 Day Accts";#N/A,#N/A,FALSE,"Tickmarks"}</definedName>
    <definedName name="wrn.Aging._.and._.Trend._.Analysis._1_2_1_3_1_1_1" hidden="1">{#N/A,#N/A,FALSE,"Aging Summary";#N/A,#N/A,FALSE,"Ratio Analysis";#N/A,#N/A,FALSE,"Test 120 Day Accts";#N/A,#N/A,FALSE,"Tickmarks"}</definedName>
    <definedName name="wrn.Aging._.and._.Trend._.Analysis._1_2_1_3_1_1_1_1" hidden="1">{#N/A,#N/A,FALSE,"Aging Summary";#N/A,#N/A,FALSE,"Ratio Analysis";#N/A,#N/A,FALSE,"Test 120 Day Accts";#N/A,#N/A,FALSE,"Tickmarks"}</definedName>
    <definedName name="wrn.Aging._.and._.Trend._.Analysis._1_2_1_3_1_2" hidden="1">{#N/A,#N/A,FALSE,"Aging Summary";#N/A,#N/A,FALSE,"Ratio Analysis";#N/A,#N/A,FALSE,"Test 120 Day Accts";#N/A,#N/A,FALSE,"Tickmarks"}</definedName>
    <definedName name="wrn.Aging._.and._.Trend._.Analysis._1_2_1_3_2" hidden="1">{#N/A,#N/A,FALSE,"Aging Summary";#N/A,#N/A,FALSE,"Ratio Analysis";#N/A,#N/A,FALSE,"Test 120 Day Accts";#N/A,#N/A,FALSE,"Tickmarks"}</definedName>
    <definedName name="wrn.Aging._.and._.Trend._.Analysis._1_2_1_3_2_1" hidden="1">{#N/A,#N/A,FALSE,"Aging Summary";#N/A,#N/A,FALSE,"Ratio Analysis";#N/A,#N/A,FALSE,"Test 120 Day Accts";#N/A,#N/A,FALSE,"Tickmarks"}</definedName>
    <definedName name="wrn.Aging._.and._.Trend._.Analysis._1_2_1_4" hidden="1">{#N/A,#N/A,FALSE,"Aging Summary";#N/A,#N/A,FALSE,"Ratio Analysis";#N/A,#N/A,FALSE,"Test 120 Day Accts";#N/A,#N/A,FALSE,"Tickmarks"}</definedName>
    <definedName name="wrn.Aging._.and._.Trend._.Analysis._1_2_1_4_1" hidden="1">{#N/A,#N/A,FALSE,"Aging Summary";#N/A,#N/A,FALSE,"Ratio Analysis";#N/A,#N/A,FALSE,"Test 120 Day Accts";#N/A,#N/A,FALSE,"Tickmarks"}</definedName>
    <definedName name="wrn.Aging._.and._.Trend._.Analysis._1_2_1_4_1_1" hidden="1">{#N/A,#N/A,FALSE,"Aging Summary";#N/A,#N/A,FALSE,"Ratio Analysis";#N/A,#N/A,FALSE,"Test 120 Day Accts";#N/A,#N/A,FALSE,"Tickmarks"}</definedName>
    <definedName name="wrn.Aging._.and._.Trend._.Analysis._1_2_1_5" hidden="1">{#N/A,#N/A,FALSE,"Aging Summary";#N/A,#N/A,FALSE,"Ratio Analysis";#N/A,#N/A,FALSE,"Test 120 Day Accts";#N/A,#N/A,FALSE,"Tickmarks"}</definedName>
    <definedName name="wrn.Aging._.and._.Trend._.Analysis._1_2_2" hidden="1">{#N/A,#N/A,FALSE,"Aging Summary";#N/A,#N/A,FALSE,"Ratio Analysis";#N/A,#N/A,FALSE,"Test 120 Day Accts";#N/A,#N/A,FALSE,"Tickmarks"}</definedName>
    <definedName name="wrn.Aging._.and._.Trend._.Analysis._1_2_2_1" hidden="1">{#N/A,#N/A,FALSE,"Aging Summary";#N/A,#N/A,FALSE,"Ratio Analysis";#N/A,#N/A,FALSE,"Test 120 Day Accts";#N/A,#N/A,FALSE,"Tickmarks"}</definedName>
    <definedName name="wrn.Aging._.and._.Trend._.Analysis._1_2_2_1_1" hidden="1">{#N/A,#N/A,FALSE,"Aging Summary";#N/A,#N/A,FALSE,"Ratio Analysis";#N/A,#N/A,FALSE,"Test 120 Day Accts";#N/A,#N/A,FALSE,"Tickmarks"}</definedName>
    <definedName name="wrn.Aging._.and._.Trend._.Analysis._1_2_2_1_1_1" hidden="1">{#N/A,#N/A,FALSE,"Aging Summary";#N/A,#N/A,FALSE,"Ratio Analysis";#N/A,#N/A,FALSE,"Test 120 Day Accts";#N/A,#N/A,FALSE,"Tickmarks"}</definedName>
    <definedName name="wrn.Aging._.and._.Trend._.Analysis._1_2_2_1_1_1_1" hidden="1">{#N/A,#N/A,FALSE,"Aging Summary";#N/A,#N/A,FALSE,"Ratio Analysis";#N/A,#N/A,FALSE,"Test 120 Day Accts";#N/A,#N/A,FALSE,"Tickmarks"}</definedName>
    <definedName name="wrn.Aging._.and._.Trend._.Analysis._1_2_2_1_1_1_1_1" hidden="1">{#N/A,#N/A,FALSE,"Aging Summary";#N/A,#N/A,FALSE,"Ratio Analysis";#N/A,#N/A,FALSE,"Test 120 Day Accts";#N/A,#N/A,FALSE,"Tickmarks"}</definedName>
    <definedName name="wrn.Aging._.and._.Trend._.Analysis._1_2_2_1_1_2" hidden="1">{#N/A,#N/A,FALSE,"Aging Summary";#N/A,#N/A,FALSE,"Ratio Analysis";#N/A,#N/A,FALSE,"Test 120 Day Accts";#N/A,#N/A,FALSE,"Tickmarks"}</definedName>
    <definedName name="wrn.Aging._.and._.Trend._.Analysis._1_2_2_1_2" hidden="1">{#N/A,#N/A,FALSE,"Aging Summary";#N/A,#N/A,FALSE,"Ratio Analysis";#N/A,#N/A,FALSE,"Test 120 Day Accts";#N/A,#N/A,FALSE,"Tickmarks"}</definedName>
    <definedName name="wrn.Aging._.and._.Trend._.Analysis._1_2_2_1_2_1" hidden="1">{#N/A,#N/A,FALSE,"Aging Summary";#N/A,#N/A,FALSE,"Ratio Analysis";#N/A,#N/A,FALSE,"Test 120 Day Accts";#N/A,#N/A,FALSE,"Tickmarks"}</definedName>
    <definedName name="wrn.Aging._.and._.Trend._.Analysis._1_2_2_2" hidden="1">{#N/A,#N/A,FALSE,"Aging Summary";#N/A,#N/A,FALSE,"Ratio Analysis";#N/A,#N/A,FALSE,"Test 120 Day Accts";#N/A,#N/A,FALSE,"Tickmarks"}</definedName>
    <definedName name="wrn.Aging._.and._.Trend._.Analysis._1_2_2_2_1" hidden="1">{#N/A,#N/A,FALSE,"Aging Summary";#N/A,#N/A,FALSE,"Ratio Analysis";#N/A,#N/A,FALSE,"Test 120 Day Accts";#N/A,#N/A,FALSE,"Tickmarks"}</definedName>
    <definedName name="wrn.Aging._.and._.Trend._.Analysis._1_2_2_2_1_1" hidden="1">{#N/A,#N/A,FALSE,"Aging Summary";#N/A,#N/A,FALSE,"Ratio Analysis";#N/A,#N/A,FALSE,"Test 120 Day Accts";#N/A,#N/A,FALSE,"Tickmarks"}</definedName>
    <definedName name="wrn.Aging._.and._.Trend._.Analysis._1_2_2_2_1_1_1" hidden="1">{#N/A,#N/A,FALSE,"Aging Summary";#N/A,#N/A,FALSE,"Ratio Analysis";#N/A,#N/A,FALSE,"Test 120 Day Accts";#N/A,#N/A,FALSE,"Tickmarks"}</definedName>
    <definedName name="wrn.Aging._.and._.Trend._.Analysis._1_2_2_2_2" hidden="1">{#N/A,#N/A,FALSE,"Aging Summary";#N/A,#N/A,FALSE,"Ratio Analysis";#N/A,#N/A,FALSE,"Test 120 Day Accts";#N/A,#N/A,FALSE,"Tickmarks"}</definedName>
    <definedName name="wrn.Aging._.and._.Trend._.Analysis._1_2_2_3" hidden="1">{#N/A,#N/A,FALSE,"Aging Summary";#N/A,#N/A,FALSE,"Ratio Analysis";#N/A,#N/A,FALSE,"Test 120 Day Accts";#N/A,#N/A,FALSE,"Tickmarks"}</definedName>
    <definedName name="wrn.Aging._.and._.Trend._.Analysis._1_2_2_3_1" hidden="1">{#N/A,#N/A,FALSE,"Aging Summary";#N/A,#N/A,FALSE,"Ratio Analysis";#N/A,#N/A,FALSE,"Test 120 Day Accts";#N/A,#N/A,FALSE,"Tickmarks"}</definedName>
    <definedName name="wrn.Aging._.and._.Trend._.Analysis._1_2_2_3_1_1" hidden="1">{#N/A,#N/A,FALSE,"Aging Summary";#N/A,#N/A,FALSE,"Ratio Analysis";#N/A,#N/A,FALSE,"Test 120 Day Accts";#N/A,#N/A,FALSE,"Tickmarks"}</definedName>
    <definedName name="wrn.Aging._.and._.Trend._.Analysis._1_2_2_4" hidden="1">{#N/A,#N/A,FALSE,"Aging Summary";#N/A,#N/A,FALSE,"Ratio Analysis";#N/A,#N/A,FALSE,"Test 120 Day Accts";#N/A,#N/A,FALSE,"Tickmarks"}</definedName>
    <definedName name="wrn.Aging._.and._.Trend._.Analysis._1_2_3" hidden="1">{#N/A,#N/A,FALSE,"Aging Summary";#N/A,#N/A,FALSE,"Ratio Analysis";#N/A,#N/A,FALSE,"Test 120 Day Accts";#N/A,#N/A,FALSE,"Tickmarks"}</definedName>
    <definedName name="wrn.Aging._.and._.Trend._.Analysis._1_2_3_1" hidden="1">{#N/A,#N/A,FALSE,"Aging Summary";#N/A,#N/A,FALSE,"Ratio Analysis";#N/A,#N/A,FALSE,"Test 120 Day Accts";#N/A,#N/A,FALSE,"Tickmarks"}</definedName>
    <definedName name="wrn.Aging._.and._.Trend._.Analysis._1_2_3_1_1" hidden="1">{#N/A,#N/A,FALSE,"Aging Summary";#N/A,#N/A,FALSE,"Ratio Analysis";#N/A,#N/A,FALSE,"Test 120 Day Accts";#N/A,#N/A,FALSE,"Tickmarks"}</definedName>
    <definedName name="wrn.Aging._.and._.Trend._.Analysis._1_2_3_1_1_1" hidden="1">{#N/A,#N/A,FALSE,"Aging Summary";#N/A,#N/A,FALSE,"Ratio Analysis";#N/A,#N/A,FALSE,"Test 120 Day Accts";#N/A,#N/A,FALSE,"Tickmarks"}</definedName>
    <definedName name="wrn.Aging._.and._.Trend._.Analysis._1_2_3_1_1_1_1" hidden="1">{#N/A,#N/A,FALSE,"Aging Summary";#N/A,#N/A,FALSE,"Ratio Analysis";#N/A,#N/A,FALSE,"Test 120 Day Accts";#N/A,#N/A,FALSE,"Tickmarks"}</definedName>
    <definedName name="wrn.Aging._.and._.Trend._.Analysis._1_2_3_1_2" hidden="1">{#N/A,#N/A,FALSE,"Aging Summary";#N/A,#N/A,FALSE,"Ratio Analysis";#N/A,#N/A,FALSE,"Test 120 Day Accts";#N/A,#N/A,FALSE,"Tickmarks"}</definedName>
    <definedName name="wrn.Aging._.and._.Trend._.Analysis._1_2_3_2" hidden="1">{#N/A,#N/A,FALSE,"Aging Summary";#N/A,#N/A,FALSE,"Ratio Analysis";#N/A,#N/A,FALSE,"Test 120 Day Accts";#N/A,#N/A,FALSE,"Tickmarks"}</definedName>
    <definedName name="wrn.Aging._.and._.Trend._.Analysis._1_2_3_2_1" hidden="1">{#N/A,#N/A,FALSE,"Aging Summary";#N/A,#N/A,FALSE,"Ratio Analysis";#N/A,#N/A,FALSE,"Test 120 Day Accts";#N/A,#N/A,FALSE,"Tickmarks"}</definedName>
    <definedName name="wrn.Aging._.and._.Trend._.Analysis._1_2_4" hidden="1">{#N/A,#N/A,FALSE,"Aging Summary";#N/A,#N/A,FALSE,"Ratio Analysis";#N/A,#N/A,FALSE,"Test 120 Day Accts";#N/A,#N/A,FALSE,"Tickmarks"}</definedName>
    <definedName name="wrn.Aging._.and._.Trend._.Analysis._1_2_4_1" hidden="1">{#N/A,#N/A,FALSE,"Aging Summary";#N/A,#N/A,FALSE,"Ratio Analysis";#N/A,#N/A,FALSE,"Test 120 Day Accts";#N/A,#N/A,FALSE,"Tickmarks"}</definedName>
    <definedName name="wrn.Aging._.and._.Trend._.Analysis._1_2_4_1_1" hidden="1">{#N/A,#N/A,FALSE,"Aging Summary";#N/A,#N/A,FALSE,"Ratio Analysis";#N/A,#N/A,FALSE,"Test 120 Day Accts";#N/A,#N/A,FALSE,"Tickmarks"}</definedName>
    <definedName name="wrn.Aging._.and._.Trend._.Analysis._1_2_5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3_1" hidden="1">{#N/A,#N/A,FALSE,"Aging Summary";#N/A,#N/A,FALSE,"Ratio Analysis";#N/A,#N/A,FALSE,"Test 120 Day Accts";#N/A,#N/A,FALSE,"Tickmarks"}</definedName>
    <definedName name="wrn.Aging._.and._.Trend._.Analysis._1_3_1_1" hidden="1">{#N/A,#N/A,FALSE,"Aging Summary";#N/A,#N/A,FALSE,"Ratio Analysis";#N/A,#N/A,FALSE,"Test 120 Day Accts";#N/A,#N/A,FALSE,"Tickmarks"}</definedName>
    <definedName name="wrn.Aging._.and._.Trend._.Analysis._1_3_1_1_1" hidden="1">{#N/A,#N/A,FALSE,"Aging Summary";#N/A,#N/A,FALSE,"Ratio Analysis";#N/A,#N/A,FALSE,"Test 120 Day Accts";#N/A,#N/A,FALSE,"Tickmarks"}</definedName>
    <definedName name="wrn.Aging._.and._.Trend._.Analysis._1_3_1_1_1_1" hidden="1">{#N/A,#N/A,FALSE,"Aging Summary";#N/A,#N/A,FALSE,"Ratio Analysis";#N/A,#N/A,FALSE,"Test 120 Day Accts";#N/A,#N/A,FALSE,"Tickmarks"}</definedName>
    <definedName name="wrn.Aging._.and._.Trend._.Analysis._1_3_1_1_1_1_1" hidden="1">{#N/A,#N/A,FALSE,"Aging Summary";#N/A,#N/A,FALSE,"Ratio Analysis";#N/A,#N/A,FALSE,"Test 120 Day Accts";#N/A,#N/A,FALSE,"Tickmarks"}</definedName>
    <definedName name="wrn.Aging._.and._.Trend._.Analysis._1_3_1_1_1_1_1_1" hidden="1">{#N/A,#N/A,FALSE,"Aging Summary";#N/A,#N/A,FALSE,"Ratio Analysis";#N/A,#N/A,FALSE,"Test 120 Day Accts";#N/A,#N/A,FALSE,"Tickmarks"}</definedName>
    <definedName name="wrn.Aging._.and._.Trend._.Analysis._1_3_1_1_1_2" hidden="1">{#N/A,#N/A,FALSE,"Aging Summary";#N/A,#N/A,FALSE,"Ratio Analysis";#N/A,#N/A,FALSE,"Test 120 Day Accts";#N/A,#N/A,FALSE,"Tickmarks"}</definedName>
    <definedName name="wrn.Aging._.and._.Trend._.Analysis._1_3_1_1_2" hidden="1">{#N/A,#N/A,FALSE,"Aging Summary";#N/A,#N/A,FALSE,"Ratio Analysis";#N/A,#N/A,FALSE,"Test 120 Day Accts";#N/A,#N/A,FALSE,"Tickmarks"}</definedName>
    <definedName name="wrn.Aging._.and._.Trend._.Analysis._1_3_1_1_2_1" hidden="1">{#N/A,#N/A,FALSE,"Aging Summary";#N/A,#N/A,FALSE,"Ratio Analysis";#N/A,#N/A,FALSE,"Test 120 Day Accts";#N/A,#N/A,FALSE,"Tickmarks"}</definedName>
    <definedName name="wrn.Aging._.and._.Trend._.Analysis._1_3_1_2" hidden="1">{#N/A,#N/A,FALSE,"Aging Summary";#N/A,#N/A,FALSE,"Ratio Analysis";#N/A,#N/A,FALSE,"Test 120 Day Accts";#N/A,#N/A,FALSE,"Tickmarks"}</definedName>
    <definedName name="wrn.Aging._.and._.Trend._.Analysis._1_3_1_2_1" hidden="1">{#N/A,#N/A,FALSE,"Aging Summary";#N/A,#N/A,FALSE,"Ratio Analysis";#N/A,#N/A,FALSE,"Test 120 Day Accts";#N/A,#N/A,FALSE,"Tickmarks"}</definedName>
    <definedName name="wrn.Aging._.and._.Trend._.Analysis._1_3_1_2_1_1" hidden="1">{#N/A,#N/A,FALSE,"Aging Summary";#N/A,#N/A,FALSE,"Ratio Analysis";#N/A,#N/A,FALSE,"Test 120 Day Accts";#N/A,#N/A,FALSE,"Tickmarks"}</definedName>
    <definedName name="wrn.Aging._.and._.Trend._.Analysis._1_3_1_2_1_1_1" hidden="1">{#N/A,#N/A,FALSE,"Aging Summary";#N/A,#N/A,FALSE,"Ratio Analysis";#N/A,#N/A,FALSE,"Test 120 Day Accts";#N/A,#N/A,FALSE,"Tickmarks"}</definedName>
    <definedName name="wrn.Aging._.and._.Trend._.Analysis._1_3_1_2_2" hidden="1">{#N/A,#N/A,FALSE,"Aging Summary";#N/A,#N/A,FALSE,"Ratio Analysis";#N/A,#N/A,FALSE,"Test 120 Day Accts";#N/A,#N/A,FALSE,"Tickmarks"}</definedName>
    <definedName name="wrn.Aging._.and._.Trend._.Analysis._1_3_1_3" hidden="1">{#N/A,#N/A,FALSE,"Aging Summary";#N/A,#N/A,FALSE,"Ratio Analysis";#N/A,#N/A,FALSE,"Test 120 Day Accts";#N/A,#N/A,FALSE,"Tickmarks"}</definedName>
    <definedName name="wrn.Aging._.and._.Trend._.Analysis._1_3_1_3_1" hidden="1">{#N/A,#N/A,FALSE,"Aging Summary";#N/A,#N/A,FALSE,"Ratio Analysis";#N/A,#N/A,FALSE,"Test 120 Day Accts";#N/A,#N/A,FALSE,"Tickmarks"}</definedName>
    <definedName name="wrn.Aging._.and._.Trend._.Analysis._1_3_1_3_1_1" hidden="1">{#N/A,#N/A,FALSE,"Aging Summary";#N/A,#N/A,FALSE,"Ratio Analysis";#N/A,#N/A,FALSE,"Test 120 Day Accts";#N/A,#N/A,FALSE,"Tickmarks"}</definedName>
    <definedName name="wrn.Aging._.and._.Trend._.Analysis._1_3_1_4" hidden="1">{#N/A,#N/A,FALSE,"Aging Summary";#N/A,#N/A,FALSE,"Ratio Analysis";#N/A,#N/A,FALSE,"Test 120 Day Accts";#N/A,#N/A,FALSE,"Tickmarks"}</definedName>
    <definedName name="wrn.Aging._.and._.Trend._.Analysis._1_3_2" hidden="1">{#N/A,#N/A,FALSE,"Aging Summary";#N/A,#N/A,FALSE,"Ratio Analysis";#N/A,#N/A,FALSE,"Test 120 Day Accts";#N/A,#N/A,FALSE,"Tickmarks"}</definedName>
    <definedName name="wrn.Aging._.and._.Trend._.Analysis._1_3_2_1" hidden="1">{#N/A,#N/A,FALSE,"Aging Summary";#N/A,#N/A,FALSE,"Ratio Analysis";#N/A,#N/A,FALSE,"Test 120 Day Accts";#N/A,#N/A,FALSE,"Tickmarks"}</definedName>
    <definedName name="wrn.Aging._.and._.Trend._.Analysis._1_3_2_1_1" hidden="1">{#N/A,#N/A,FALSE,"Aging Summary";#N/A,#N/A,FALSE,"Ratio Analysis";#N/A,#N/A,FALSE,"Test 120 Day Accts";#N/A,#N/A,FALSE,"Tickmarks"}</definedName>
    <definedName name="wrn.Aging._.and._.Trend._.Analysis._1_3_2_1_1_1" hidden="1">{#N/A,#N/A,FALSE,"Aging Summary";#N/A,#N/A,FALSE,"Ratio Analysis";#N/A,#N/A,FALSE,"Test 120 Day Accts";#N/A,#N/A,FALSE,"Tickmarks"}</definedName>
    <definedName name="wrn.Aging._.and._.Trend._.Analysis._1_3_2_1_1_1_1" hidden="1">{#N/A,#N/A,FALSE,"Aging Summary";#N/A,#N/A,FALSE,"Ratio Analysis";#N/A,#N/A,FALSE,"Test 120 Day Accts";#N/A,#N/A,FALSE,"Tickmarks"}</definedName>
    <definedName name="wrn.Aging._.and._.Trend._.Analysis._1_3_2_1_2" hidden="1">{#N/A,#N/A,FALSE,"Aging Summary";#N/A,#N/A,FALSE,"Ratio Analysis";#N/A,#N/A,FALSE,"Test 120 Day Accts";#N/A,#N/A,FALSE,"Tickmarks"}</definedName>
    <definedName name="wrn.Aging._.and._.Trend._.Analysis._1_3_2_2" hidden="1">{#N/A,#N/A,FALSE,"Aging Summary";#N/A,#N/A,FALSE,"Ratio Analysis";#N/A,#N/A,FALSE,"Test 120 Day Accts";#N/A,#N/A,FALSE,"Tickmarks"}</definedName>
    <definedName name="wrn.Aging._.and._.Trend._.Analysis._1_3_2_2_1" hidden="1">{#N/A,#N/A,FALSE,"Aging Summary";#N/A,#N/A,FALSE,"Ratio Analysis";#N/A,#N/A,FALSE,"Test 120 Day Accts";#N/A,#N/A,FALSE,"Tickmarks"}</definedName>
    <definedName name="wrn.Aging._.and._.Trend._.Analysis._1_3_3" hidden="1">{#N/A,#N/A,FALSE,"Aging Summary";#N/A,#N/A,FALSE,"Ratio Analysis";#N/A,#N/A,FALSE,"Test 120 Day Accts";#N/A,#N/A,FALSE,"Tickmarks"}</definedName>
    <definedName name="wrn.Aging._.and._.Trend._.Analysis._1_3_3_1" hidden="1">{#N/A,#N/A,FALSE,"Aging Summary";#N/A,#N/A,FALSE,"Ratio Analysis";#N/A,#N/A,FALSE,"Test 120 Day Accts";#N/A,#N/A,FALSE,"Tickmarks"}</definedName>
    <definedName name="wrn.Aging._.and._.Trend._.Analysis._1_3_3_1_1" hidden="1">{#N/A,#N/A,FALSE,"Aging Summary";#N/A,#N/A,FALSE,"Ratio Analysis";#N/A,#N/A,FALSE,"Test 120 Day Accts";#N/A,#N/A,FALSE,"Tickmarks"}</definedName>
    <definedName name="wrn.Aging._.and._.Trend._.Analysis._1_3_4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4_1" hidden="1">{#N/A,#N/A,FALSE,"Aging Summary";#N/A,#N/A,FALSE,"Ratio Analysis";#N/A,#N/A,FALSE,"Test 120 Day Accts";#N/A,#N/A,FALSE,"Tickmarks"}</definedName>
    <definedName name="wrn.Aging._.and._.Trend._.Analysis._1_4_1_1" hidden="1">{#N/A,#N/A,FALSE,"Aging Summary";#N/A,#N/A,FALSE,"Ratio Analysis";#N/A,#N/A,FALSE,"Test 120 Day Accts";#N/A,#N/A,FALSE,"Tickmarks"}</definedName>
    <definedName name="wrn.Aging._.and._.Trend._.Analysis._1_4_1_1_1" hidden="1">{#N/A,#N/A,FALSE,"Aging Summary";#N/A,#N/A,FALSE,"Ratio Analysis";#N/A,#N/A,FALSE,"Test 120 Day Accts";#N/A,#N/A,FALSE,"Tickmarks"}</definedName>
    <definedName name="wrn.Aging._.and._.Trend._.Analysis._1_4_1_1_1_1" hidden="1">{#N/A,#N/A,FALSE,"Aging Summary";#N/A,#N/A,FALSE,"Ratio Analysis";#N/A,#N/A,FALSE,"Test 120 Day Accts";#N/A,#N/A,FALSE,"Tickmarks"}</definedName>
    <definedName name="wrn.Aging._.and._.Trend._.Analysis._1_4_1_1_1_1_1" hidden="1">{#N/A,#N/A,FALSE,"Aging Summary";#N/A,#N/A,FALSE,"Ratio Analysis";#N/A,#N/A,FALSE,"Test 120 Day Accts";#N/A,#N/A,FALSE,"Tickmarks"}</definedName>
    <definedName name="wrn.Aging._.and._.Trend._.Analysis._1_4_1_1_2" hidden="1">{#N/A,#N/A,FALSE,"Aging Summary";#N/A,#N/A,FALSE,"Ratio Analysis";#N/A,#N/A,FALSE,"Test 120 Day Accts";#N/A,#N/A,FALSE,"Tickmarks"}</definedName>
    <definedName name="wrn.Aging._.and._.Trend._.Analysis._1_4_1_2" hidden="1">{#N/A,#N/A,FALSE,"Aging Summary";#N/A,#N/A,FALSE,"Ratio Analysis";#N/A,#N/A,FALSE,"Test 120 Day Accts";#N/A,#N/A,FALSE,"Tickmarks"}</definedName>
    <definedName name="wrn.Aging._.and._.Trend._.Analysis._1_4_1_2_1" hidden="1">{#N/A,#N/A,FALSE,"Aging Summary";#N/A,#N/A,FALSE,"Ratio Analysis";#N/A,#N/A,FALSE,"Test 120 Day Accts";#N/A,#N/A,FALSE,"Tickmarks"}</definedName>
    <definedName name="wrn.Aging._.and._.Trend._.Analysis._1_4_2" hidden="1">{#N/A,#N/A,FALSE,"Aging Summary";#N/A,#N/A,FALSE,"Ratio Analysis";#N/A,#N/A,FALSE,"Test 120 Day Accts";#N/A,#N/A,FALSE,"Tickmarks"}</definedName>
    <definedName name="wrn.Aging._.and._.Trend._.Analysis._1_4_2_1" hidden="1">{#N/A,#N/A,FALSE,"Aging Summary";#N/A,#N/A,FALSE,"Ratio Analysis";#N/A,#N/A,FALSE,"Test 120 Day Accts";#N/A,#N/A,FALSE,"Tickmarks"}</definedName>
    <definedName name="wrn.Aging._.and._.Trend._.Analysis._1_4_2_1_1" hidden="1">{#N/A,#N/A,FALSE,"Aging Summary";#N/A,#N/A,FALSE,"Ratio Analysis";#N/A,#N/A,FALSE,"Test 120 Day Accts";#N/A,#N/A,FALSE,"Tickmarks"}</definedName>
    <definedName name="wrn.Aging._.and._.Trend._.Analysis._1_4_2_1_1_1" hidden="1">{#N/A,#N/A,FALSE,"Aging Summary";#N/A,#N/A,FALSE,"Ratio Analysis";#N/A,#N/A,FALSE,"Test 120 Day Accts";#N/A,#N/A,FALSE,"Tickmarks"}</definedName>
    <definedName name="wrn.Aging._.and._.Trend._.Analysis._1_4_2_2" hidden="1">{#N/A,#N/A,FALSE,"Aging Summary";#N/A,#N/A,FALSE,"Ratio Analysis";#N/A,#N/A,FALSE,"Test 120 Day Accts";#N/A,#N/A,FALSE,"Tickmarks"}</definedName>
    <definedName name="wrn.Aging._.and._.Trend._.Analysis._1_4_3" hidden="1">{#N/A,#N/A,FALSE,"Aging Summary";#N/A,#N/A,FALSE,"Ratio Analysis";#N/A,#N/A,FALSE,"Test 120 Day Accts";#N/A,#N/A,FALSE,"Tickmarks"}</definedName>
    <definedName name="wrn.Aging._.and._.Trend._.Analysis._1_4_3_1" hidden="1">{#N/A,#N/A,FALSE,"Aging Summary";#N/A,#N/A,FALSE,"Ratio Analysis";#N/A,#N/A,FALSE,"Test 120 Day Accts";#N/A,#N/A,FALSE,"Tickmarks"}</definedName>
    <definedName name="wrn.Aging._.and._.Trend._.Analysis._1_4_3_1_1" hidden="1">{#N/A,#N/A,FALSE,"Aging Summary";#N/A,#N/A,FALSE,"Ratio Analysis";#N/A,#N/A,FALSE,"Test 120 Day Accts";#N/A,#N/A,FALSE,"Tickmarks"}</definedName>
    <definedName name="wrn.Aging._.and._.Trend._.Analysis._1_4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1_5_1" hidden="1">{#N/A,#N/A,FALSE,"Aging Summary";#N/A,#N/A,FALSE,"Ratio Analysis";#N/A,#N/A,FALSE,"Test 120 Day Accts";#N/A,#N/A,FALSE,"Tickmarks"}</definedName>
    <definedName name="wrn.Aging._.and._.Trend._.Analysis._1_5_1_1" hidden="1">{#N/A,#N/A,FALSE,"Aging Summary";#N/A,#N/A,FALSE,"Ratio Analysis";#N/A,#N/A,FALSE,"Test 120 Day Accts";#N/A,#N/A,FALSE,"Tickmarks"}</definedName>
    <definedName name="wrn.Aging._.and._.Trend._.Analysis._1_5_1_1_1" hidden="1">{#N/A,#N/A,FALSE,"Aging Summary";#N/A,#N/A,FALSE,"Ratio Analysis";#N/A,#N/A,FALSE,"Test 120 Day Accts";#N/A,#N/A,FALSE,"Tickmarks"}</definedName>
    <definedName name="wrn.Aging._.and._.Trend._.Analysis._1_5_1_1_1_1" hidden="1">{#N/A,#N/A,FALSE,"Aging Summary";#N/A,#N/A,FALSE,"Ratio Analysis";#N/A,#N/A,FALSE,"Test 120 Day Accts";#N/A,#N/A,FALSE,"Tickmarks"}</definedName>
    <definedName name="wrn.Aging._.and._.Trend._.Analysis._1_5_1_2" hidden="1">{#N/A,#N/A,FALSE,"Aging Summary";#N/A,#N/A,FALSE,"Ratio Analysis";#N/A,#N/A,FALSE,"Test 120 Day Accts";#N/A,#N/A,FALSE,"Tickmarks"}</definedName>
    <definedName name="wrn.Aging._.and._.Trend._.Analysis._1_5_2" hidden="1">{#N/A,#N/A,FALSE,"Aging Summary";#N/A,#N/A,FALSE,"Ratio Analysis";#N/A,#N/A,FALSE,"Test 120 Day Accts";#N/A,#N/A,FALSE,"Tickmarks"}</definedName>
    <definedName name="wrn.Aging._.and._.Trend._.Analysis._1_5_2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1_1" hidden="1">{#N/A,#N/A,FALSE,"Aging Summary";#N/A,#N/A,FALSE,"Ratio Analysis";#N/A,#N/A,FALSE,"Test 120 Day Accts";#N/A,#N/A,FALSE,"Tickmarks"}</definedName>
    <definedName name="wrn.Aging._.and._.Trend._.Analysis._2_1_1_1" hidden="1">{#N/A,#N/A,FALSE,"Aging Summary";#N/A,#N/A,FALSE,"Ratio Analysis";#N/A,#N/A,FALSE,"Test 120 Day Accts";#N/A,#N/A,FALSE,"Tickmarks"}</definedName>
    <definedName name="wrn.Aging._.and._.Trend._.Analysis._2_1_1_1_1" hidden="1">{#N/A,#N/A,FALSE,"Aging Summary";#N/A,#N/A,FALSE,"Ratio Analysis";#N/A,#N/A,FALSE,"Test 120 Day Accts";#N/A,#N/A,FALSE,"Tickmarks"}</definedName>
    <definedName name="wrn.Aging._.and._.Trend._.Analysis._2_1_1_1_1_1" hidden="1">{#N/A,#N/A,FALSE,"Aging Summary";#N/A,#N/A,FALSE,"Ratio Analysis";#N/A,#N/A,FALSE,"Test 120 Day Accts";#N/A,#N/A,FALSE,"Tickmarks"}</definedName>
    <definedName name="wrn.Aging._.and._.Trend._.Analysis._2_1_1_1_1_1_1" hidden="1">{#N/A,#N/A,FALSE,"Aging Summary";#N/A,#N/A,FALSE,"Ratio Analysis";#N/A,#N/A,FALSE,"Test 120 Day Accts";#N/A,#N/A,FALSE,"Tickmarks"}</definedName>
    <definedName name="wrn.Aging._.and._.Trend._.Analysis._2_1_1_1_1_1_1_1" hidden="1">{#N/A,#N/A,FALSE,"Aging Summary";#N/A,#N/A,FALSE,"Ratio Analysis";#N/A,#N/A,FALSE,"Test 120 Day Accts";#N/A,#N/A,FALSE,"Tickmarks"}</definedName>
    <definedName name="wrn.Aging._.and._.Trend._.Analysis._2_1_1_1_1_1_1_1_1" hidden="1">{#N/A,#N/A,FALSE,"Aging Summary";#N/A,#N/A,FALSE,"Ratio Analysis";#N/A,#N/A,FALSE,"Test 120 Day Accts";#N/A,#N/A,FALSE,"Tickmarks"}</definedName>
    <definedName name="wrn.Aging._.and._.Trend._.Analysis._2_1_1_1_1_1_1_1_1_1" hidden="1">{#N/A,#N/A,FALSE,"Aging Summary";#N/A,#N/A,FALSE,"Ratio Analysis";#N/A,#N/A,FALSE,"Test 120 Day Accts";#N/A,#N/A,FALSE,"Tickmarks"}</definedName>
    <definedName name="wrn.Aging._.and._.Trend._.Analysis._2_1_1_1_1_1_1_2" hidden="1">{#N/A,#N/A,FALSE,"Aging Summary";#N/A,#N/A,FALSE,"Ratio Analysis";#N/A,#N/A,FALSE,"Test 120 Day Accts";#N/A,#N/A,FALSE,"Tickmarks"}</definedName>
    <definedName name="wrn.Aging._.and._.Trend._.Analysis._2_1_1_1_1_1_2" hidden="1">{#N/A,#N/A,FALSE,"Aging Summary";#N/A,#N/A,FALSE,"Ratio Analysis";#N/A,#N/A,FALSE,"Test 120 Day Accts";#N/A,#N/A,FALSE,"Tickmarks"}</definedName>
    <definedName name="wrn.Aging._.and._.Trend._.Analysis._2_1_1_1_1_1_2_1" hidden="1">{#N/A,#N/A,FALSE,"Aging Summary";#N/A,#N/A,FALSE,"Ratio Analysis";#N/A,#N/A,FALSE,"Test 120 Day Accts";#N/A,#N/A,FALSE,"Tickmarks"}</definedName>
    <definedName name="wrn.Aging._.and._.Trend._.Analysis._2_1_1_1_1_2" hidden="1">{#N/A,#N/A,FALSE,"Aging Summary";#N/A,#N/A,FALSE,"Ratio Analysis";#N/A,#N/A,FALSE,"Test 120 Day Accts";#N/A,#N/A,FALSE,"Tickmarks"}</definedName>
    <definedName name="wrn.Aging._.and._.Trend._.Analysis._2_1_1_1_1_2_1" hidden="1">{#N/A,#N/A,FALSE,"Aging Summary";#N/A,#N/A,FALSE,"Ratio Analysis";#N/A,#N/A,FALSE,"Test 120 Day Accts";#N/A,#N/A,FALSE,"Tickmarks"}</definedName>
    <definedName name="wrn.Aging._.and._.Trend._.Analysis._2_1_1_1_1_2_1_1" hidden="1">{#N/A,#N/A,FALSE,"Aging Summary";#N/A,#N/A,FALSE,"Ratio Analysis";#N/A,#N/A,FALSE,"Test 120 Day Accts";#N/A,#N/A,FALSE,"Tickmarks"}</definedName>
    <definedName name="wrn.Aging._.and._.Trend._.Analysis._2_1_1_1_1_2_1_1_1" hidden="1">{#N/A,#N/A,FALSE,"Aging Summary";#N/A,#N/A,FALSE,"Ratio Analysis";#N/A,#N/A,FALSE,"Test 120 Day Accts";#N/A,#N/A,FALSE,"Tickmarks"}</definedName>
    <definedName name="wrn.Aging._.and._.Trend._.Analysis._2_1_1_1_1_2_2" hidden="1">{#N/A,#N/A,FALSE,"Aging Summary";#N/A,#N/A,FALSE,"Ratio Analysis";#N/A,#N/A,FALSE,"Test 120 Day Accts";#N/A,#N/A,FALSE,"Tickmarks"}</definedName>
    <definedName name="wrn.Aging._.and._.Trend._.Analysis._2_1_1_1_1_3" hidden="1">{#N/A,#N/A,FALSE,"Aging Summary";#N/A,#N/A,FALSE,"Ratio Analysis";#N/A,#N/A,FALSE,"Test 120 Day Accts";#N/A,#N/A,FALSE,"Tickmarks"}</definedName>
    <definedName name="wrn.Aging._.and._.Trend._.Analysis._2_1_1_1_1_3_1" hidden="1">{#N/A,#N/A,FALSE,"Aging Summary";#N/A,#N/A,FALSE,"Ratio Analysis";#N/A,#N/A,FALSE,"Test 120 Day Accts";#N/A,#N/A,FALSE,"Tickmarks"}</definedName>
    <definedName name="wrn.Aging._.and._.Trend._.Analysis._2_1_1_1_1_3_1_1" hidden="1">{#N/A,#N/A,FALSE,"Aging Summary";#N/A,#N/A,FALSE,"Ratio Analysis";#N/A,#N/A,FALSE,"Test 120 Day Accts";#N/A,#N/A,FALSE,"Tickmarks"}</definedName>
    <definedName name="wrn.Aging._.and._.Trend._.Analysis._2_1_1_1_1_4" hidden="1">{#N/A,#N/A,FALSE,"Aging Summary";#N/A,#N/A,FALSE,"Ratio Analysis";#N/A,#N/A,FALSE,"Test 120 Day Accts";#N/A,#N/A,FALSE,"Tickmarks"}</definedName>
    <definedName name="wrn.Aging._.and._.Trend._.Analysis._2_1_1_1_2" hidden="1">{#N/A,#N/A,FALSE,"Aging Summary";#N/A,#N/A,FALSE,"Ratio Analysis";#N/A,#N/A,FALSE,"Test 120 Day Accts";#N/A,#N/A,FALSE,"Tickmarks"}</definedName>
    <definedName name="wrn.Aging._.and._.Trend._.Analysis._2_1_1_1_2_1" hidden="1">{#N/A,#N/A,FALSE,"Aging Summary";#N/A,#N/A,FALSE,"Ratio Analysis";#N/A,#N/A,FALSE,"Test 120 Day Accts";#N/A,#N/A,FALSE,"Tickmarks"}</definedName>
    <definedName name="wrn.Aging._.and._.Trend._.Analysis._2_1_1_1_2_1_1" hidden="1">{#N/A,#N/A,FALSE,"Aging Summary";#N/A,#N/A,FALSE,"Ratio Analysis";#N/A,#N/A,FALSE,"Test 120 Day Accts";#N/A,#N/A,FALSE,"Tickmarks"}</definedName>
    <definedName name="wrn.Aging._.and._.Trend._.Analysis._2_1_1_1_2_1_1_1" hidden="1">{#N/A,#N/A,FALSE,"Aging Summary";#N/A,#N/A,FALSE,"Ratio Analysis";#N/A,#N/A,FALSE,"Test 120 Day Accts";#N/A,#N/A,FALSE,"Tickmarks"}</definedName>
    <definedName name="wrn.Aging._.and._.Trend._.Analysis._2_1_1_1_2_1_1_1_1" hidden="1">{#N/A,#N/A,FALSE,"Aging Summary";#N/A,#N/A,FALSE,"Ratio Analysis";#N/A,#N/A,FALSE,"Test 120 Day Accts";#N/A,#N/A,FALSE,"Tickmarks"}</definedName>
    <definedName name="wrn.Aging._.and._.Trend._.Analysis._2_1_1_1_2_1_2" hidden="1">{#N/A,#N/A,FALSE,"Aging Summary";#N/A,#N/A,FALSE,"Ratio Analysis";#N/A,#N/A,FALSE,"Test 120 Day Accts";#N/A,#N/A,FALSE,"Tickmarks"}</definedName>
    <definedName name="wrn.Aging._.and._.Trend._.Analysis._2_1_1_1_2_2" hidden="1">{#N/A,#N/A,FALSE,"Aging Summary";#N/A,#N/A,FALSE,"Ratio Analysis";#N/A,#N/A,FALSE,"Test 120 Day Accts";#N/A,#N/A,FALSE,"Tickmarks"}</definedName>
    <definedName name="wrn.Aging._.and._.Trend._.Analysis._2_1_1_1_2_2_1" hidden="1">{#N/A,#N/A,FALSE,"Aging Summary";#N/A,#N/A,FALSE,"Ratio Analysis";#N/A,#N/A,FALSE,"Test 120 Day Accts";#N/A,#N/A,FALSE,"Tickmarks"}</definedName>
    <definedName name="wrn.Aging._.and._.Trend._.Analysis._2_1_1_1_3" hidden="1">{#N/A,#N/A,FALSE,"Aging Summary";#N/A,#N/A,FALSE,"Ratio Analysis";#N/A,#N/A,FALSE,"Test 120 Day Accts";#N/A,#N/A,FALSE,"Tickmarks"}</definedName>
    <definedName name="wrn.Aging._.and._.Trend._.Analysis._2_1_1_1_3_1" hidden="1">{#N/A,#N/A,FALSE,"Aging Summary";#N/A,#N/A,FALSE,"Ratio Analysis";#N/A,#N/A,FALSE,"Test 120 Day Accts";#N/A,#N/A,FALSE,"Tickmarks"}</definedName>
    <definedName name="wrn.Aging._.and._.Trend._.Analysis._2_1_1_1_3_1_1" hidden="1">{#N/A,#N/A,FALSE,"Aging Summary";#N/A,#N/A,FALSE,"Ratio Analysis";#N/A,#N/A,FALSE,"Test 120 Day Accts";#N/A,#N/A,FALSE,"Tickmarks"}</definedName>
    <definedName name="wrn.Aging._.and._.Trend._.Analysis._2_1_1_1_4" hidden="1">{#N/A,#N/A,FALSE,"Aging Summary";#N/A,#N/A,FALSE,"Ratio Analysis";#N/A,#N/A,FALSE,"Test 120 Day Accts";#N/A,#N/A,FALSE,"Tickmarks"}</definedName>
    <definedName name="wrn.Aging._.and._.Trend._.Analysis._2_1_1_2" hidden="1">{#N/A,#N/A,FALSE,"Aging Summary";#N/A,#N/A,FALSE,"Ratio Analysis";#N/A,#N/A,FALSE,"Test 120 Day Accts";#N/A,#N/A,FALSE,"Tickmarks"}</definedName>
    <definedName name="wrn.Aging._.and._.Trend._.Analysis._2_1_1_2_1" hidden="1">{#N/A,#N/A,FALSE,"Aging Summary";#N/A,#N/A,FALSE,"Ratio Analysis";#N/A,#N/A,FALSE,"Test 120 Day Accts";#N/A,#N/A,FALSE,"Tickmarks"}</definedName>
    <definedName name="wrn.Aging._.and._.Trend._.Analysis._2_1_1_2_1_1" hidden="1">{#N/A,#N/A,FALSE,"Aging Summary";#N/A,#N/A,FALSE,"Ratio Analysis";#N/A,#N/A,FALSE,"Test 120 Day Accts";#N/A,#N/A,FALSE,"Tickmarks"}</definedName>
    <definedName name="wrn.Aging._.and._.Trend._.Analysis._2_1_1_2_1_1_1" hidden="1">{#N/A,#N/A,FALSE,"Aging Summary";#N/A,#N/A,FALSE,"Ratio Analysis";#N/A,#N/A,FALSE,"Test 120 Day Accts";#N/A,#N/A,FALSE,"Tickmarks"}</definedName>
    <definedName name="wrn.Aging._.and._.Trend._.Analysis._2_1_1_2_1_1_1_1" hidden="1">{#N/A,#N/A,FALSE,"Aging Summary";#N/A,#N/A,FALSE,"Ratio Analysis";#N/A,#N/A,FALSE,"Test 120 Day Accts";#N/A,#N/A,FALSE,"Tickmarks"}</definedName>
    <definedName name="wrn.Aging._.and._.Trend._.Analysis._2_1_1_2_1_1_1_1_1" hidden="1">{#N/A,#N/A,FALSE,"Aging Summary";#N/A,#N/A,FALSE,"Ratio Analysis";#N/A,#N/A,FALSE,"Test 120 Day Accts";#N/A,#N/A,FALSE,"Tickmarks"}</definedName>
    <definedName name="wrn.Aging._.and._.Trend._.Analysis._2_1_1_2_1_1_2" hidden="1">{#N/A,#N/A,FALSE,"Aging Summary";#N/A,#N/A,FALSE,"Ratio Analysis";#N/A,#N/A,FALSE,"Test 120 Day Accts";#N/A,#N/A,FALSE,"Tickmarks"}</definedName>
    <definedName name="wrn.Aging._.and._.Trend._.Analysis._2_1_1_2_1_2" hidden="1">{#N/A,#N/A,FALSE,"Aging Summary";#N/A,#N/A,FALSE,"Ratio Analysis";#N/A,#N/A,FALSE,"Test 120 Day Accts";#N/A,#N/A,FALSE,"Tickmarks"}</definedName>
    <definedName name="wrn.Aging._.and._.Trend._.Analysis._2_1_1_2_1_2_1" hidden="1">{#N/A,#N/A,FALSE,"Aging Summary";#N/A,#N/A,FALSE,"Ratio Analysis";#N/A,#N/A,FALSE,"Test 120 Day Accts";#N/A,#N/A,FALSE,"Tickmarks"}</definedName>
    <definedName name="wrn.Aging._.and._.Trend._.Analysis._2_1_1_2_2" hidden="1">{#N/A,#N/A,FALSE,"Aging Summary";#N/A,#N/A,FALSE,"Ratio Analysis";#N/A,#N/A,FALSE,"Test 120 Day Accts";#N/A,#N/A,FALSE,"Tickmarks"}</definedName>
    <definedName name="wrn.Aging._.and._.Trend._.Analysis._2_1_1_2_2_1" hidden="1">{#N/A,#N/A,FALSE,"Aging Summary";#N/A,#N/A,FALSE,"Ratio Analysis";#N/A,#N/A,FALSE,"Test 120 Day Accts";#N/A,#N/A,FALSE,"Tickmarks"}</definedName>
    <definedName name="wrn.Aging._.and._.Trend._.Analysis._2_1_1_2_2_1_1" hidden="1">{#N/A,#N/A,FALSE,"Aging Summary";#N/A,#N/A,FALSE,"Ratio Analysis";#N/A,#N/A,FALSE,"Test 120 Day Accts";#N/A,#N/A,FALSE,"Tickmarks"}</definedName>
    <definedName name="wrn.Aging._.and._.Trend._.Analysis._2_1_1_2_2_1_1_1" hidden="1">{#N/A,#N/A,FALSE,"Aging Summary";#N/A,#N/A,FALSE,"Ratio Analysis";#N/A,#N/A,FALSE,"Test 120 Day Accts";#N/A,#N/A,FALSE,"Tickmarks"}</definedName>
    <definedName name="wrn.Aging._.and._.Trend._.Analysis._2_1_1_2_2_2" hidden="1">{#N/A,#N/A,FALSE,"Aging Summary";#N/A,#N/A,FALSE,"Ratio Analysis";#N/A,#N/A,FALSE,"Test 120 Day Accts";#N/A,#N/A,FALSE,"Tickmarks"}</definedName>
    <definedName name="wrn.Aging._.and._.Trend._.Analysis._2_1_1_2_3" hidden="1">{#N/A,#N/A,FALSE,"Aging Summary";#N/A,#N/A,FALSE,"Ratio Analysis";#N/A,#N/A,FALSE,"Test 120 Day Accts";#N/A,#N/A,FALSE,"Tickmarks"}</definedName>
    <definedName name="wrn.Aging._.and._.Trend._.Analysis._2_1_1_2_3_1" hidden="1">{#N/A,#N/A,FALSE,"Aging Summary";#N/A,#N/A,FALSE,"Ratio Analysis";#N/A,#N/A,FALSE,"Test 120 Day Accts";#N/A,#N/A,FALSE,"Tickmarks"}</definedName>
    <definedName name="wrn.Aging._.and._.Trend._.Analysis._2_1_1_2_3_1_1" hidden="1">{#N/A,#N/A,FALSE,"Aging Summary";#N/A,#N/A,FALSE,"Ratio Analysis";#N/A,#N/A,FALSE,"Test 120 Day Accts";#N/A,#N/A,FALSE,"Tickmarks"}</definedName>
    <definedName name="wrn.Aging._.and._.Trend._.Analysis._2_1_1_2_4" hidden="1">{#N/A,#N/A,FALSE,"Aging Summary";#N/A,#N/A,FALSE,"Ratio Analysis";#N/A,#N/A,FALSE,"Test 120 Day Accts";#N/A,#N/A,FALSE,"Tickmarks"}</definedName>
    <definedName name="wrn.Aging._.and._.Trend._.Analysis._2_1_1_3" hidden="1">{#N/A,#N/A,FALSE,"Aging Summary";#N/A,#N/A,FALSE,"Ratio Analysis";#N/A,#N/A,FALSE,"Test 120 Day Accts";#N/A,#N/A,FALSE,"Tickmarks"}</definedName>
    <definedName name="wrn.Aging._.and._.Trend._.Analysis._2_1_1_3_1" hidden="1">{#N/A,#N/A,FALSE,"Aging Summary";#N/A,#N/A,FALSE,"Ratio Analysis";#N/A,#N/A,FALSE,"Test 120 Day Accts";#N/A,#N/A,FALSE,"Tickmarks"}</definedName>
    <definedName name="wrn.Aging._.and._.Trend._.Analysis._2_1_1_3_1_1" hidden="1">{#N/A,#N/A,FALSE,"Aging Summary";#N/A,#N/A,FALSE,"Ratio Analysis";#N/A,#N/A,FALSE,"Test 120 Day Accts";#N/A,#N/A,FALSE,"Tickmarks"}</definedName>
    <definedName name="wrn.Aging._.and._.Trend._.Analysis._2_1_1_3_1_1_1" hidden="1">{#N/A,#N/A,FALSE,"Aging Summary";#N/A,#N/A,FALSE,"Ratio Analysis";#N/A,#N/A,FALSE,"Test 120 Day Accts";#N/A,#N/A,FALSE,"Tickmarks"}</definedName>
    <definedName name="wrn.Aging._.and._.Trend._.Analysis._2_1_1_3_1_1_1_1" hidden="1">{#N/A,#N/A,FALSE,"Aging Summary";#N/A,#N/A,FALSE,"Ratio Analysis";#N/A,#N/A,FALSE,"Test 120 Day Accts";#N/A,#N/A,FALSE,"Tickmarks"}</definedName>
    <definedName name="wrn.Aging._.and._.Trend._.Analysis._2_1_1_3_1_2" hidden="1">{#N/A,#N/A,FALSE,"Aging Summary";#N/A,#N/A,FALSE,"Ratio Analysis";#N/A,#N/A,FALSE,"Test 120 Day Accts";#N/A,#N/A,FALSE,"Tickmarks"}</definedName>
    <definedName name="wrn.Aging._.and._.Trend._.Analysis._2_1_1_3_2" hidden="1">{#N/A,#N/A,FALSE,"Aging Summary";#N/A,#N/A,FALSE,"Ratio Analysis";#N/A,#N/A,FALSE,"Test 120 Day Accts";#N/A,#N/A,FALSE,"Tickmarks"}</definedName>
    <definedName name="wrn.Aging._.and._.Trend._.Analysis._2_1_1_3_2_1" hidden="1">{#N/A,#N/A,FALSE,"Aging Summary";#N/A,#N/A,FALSE,"Ratio Analysis";#N/A,#N/A,FALSE,"Test 120 Day Accts";#N/A,#N/A,FALSE,"Tickmarks"}</definedName>
    <definedName name="wrn.Aging._.and._.Trend._.Analysis._2_1_1_4" hidden="1">{#N/A,#N/A,FALSE,"Aging Summary";#N/A,#N/A,FALSE,"Ratio Analysis";#N/A,#N/A,FALSE,"Test 120 Day Accts";#N/A,#N/A,FALSE,"Tickmarks"}</definedName>
    <definedName name="wrn.Aging._.and._.Trend._.Analysis._2_1_1_4_1" hidden="1">{#N/A,#N/A,FALSE,"Aging Summary";#N/A,#N/A,FALSE,"Ratio Analysis";#N/A,#N/A,FALSE,"Test 120 Day Accts";#N/A,#N/A,FALSE,"Tickmarks"}</definedName>
    <definedName name="wrn.Aging._.and._.Trend._.Analysis._2_1_1_4_1_1" hidden="1">{#N/A,#N/A,FALSE,"Aging Summary";#N/A,#N/A,FALSE,"Ratio Analysis";#N/A,#N/A,FALSE,"Test 120 Day Accts";#N/A,#N/A,FALSE,"Tickmarks"}</definedName>
    <definedName name="wrn.Aging._.and._.Trend._.Analysis._2_1_1_5" hidden="1">{#N/A,#N/A,FALSE,"Aging Summary";#N/A,#N/A,FALSE,"Ratio Analysis";#N/A,#N/A,FALSE,"Test 120 Day Accts";#N/A,#N/A,FALSE,"Tickmarks"}</definedName>
    <definedName name="wrn.Aging._.and._.Trend._.Analysis._2_1_2" hidden="1">{#N/A,#N/A,FALSE,"Aging Summary";#N/A,#N/A,FALSE,"Ratio Analysis";#N/A,#N/A,FALSE,"Test 120 Day Accts";#N/A,#N/A,FALSE,"Tickmarks"}</definedName>
    <definedName name="wrn.Aging._.and._.Trend._.Analysis._2_1_2_1" hidden="1">{#N/A,#N/A,FALSE,"Aging Summary";#N/A,#N/A,FALSE,"Ratio Analysis";#N/A,#N/A,FALSE,"Test 120 Day Accts";#N/A,#N/A,FALSE,"Tickmarks"}</definedName>
    <definedName name="wrn.Aging._.and._.Trend._.Analysis._2_1_2_1_1" hidden="1">{#N/A,#N/A,FALSE,"Aging Summary";#N/A,#N/A,FALSE,"Ratio Analysis";#N/A,#N/A,FALSE,"Test 120 Day Accts";#N/A,#N/A,FALSE,"Tickmarks"}</definedName>
    <definedName name="wrn.Aging._.and._.Trend._.Analysis._2_1_2_1_1_1" hidden="1">{#N/A,#N/A,FALSE,"Aging Summary";#N/A,#N/A,FALSE,"Ratio Analysis";#N/A,#N/A,FALSE,"Test 120 Day Accts";#N/A,#N/A,FALSE,"Tickmarks"}</definedName>
    <definedName name="wrn.Aging._.and._.Trend._.Analysis._2_1_2_1_1_1_1" hidden="1">{#N/A,#N/A,FALSE,"Aging Summary";#N/A,#N/A,FALSE,"Ratio Analysis";#N/A,#N/A,FALSE,"Test 120 Day Accts";#N/A,#N/A,FALSE,"Tickmarks"}</definedName>
    <definedName name="wrn.Aging._.and._.Trend._.Analysis._2_1_2_1_1_1_1_1" hidden="1">{#N/A,#N/A,FALSE,"Aging Summary";#N/A,#N/A,FALSE,"Ratio Analysis";#N/A,#N/A,FALSE,"Test 120 Day Accts";#N/A,#N/A,FALSE,"Tickmarks"}</definedName>
    <definedName name="wrn.Aging._.and._.Trend._.Analysis._2_1_2_1_1_2" hidden="1">{#N/A,#N/A,FALSE,"Aging Summary";#N/A,#N/A,FALSE,"Ratio Analysis";#N/A,#N/A,FALSE,"Test 120 Day Accts";#N/A,#N/A,FALSE,"Tickmarks"}</definedName>
    <definedName name="wrn.Aging._.and._.Trend._.Analysis._2_1_2_1_2" hidden="1">{#N/A,#N/A,FALSE,"Aging Summary";#N/A,#N/A,FALSE,"Ratio Analysis";#N/A,#N/A,FALSE,"Test 120 Day Accts";#N/A,#N/A,FALSE,"Tickmarks"}</definedName>
    <definedName name="wrn.Aging._.and._.Trend._.Analysis._2_1_2_1_2_1" hidden="1">{#N/A,#N/A,FALSE,"Aging Summary";#N/A,#N/A,FALSE,"Ratio Analysis";#N/A,#N/A,FALSE,"Test 120 Day Accts";#N/A,#N/A,FALSE,"Tickmarks"}</definedName>
    <definedName name="wrn.Aging._.and._.Trend._.Analysis._2_1_2_2" hidden="1">{#N/A,#N/A,FALSE,"Aging Summary";#N/A,#N/A,FALSE,"Ratio Analysis";#N/A,#N/A,FALSE,"Test 120 Day Accts";#N/A,#N/A,FALSE,"Tickmarks"}</definedName>
    <definedName name="wrn.Aging._.and._.Trend._.Analysis._2_1_2_2_1" hidden="1">{#N/A,#N/A,FALSE,"Aging Summary";#N/A,#N/A,FALSE,"Ratio Analysis";#N/A,#N/A,FALSE,"Test 120 Day Accts";#N/A,#N/A,FALSE,"Tickmarks"}</definedName>
    <definedName name="wrn.Aging._.and._.Trend._.Analysis._2_1_2_2_1_1" hidden="1">{#N/A,#N/A,FALSE,"Aging Summary";#N/A,#N/A,FALSE,"Ratio Analysis";#N/A,#N/A,FALSE,"Test 120 Day Accts";#N/A,#N/A,FALSE,"Tickmarks"}</definedName>
    <definedName name="wrn.Aging._.and._.Trend._.Analysis._2_1_2_2_1_1_1" hidden="1">{#N/A,#N/A,FALSE,"Aging Summary";#N/A,#N/A,FALSE,"Ratio Analysis";#N/A,#N/A,FALSE,"Test 120 Day Accts";#N/A,#N/A,FALSE,"Tickmarks"}</definedName>
    <definedName name="wrn.Aging._.and._.Trend._.Analysis._2_1_2_2_2" hidden="1">{#N/A,#N/A,FALSE,"Aging Summary";#N/A,#N/A,FALSE,"Ratio Analysis";#N/A,#N/A,FALSE,"Test 120 Day Accts";#N/A,#N/A,FALSE,"Tickmarks"}</definedName>
    <definedName name="wrn.Aging._.and._.Trend._.Analysis._2_1_2_3" hidden="1">{#N/A,#N/A,FALSE,"Aging Summary";#N/A,#N/A,FALSE,"Ratio Analysis";#N/A,#N/A,FALSE,"Test 120 Day Accts";#N/A,#N/A,FALSE,"Tickmarks"}</definedName>
    <definedName name="wrn.Aging._.and._.Trend._.Analysis._2_1_2_3_1" hidden="1">{#N/A,#N/A,FALSE,"Aging Summary";#N/A,#N/A,FALSE,"Ratio Analysis";#N/A,#N/A,FALSE,"Test 120 Day Accts";#N/A,#N/A,FALSE,"Tickmarks"}</definedName>
    <definedName name="wrn.Aging._.and._.Trend._.Analysis._2_1_2_3_1_1" hidden="1">{#N/A,#N/A,FALSE,"Aging Summary";#N/A,#N/A,FALSE,"Ratio Analysis";#N/A,#N/A,FALSE,"Test 120 Day Accts";#N/A,#N/A,FALSE,"Tickmarks"}</definedName>
    <definedName name="wrn.Aging._.and._.Trend._.Analysis._2_1_2_4" hidden="1">{#N/A,#N/A,FALSE,"Aging Summary";#N/A,#N/A,FALSE,"Ratio Analysis";#N/A,#N/A,FALSE,"Test 120 Day Accts";#N/A,#N/A,FALSE,"Tickmarks"}</definedName>
    <definedName name="wrn.Aging._.and._.Trend._.Analysis._2_1_3" hidden="1">{#N/A,#N/A,FALSE,"Aging Summary";#N/A,#N/A,FALSE,"Ratio Analysis";#N/A,#N/A,FALSE,"Test 120 Day Accts";#N/A,#N/A,FALSE,"Tickmarks"}</definedName>
    <definedName name="wrn.Aging._.and._.Trend._.Analysis._2_1_3_1" hidden="1">{#N/A,#N/A,FALSE,"Aging Summary";#N/A,#N/A,FALSE,"Ratio Analysis";#N/A,#N/A,FALSE,"Test 120 Day Accts";#N/A,#N/A,FALSE,"Tickmarks"}</definedName>
    <definedName name="wrn.Aging._.and._.Trend._.Analysis._2_1_3_1_1" hidden="1">{#N/A,#N/A,FALSE,"Aging Summary";#N/A,#N/A,FALSE,"Ratio Analysis";#N/A,#N/A,FALSE,"Test 120 Day Accts";#N/A,#N/A,FALSE,"Tickmarks"}</definedName>
    <definedName name="wrn.Aging._.and._.Trend._.Analysis._2_1_3_1_1_1" hidden="1">{#N/A,#N/A,FALSE,"Aging Summary";#N/A,#N/A,FALSE,"Ratio Analysis";#N/A,#N/A,FALSE,"Test 120 Day Accts";#N/A,#N/A,FALSE,"Tickmarks"}</definedName>
    <definedName name="wrn.Aging._.and._.Trend._.Analysis._2_1_3_1_1_1_1" hidden="1">{#N/A,#N/A,FALSE,"Aging Summary";#N/A,#N/A,FALSE,"Ratio Analysis";#N/A,#N/A,FALSE,"Test 120 Day Accts";#N/A,#N/A,FALSE,"Tickmarks"}</definedName>
    <definedName name="wrn.Aging._.and._.Trend._.Analysis._2_1_3_1_2" hidden="1">{#N/A,#N/A,FALSE,"Aging Summary";#N/A,#N/A,FALSE,"Ratio Analysis";#N/A,#N/A,FALSE,"Test 120 Day Accts";#N/A,#N/A,FALSE,"Tickmarks"}</definedName>
    <definedName name="wrn.Aging._.and._.Trend._.Analysis._2_1_3_2" hidden="1">{#N/A,#N/A,FALSE,"Aging Summary";#N/A,#N/A,FALSE,"Ratio Analysis";#N/A,#N/A,FALSE,"Test 120 Day Accts";#N/A,#N/A,FALSE,"Tickmarks"}</definedName>
    <definedName name="wrn.Aging._.and._.Trend._.Analysis._2_1_3_2_1" hidden="1">{#N/A,#N/A,FALSE,"Aging Summary";#N/A,#N/A,FALSE,"Ratio Analysis";#N/A,#N/A,FALSE,"Test 120 Day Accts";#N/A,#N/A,FALSE,"Tickmarks"}</definedName>
    <definedName name="wrn.Aging._.and._.Trend._.Analysis._2_1_4" hidden="1">{#N/A,#N/A,FALSE,"Aging Summary";#N/A,#N/A,FALSE,"Ratio Analysis";#N/A,#N/A,FALSE,"Test 120 Day Accts";#N/A,#N/A,FALSE,"Tickmarks"}</definedName>
    <definedName name="wrn.Aging._.and._.Trend._.Analysis._2_1_4_1" hidden="1">{#N/A,#N/A,FALSE,"Aging Summary";#N/A,#N/A,FALSE,"Ratio Analysis";#N/A,#N/A,FALSE,"Test 120 Day Accts";#N/A,#N/A,FALSE,"Tickmarks"}</definedName>
    <definedName name="wrn.Aging._.and._.Trend._.Analysis._2_1_4_1_1" hidden="1">{#N/A,#N/A,FALSE,"Aging Summary";#N/A,#N/A,FALSE,"Ratio Analysis";#N/A,#N/A,FALSE,"Test 120 Day Accts";#N/A,#N/A,FALSE,"Tickmarks"}</definedName>
    <definedName name="wrn.Aging._.and._.Trend._.Analysis._2_1_5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2_1" hidden="1">{#N/A,#N/A,FALSE,"Aging Summary";#N/A,#N/A,FALSE,"Ratio Analysis";#N/A,#N/A,FALSE,"Test 120 Day Accts";#N/A,#N/A,FALSE,"Tickmarks"}</definedName>
    <definedName name="wrn.Aging._.and._.Trend._.Analysis._2_2_1_1" hidden="1">{#N/A,#N/A,FALSE,"Aging Summary";#N/A,#N/A,FALSE,"Ratio Analysis";#N/A,#N/A,FALSE,"Test 120 Day Accts";#N/A,#N/A,FALSE,"Tickmarks"}</definedName>
    <definedName name="wrn.Aging._.and._.Trend._.Analysis._2_2_1_1_1" hidden="1">{#N/A,#N/A,FALSE,"Aging Summary";#N/A,#N/A,FALSE,"Ratio Analysis";#N/A,#N/A,FALSE,"Test 120 Day Accts";#N/A,#N/A,FALSE,"Tickmarks"}</definedName>
    <definedName name="wrn.Aging._.and._.Trend._.Analysis._2_2_1_1_1_1" hidden="1">{#N/A,#N/A,FALSE,"Aging Summary";#N/A,#N/A,FALSE,"Ratio Analysis";#N/A,#N/A,FALSE,"Test 120 Day Accts";#N/A,#N/A,FALSE,"Tickmarks"}</definedName>
    <definedName name="wrn.Aging._.and._.Trend._.Analysis._2_2_1_1_1_1_1" hidden="1">{#N/A,#N/A,FALSE,"Aging Summary";#N/A,#N/A,FALSE,"Ratio Analysis";#N/A,#N/A,FALSE,"Test 120 Day Accts";#N/A,#N/A,FALSE,"Tickmarks"}</definedName>
    <definedName name="wrn.Aging._.and._.Trend._.Analysis._2_2_1_1_1_1_1_1" hidden="1">{#N/A,#N/A,FALSE,"Aging Summary";#N/A,#N/A,FALSE,"Ratio Analysis";#N/A,#N/A,FALSE,"Test 120 Day Accts";#N/A,#N/A,FALSE,"Tickmarks"}</definedName>
    <definedName name="wrn.Aging._.and._.Trend._.Analysis._2_2_1_1_1_2" hidden="1">{#N/A,#N/A,FALSE,"Aging Summary";#N/A,#N/A,FALSE,"Ratio Analysis";#N/A,#N/A,FALSE,"Test 120 Day Accts";#N/A,#N/A,FALSE,"Tickmarks"}</definedName>
    <definedName name="wrn.Aging._.and._.Trend._.Analysis._2_2_1_1_2" hidden="1">{#N/A,#N/A,FALSE,"Aging Summary";#N/A,#N/A,FALSE,"Ratio Analysis";#N/A,#N/A,FALSE,"Test 120 Day Accts";#N/A,#N/A,FALSE,"Tickmarks"}</definedName>
    <definedName name="wrn.Aging._.and._.Trend._.Analysis._2_2_1_1_2_1" hidden="1">{#N/A,#N/A,FALSE,"Aging Summary";#N/A,#N/A,FALSE,"Ratio Analysis";#N/A,#N/A,FALSE,"Test 120 Day Accts";#N/A,#N/A,FALSE,"Tickmarks"}</definedName>
    <definedName name="wrn.Aging._.and._.Trend._.Analysis._2_2_1_2" hidden="1">{#N/A,#N/A,FALSE,"Aging Summary";#N/A,#N/A,FALSE,"Ratio Analysis";#N/A,#N/A,FALSE,"Test 120 Day Accts";#N/A,#N/A,FALSE,"Tickmarks"}</definedName>
    <definedName name="wrn.Aging._.and._.Trend._.Analysis._2_2_1_2_1" hidden="1">{#N/A,#N/A,FALSE,"Aging Summary";#N/A,#N/A,FALSE,"Ratio Analysis";#N/A,#N/A,FALSE,"Test 120 Day Accts";#N/A,#N/A,FALSE,"Tickmarks"}</definedName>
    <definedName name="wrn.Aging._.and._.Trend._.Analysis._2_2_1_2_1_1" hidden="1">{#N/A,#N/A,FALSE,"Aging Summary";#N/A,#N/A,FALSE,"Ratio Analysis";#N/A,#N/A,FALSE,"Test 120 Day Accts";#N/A,#N/A,FALSE,"Tickmarks"}</definedName>
    <definedName name="wrn.Aging._.and._.Trend._.Analysis._2_2_1_2_1_1_1" hidden="1">{#N/A,#N/A,FALSE,"Aging Summary";#N/A,#N/A,FALSE,"Ratio Analysis";#N/A,#N/A,FALSE,"Test 120 Day Accts";#N/A,#N/A,FALSE,"Tickmarks"}</definedName>
    <definedName name="wrn.Aging._.and._.Trend._.Analysis._2_2_1_2_2" hidden="1">{#N/A,#N/A,FALSE,"Aging Summary";#N/A,#N/A,FALSE,"Ratio Analysis";#N/A,#N/A,FALSE,"Test 120 Day Accts";#N/A,#N/A,FALSE,"Tickmarks"}</definedName>
    <definedName name="wrn.Aging._.and._.Trend._.Analysis._2_2_1_3" hidden="1">{#N/A,#N/A,FALSE,"Aging Summary";#N/A,#N/A,FALSE,"Ratio Analysis";#N/A,#N/A,FALSE,"Test 120 Day Accts";#N/A,#N/A,FALSE,"Tickmarks"}</definedName>
    <definedName name="wrn.Aging._.and._.Trend._.Analysis._2_2_1_3_1" hidden="1">{#N/A,#N/A,FALSE,"Aging Summary";#N/A,#N/A,FALSE,"Ratio Analysis";#N/A,#N/A,FALSE,"Test 120 Day Accts";#N/A,#N/A,FALSE,"Tickmarks"}</definedName>
    <definedName name="wrn.Aging._.and._.Trend._.Analysis._2_2_1_3_1_1" hidden="1">{#N/A,#N/A,FALSE,"Aging Summary";#N/A,#N/A,FALSE,"Ratio Analysis";#N/A,#N/A,FALSE,"Test 120 Day Accts";#N/A,#N/A,FALSE,"Tickmarks"}</definedName>
    <definedName name="wrn.Aging._.and._.Trend._.Analysis._2_2_1_4" hidden="1">{#N/A,#N/A,FALSE,"Aging Summary";#N/A,#N/A,FALSE,"Ratio Analysis";#N/A,#N/A,FALSE,"Test 120 Day Accts";#N/A,#N/A,FALSE,"Tickmarks"}</definedName>
    <definedName name="wrn.Aging._.and._.Trend._.Analysis._2_2_2" hidden="1">{#N/A,#N/A,FALSE,"Aging Summary";#N/A,#N/A,FALSE,"Ratio Analysis";#N/A,#N/A,FALSE,"Test 120 Day Accts";#N/A,#N/A,FALSE,"Tickmarks"}</definedName>
    <definedName name="wrn.Aging._.and._.Trend._.Analysis._2_2_2_1" hidden="1">{#N/A,#N/A,FALSE,"Aging Summary";#N/A,#N/A,FALSE,"Ratio Analysis";#N/A,#N/A,FALSE,"Test 120 Day Accts";#N/A,#N/A,FALSE,"Tickmarks"}</definedName>
    <definedName name="wrn.Aging._.and._.Trend._.Analysis._2_2_2_1_1" hidden="1">{#N/A,#N/A,FALSE,"Aging Summary";#N/A,#N/A,FALSE,"Ratio Analysis";#N/A,#N/A,FALSE,"Test 120 Day Accts";#N/A,#N/A,FALSE,"Tickmarks"}</definedName>
    <definedName name="wrn.Aging._.and._.Trend._.Analysis._2_2_2_1_1_1" hidden="1">{#N/A,#N/A,FALSE,"Aging Summary";#N/A,#N/A,FALSE,"Ratio Analysis";#N/A,#N/A,FALSE,"Test 120 Day Accts";#N/A,#N/A,FALSE,"Tickmarks"}</definedName>
    <definedName name="wrn.Aging._.and._.Trend._.Analysis._2_2_2_1_1_1_1" hidden="1">{#N/A,#N/A,FALSE,"Aging Summary";#N/A,#N/A,FALSE,"Ratio Analysis";#N/A,#N/A,FALSE,"Test 120 Day Accts";#N/A,#N/A,FALSE,"Tickmarks"}</definedName>
    <definedName name="wrn.Aging._.and._.Trend._.Analysis._2_2_2_1_2" hidden="1">{#N/A,#N/A,FALSE,"Aging Summary";#N/A,#N/A,FALSE,"Ratio Analysis";#N/A,#N/A,FALSE,"Test 120 Day Accts";#N/A,#N/A,FALSE,"Tickmarks"}</definedName>
    <definedName name="wrn.Aging._.and._.Trend._.Analysis._2_2_2_2" hidden="1">{#N/A,#N/A,FALSE,"Aging Summary";#N/A,#N/A,FALSE,"Ratio Analysis";#N/A,#N/A,FALSE,"Test 120 Day Accts";#N/A,#N/A,FALSE,"Tickmarks"}</definedName>
    <definedName name="wrn.Aging._.and._.Trend._.Analysis._2_2_2_2_1" hidden="1">{#N/A,#N/A,FALSE,"Aging Summary";#N/A,#N/A,FALSE,"Ratio Analysis";#N/A,#N/A,FALSE,"Test 120 Day Accts";#N/A,#N/A,FALSE,"Tickmarks"}</definedName>
    <definedName name="wrn.Aging._.and._.Trend._.Analysis._2_2_3" hidden="1">{#N/A,#N/A,FALSE,"Aging Summary";#N/A,#N/A,FALSE,"Ratio Analysis";#N/A,#N/A,FALSE,"Test 120 Day Accts";#N/A,#N/A,FALSE,"Tickmarks"}</definedName>
    <definedName name="wrn.Aging._.and._.Trend._.Analysis._2_2_3_1" hidden="1">{#N/A,#N/A,FALSE,"Aging Summary";#N/A,#N/A,FALSE,"Ratio Analysis";#N/A,#N/A,FALSE,"Test 120 Day Accts";#N/A,#N/A,FALSE,"Tickmarks"}</definedName>
    <definedName name="wrn.Aging._.and._.Trend._.Analysis._2_2_3_1_1" hidden="1">{#N/A,#N/A,FALSE,"Aging Summary";#N/A,#N/A,FALSE,"Ratio Analysis";#N/A,#N/A,FALSE,"Test 120 Day Accts";#N/A,#N/A,FALSE,"Tickmarks"}</definedName>
    <definedName name="wrn.Aging._.and._.Trend._.Analysis._2_2_4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3_1" hidden="1">{#N/A,#N/A,FALSE,"Aging Summary";#N/A,#N/A,FALSE,"Ratio Analysis";#N/A,#N/A,FALSE,"Test 120 Day Accts";#N/A,#N/A,FALSE,"Tickmarks"}</definedName>
    <definedName name="wrn.Aging._.and._.Trend._.Analysis._2_3_1_1" hidden="1">{#N/A,#N/A,FALSE,"Aging Summary";#N/A,#N/A,FALSE,"Ratio Analysis";#N/A,#N/A,FALSE,"Test 120 Day Accts";#N/A,#N/A,FALSE,"Tickmarks"}</definedName>
    <definedName name="wrn.Aging._.and._.Trend._.Analysis._2_3_1_1_1" hidden="1">{#N/A,#N/A,FALSE,"Aging Summary";#N/A,#N/A,FALSE,"Ratio Analysis";#N/A,#N/A,FALSE,"Test 120 Day Accts";#N/A,#N/A,FALSE,"Tickmarks"}</definedName>
    <definedName name="wrn.Aging._.and._.Trend._.Analysis._2_3_1_1_1_1" hidden="1">{#N/A,#N/A,FALSE,"Aging Summary";#N/A,#N/A,FALSE,"Ratio Analysis";#N/A,#N/A,FALSE,"Test 120 Day Accts";#N/A,#N/A,FALSE,"Tickmarks"}</definedName>
    <definedName name="wrn.Aging._.and._.Trend._.Analysis._2_3_1_1_1_1_1" hidden="1">{#N/A,#N/A,FALSE,"Aging Summary";#N/A,#N/A,FALSE,"Ratio Analysis";#N/A,#N/A,FALSE,"Test 120 Day Accts";#N/A,#N/A,FALSE,"Tickmarks"}</definedName>
    <definedName name="wrn.Aging._.and._.Trend._.Analysis._2_3_1_1_2" hidden="1">{#N/A,#N/A,FALSE,"Aging Summary";#N/A,#N/A,FALSE,"Ratio Analysis";#N/A,#N/A,FALSE,"Test 120 Day Accts";#N/A,#N/A,FALSE,"Tickmarks"}</definedName>
    <definedName name="wrn.Aging._.and._.Trend._.Analysis._2_3_1_2" hidden="1">{#N/A,#N/A,FALSE,"Aging Summary";#N/A,#N/A,FALSE,"Ratio Analysis";#N/A,#N/A,FALSE,"Test 120 Day Accts";#N/A,#N/A,FALSE,"Tickmarks"}</definedName>
    <definedName name="wrn.Aging._.and._.Trend._.Analysis._2_3_1_2_1" hidden="1">{#N/A,#N/A,FALSE,"Aging Summary";#N/A,#N/A,FALSE,"Ratio Analysis";#N/A,#N/A,FALSE,"Test 120 Day Accts";#N/A,#N/A,FALSE,"Tickmarks"}</definedName>
    <definedName name="wrn.Aging._.and._.Trend._.Analysis._2_3_2" hidden="1">{#N/A,#N/A,FALSE,"Aging Summary";#N/A,#N/A,FALSE,"Ratio Analysis";#N/A,#N/A,FALSE,"Test 120 Day Accts";#N/A,#N/A,FALSE,"Tickmarks"}</definedName>
    <definedName name="wrn.Aging._.and._.Trend._.Analysis._2_3_2_1" hidden="1">{#N/A,#N/A,FALSE,"Aging Summary";#N/A,#N/A,FALSE,"Ratio Analysis";#N/A,#N/A,FALSE,"Test 120 Day Accts";#N/A,#N/A,FALSE,"Tickmarks"}</definedName>
    <definedName name="wrn.Aging._.and._.Trend._.Analysis._2_3_2_1_1" hidden="1">{#N/A,#N/A,FALSE,"Aging Summary";#N/A,#N/A,FALSE,"Ratio Analysis";#N/A,#N/A,FALSE,"Test 120 Day Accts";#N/A,#N/A,FALSE,"Tickmarks"}</definedName>
    <definedName name="wrn.Aging._.and._.Trend._.Analysis._2_3_2_1_1_1" hidden="1">{#N/A,#N/A,FALSE,"Aging Summary";#N/A,#N/A,FALSE,"Ratio Analysis";#N/A,#N/A,FALSE,"Test 120 Day Accts";#N/A,#N/A,FALSE,"Tickmarks"}</definedName>
    <definedName name="wrn.Aging._.and._.Trend._.Analysis._2_3_2_2" hidden="1">{#N/A,#N/A,FALSE,"Aging Summary";#N/A,#N/A,FALSE,"Ratio Analysis";#N/A,#N/A,FALSE,"Test 120 Day Accts";#N/A,#N/A,FALSE,"Tickmarks"}</definedName>
    <definedName name="wrn.Aging._.and._.Trend._.Analysis._2_3_3" hidden="1">{#N/A,#N/A,FALSE,"Aging Summary";#N/A,#N/A,FALSE,"Ratio Analysis";#N/A,#N/A,FALSE,"Test 120 Day Accts";#N/A,#N/A,FALSE,"Tickmarks"}</definedName>
    <definedName name="wrn.Aging._.and._.Trend._.Analysis._2_3_3_1" hidden="1">{#N/A,#N/A,FALSE,"Aging Summary";#N/A,#N/A,FALSE,"Ratio Analysis";#N/A,#N/A,FALSE,"Test 120 Day Accts";#N/A,#N/A,FALSE,"Tickmarks"}</definedName>
    <definedName name="wrn.Aging._.and._.Trend._.Analysis._2_3_3_1_1" hidden="1">{#N/A,#N/A,FALSE,"Aging Summary";#N/A,#N/A,FALSE,"Ratio Analysis";#N/A,#N/A,FALSE,"Test 120 Day Accts";#N/A,#N/A,FALSE,"Tickmarks"}</definedName>
    <definedName name="wrn.Aging._.and._.Trend._.Analysis._2_3_4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4_1" hidden="1">{#N/A,#N/A,FALSE,"Aging Summary";#N/A,#N/A,FALSE,"Ratio Analysis";#N/A,#N/A,FALSE,"Test 120 Day Accts";#N/A,#N/A,FALSE,"Tickmarks"}</definedName>
    <definedName name="wrn.Aging._.and._.Trend._.Analysis._2_4_1_1" hidden="1">{#N/A,#N/A,FALSE,"Aging Summary";#N/A,#N/A,FALSE,"Ratio Analysis";#N/A,#N/A,FALSE,"Test 120 Day Accts";#N/A,#N/A,FALSE,"Tickmarks"}</definedName>
    <definedName name="wrn.Aging._.and._.Trend._.Analysis._2_4_1_1_1" hidden="1">{#N/A,#N/A,FALSE,"Aging Summary";#N/A,#N/A,FALSE,"Ratio Analysis";#N/A,#N/A,FALSE,"Test 120 Day Accts";#N/A,#N/A,FALSE,"Tickmarks"}</definedName>
    <definedName name="wrn.Aging._.and._.Trend._.Analysis._2_4_1_1_1_1" hidden="1">{#N/A,#N/A,FALSE,"Aging Summary";#N/A,#N/A,FALSE,"Ratio Analysis";#N/A,#N/A,FALSE,"Test 120 Day Accts";#N/A,#N/A,FALSE,"Tickmarks"}</definedName>
    <definedName name="wrn.Aging._.and._.Trend._.Analysis._2_4_1_2" hidden="1">{#N/A,#N/A,FALSE,"Aging Summary";#N/A,#N/A,FALSE,"Ratio Analysis";#N/A,#N/A,FALSE,"Test 120 Day Accts";#N/A,#N/A,FALSE,"Tickmarks"}</definedName>
    <definedName name="wrn.Aging._.and._.Trend._.Analysis._2_4_2" hidden="1">{#N/A,#N/A,FALSE,"Aging Summary";#N/A,#N/A,FALSE,"Ratio Analysis";#N/A,#N/A,FALSE,"Test 120 Day Accts";#N/A,#N/A,FALSE,"Tickmarks"}</definedName>
    <definedName name="wrn.Aging._.and._.Trend._.Analysis._2_4_2_1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2_5_1" hidden="1">{#N/A,#N/A,FALSE,"Aging Summary";#N/A,#N/A,FALSE,"Ratio Analysis";#N/A,#N/A,FALSE,"Test 120 Day Accts";#N/A,#N/A,FALSE,"Tickmarks"}</definedName>
    <definedName name="wrn.Aging._.and._.Trend._.Analysis._2_5_1_1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1_1" hidden="1">{#N/A,#N/A,FALSE,"Aging Summary";#N/A,#N/A,FALSE,"Ratio Analysis";#N/A,#N/A,FALSE,"Test 120 Day Accts";#N/A,#N/A,FALSE,"Tickmarks"}</definedName>
    <definedName name="wrn.Aging._.and._.Trend._.Analysis._3_1_1_1" hidden="1">{#N/A,#N/A,FALSE,"Aging Summary";#N/A,#N/A,FALSE,"Ratio Analysis";#N/A,#N/A,FALSE,"Test 120 Day Accts";#N/A,#N/A,FALSE,"Tickmarks"}</definedName>
    <definedName name="wrn.Aging._.and._.Trend._.Analysis._3_1_1_1_1" hidden="1">{#N/A,#N/A,FALSE,"Aging Summary";#N/A,#N/A,FALSE,"Ratio Analysis";#N/A,#N/A,FALSE,"Test 120 Day Accts";#N/A,#N/A,FALSE,"Tickmarks"}</definedName>
    <definedName name="wrn.Aging._.and._.Trend._.Analysis._3_1_1_1_1_1" hidden="1">{#N/A,#N/A,FALSE,"Aging Summary";#N/A,#N/A,FALSE,"Ratio Analysis";#N/A,#N/A,FALSE,"Test 120 Day Accts";#N/A,#N/A,FALSE,"Tickmarks"}</definedName>
    <definedName name="wrn.Aging._.and._.Trend._.Analysis._3_1_1_1_1_1_1" hidden="1">{#N/A,#N/A,FALSE,"Aging Summary";#N/A,#N/A,FALSE,"Ratio Analysis";#N/A,#N/A,FALSE,"Test 120 Day Accts";#N/A,#N/A,FALSE,"Tickmarks"}</definedName>
    <definedName name="wrn.Aging._.and._.Trend._.Analysis._3_1_1_1_1_1_1_1" hidden="1">{#N/A,#N/A,FALSE,"Aging Summary";#N/A,#N/A,FALSE,"Ratio Analysis";#N/A,#N/A,FALSE,"Test 120 Day Accts";#N/A,#N/A,FALSE,"Tickmarks"}</definedName>
    <definedName name="wrn.Aging._.and._.Trend._.Analysis._3_1_1_1_1_2" hidden="1">{#N/A,#N/A,FALSE,"Aging Summary";#N/A,#N/A,FALSE,"Ratio Analysis";#N/A,#N/A,FALSE,"Test 120 Day Accts";#N/A,#N/A,FALSE,"Tickmarks"}</definedName>
    <definedName name="wrn.Aging._.and._.Trend._.Analysis._3_1_1_1_2" hidden="1">{#N/A,#N/A,FALSE,"Aging Summary";#N/A,#N/A,FALSE,"Ratio Analysis";#N/A,#N/A,FALSE,"Test 120 Day Accts";#N/A,#N/A,FALSE,"Tickmarks"}</definedName>
    <definedName name="wrn.Aging._.and._.Trend._.Analysis._3_1_1_1_2_1" hidden="1">{#N/A,#N/A,FALSE,"Aging Summary";#N/A,#N/A,FALSE,"Ratio Analysis";#N/A,#N/A,FALSE,"Test 120 Day Accts";#N/A,#N/A,FALSE,"Tickmarks"}</definedName>
    <definedName name="wrn.Aging._.and._.Trend._.Analysis._3_1_1_2" hidden="1">{#N/A,#N/A,FALSE,"Aging Summary";#N/A,#N/A,FALSE,"Ratio Analysis";#N/A,#N/A,FALSE,"Test 120 Day Accts";#N/A,#N/A,FALSE,"Tickmarks"}</definedName>
    <definedName name="wrn.Aging._.and._.Trend._.Analysis._3_1_1_2_1" hidden="1">{#N/A,#N/A,FALSE,"Aging Summary";#N/A,#N/A,FALSE,"Ratio Analysis";#N/A,#N/A,FALSE,"Test 120 Day Accts";#N/A,#N/A,FALSE,"Tickmarks"}</definedName>
    <definedName name="wrn.Aging._.and._.Trend._.Analysis._3_1_1_2_1_1" hidden="1">{#N/A,#N/A,FALSE,"Aging Summary";#N/A,#N/A,FALSE,"Ratio Analysis";#N/A,#N/A,FALSE,"Test 120 Day Accts";#N/A,#N/A,FALSE,"Tickmarks"}</definedName>
    <definedName name="wrn.Aging._.and._.Trend._.Analysis._3_1_1_2_1_1_1" hidden="1">{#N/A,#N/A,FALSE,"Aging Summary";#N/A,#N/A,FALSE,"Ratio Analysis";#N/A,#N/A,FALSE,"Test 120 Day Accts";#N/A,#N/A,FALSE,"Tickmarks"}</definedName>
    <definedName name="wrn.Aging._.and._.Trend._.Analysis._3_1_1_2_2" hidden="1">{#N/A,#N/A,FALSE,"Aging Summary";#N/A,#N/A,FALSE,"Ratio Analysis";#N/A,#N/A,FALSE,"Test 120 Day Accts";#N/A,#N/A,FALSE,"Tickmarks"}</definedName>
    <definedName name="wrn.Aging._.and._.Trend._.Analysis._3_1_1_3" hidden="1">{#N/A,#N/A,FALSE,"Aging Summary";#N/A,#N/A,FALSE,"Ratio Analysis";#N/A,#N/A,FALSE,"Test 120 Day Accts";#N/A,#N/A,FALSE,"Tickmarks"}</definedName>
    <definedName name="wrn.Aging._.and._.Trend._.Analysis._3_1_1_3_1" hidden="1">{#N/A,#N/A,FALSE,"Aging Summary";#N/A,#N/A,FALSE,"Ratio Analysis";#N/A,#N/A,FALSE,"Test 120 Day Accts";#N/A,#N/A,FALSE,"Tickmarks"}</definedName>
    <definedName name="wrn.Aging._.and._.Trend._.Analysis._3_1_1_3_1_1" hidden="1">{#N/A,#N/A,FALSE,"Aging Summary";#N/A,#N/A,FALSE,"Ratio Analysis";#N/A,#N/A,FALSE,"Test 120 Day Accts";#N/A,#N/A,FALSE,"Tickmarks"}</definedName>
    <definedName name="wrn.Aging._.and._.Trend._.Analysis._3_1_1_4" hidden="1">{#N/A,#N/A,FALSE,"Aging Summary";#N/A,#N/A,FALSE,"Ratio Analysis";#N/A,#N/A,FALSE,"Test 120 Day Accts";#N/A,#N/A,FALSE,"Tickmarks"}</definedName>
    <definedName name="wrn.Aging._.and._.Trend._.Analysis._3_1_2" hidden="1">{#N/A,#N/A,FALSE,"Aging Summary";#N/A,#N/A,FALSE,"Ratio Analysis";#N/A,#N/A,FALSE,"Test 120 Day Accts";#N/A,#N/A,FALSE,"Tickmarks"}</definedName>
    <definedName name="wrn.Aging._.and._.Trend._.Analysis._3_1_2_1" hidden="1">{#N/A,#N/A,FALSE,"Aging Summary";#N/A,#N/A,FALSE,"Ratio Analysis";#N/A,#N/A,FALSE,"Test 120 Day Accts";#N/A,#N/A,FALSE,"Tickmarks"}</definedName>
    <definedName name="wrn.Aging._.and._.Trend._.Analysis._3_1_2_1_1" hidden="1">{#N/A,#N/A,FALSE,"Aging Summary";#N/A,#N/A,FALSE,"Ratio Analysis";#N/A,#N/A,FALSE,"Test 120 Day Accts";#N/A,#N/A,FALSE,"Tickmarks"}</definedName>
    <definedName name="wrn.Aging._.and._.Trend._.Analysis._3_1_2_1_1_1" hidden="1">{#N/A,#N/A,FALSE,"Aging Summary";#N/A,#N/A,FALSE,"Ratio Analysis";#N/A,#N/A,FALSE,"Test 120 Day Accts";#N/A,#N/A,FALSE,"Tickmarks"}</definedName>
    <definedName name="wrn.Aging._.and._.Trend._.Analysis._3_1_2_1_1_1_1" hidden="1">{#N/A,#N/A,FALSE,"Aging Summary";#N/A,#N/A,FALSE,"Ratio Analysis";#N/A,#N/A,FALSE,"Test 120 Day Accts";#N/A,#N/A,FALSE,"Tickmarks"}</definedName>
    <definedName name="wrn.Aging._.and._.Trend._.Analysis._3_1_2_1_2" hidden="1">{#N/A,#N/A,FALSE,"Aging Summary";#N/A,#N/A,FALSE,"Ratio Analysis";#N/A,#N/A,FALSE,"Test 120 Day Accts";#N/A,#N/A,FALSE,"Tickmarks"}</definedName>
    <definedName name="wrn.Aging._.and._.Trend._.Analysis._3_1_2_2" hidden="1">{#N/A,#N/A,FALSE,"Aging Summary";#N/A,#N/A,FALSE,"Ratio Analysis";#N/A,#N/A,FALSE,"Test 120 Day Accts";#N/A,#N/A,FALSE,"Tickmarks"}</definedName>
    <definedName name="wrn.Aging._.and._.Trend._.Analysis._3_1_2_2_1" hidden="1">{#N/A,#N/A,FALSE,"Aging Summary";#N/A,#N/A,FALSE,"Ratio Analysis";#N/A,#N/A,FALSE,"Test 120 Day Accts";#N/A,#N/A,FALSE,"Tickmarks"}</definedName>
    <definedName name="wrn.Aging._.and._.Trend._.Analysis._3_1_3" hidden="1">{#N/A,#N/A,FALSE,"Aging Summary";#N/A,#N/A,FALSE,"Ratio Analysis";#N/A,#N/A,FALSE,"Test 120 Day Accts";#N/A,#N/A,FALSE,"Tickmarks"}</definedName>
    <definedName name="wrn.Aging._.and._.Trend._.Analysis._3_1_3_1" hidden="1">{#N/A,#N/A,FALSE,"Aging Summary";#N/A,#N/A,FALSE,"Ratio Analysis";#N/A,#N/A,FALSE,"Test 120 Day Accts";#N/A,#N/A,FALSE,"Tickmarks"}</definedName>
    <definedName name="wrn.Aging._.and._.Trend._.Analysis._3_1_3_1_1" hidden="1">{#N/A,#N/A,FALSE,"Aging Summary";#N/A,#N/A,FALSE,"Ratio Analysis";#N/A,#N/A,FALSE,"Test 120 Day Accts";#N/A,#N/A,FALSE,"Tickmarks"}</definedName>
    <definedName name="wrn.Aging._.and._.Trend._.Analysis._3_1_4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2_1" hidden="1">{#N/A,#N/A,FALSE,"Aging Summary";#N/A,#N/A,FALSE,"Ratio Analysis";#N/A,#N/A,FALSE,"Test 120 Day Accts";#N/A,#N/A,FALSE,"Tickmarks"}</definedName>
    <definedName name="wrn.Aging._.and._.Trend._.Analysis._3_2_1_1" hidden="1">{#N/A,#N/A,FALSE,"Aging Summary";#N/A,#N/A,FALSE,"Ratio Analysis";#N/A,#N/A,FALSE,"Test 120 Day Accts";#N/A,#N/A,FALSE,"Tickmarks"}</definedName>
    <definedName name="wrn.Aging._.and._.Trend._.Analysis._3_2_1_1_1" hidden="1">{#N/A,#N/A,FALSE,"Aging Summary";#N/A,#N/A,FALSE,"Ratio Analysis";#N/A,#N/A,FALSE,"Test 120 Day Accts";#N/A,#N/A,FALSE,"Tickmarks"}</definedName>
    <definedName name="wrn.Aging._.and._.Trend._.Analysis._3_2_1_1_1_1" hidden="1">{#N/A,#N/A,FALSE,"Aging Summary";#N/A,#N/A,FALSE,"Ratio Analysis";#N/A,#N/A,FALSE,"Test 120 Day Accts";#N/A,#N/A,FALSE,"Tickmarks"}</definedName>
    <definedName name="wrn.Aging._.and._.Trend._.Analysis._3_2_1_1_1_1_1" hidden="1">{#N/A,#N/A,FALSE,"Aging Summary";#N/A,#N/A,FALSE,"Ratio Analysis";#N/A,#N/A,FALSE,"Test 120 Day Accts";#N/A,#N/A,FALSE,"Tickmarks"}</definedName>
    <definedName name="wrn.Aging._.and._.Trend._.Analysis._3_2_1_1_2" hidden="1">{#N/A,#N/A,FALSE,"Aging Summary";#N/A,#N/A,FALSE,"Ratio Analysis";#N/A,#N/A,FALSE,"Test 120 Day Accts";#N/A,#N/A,FALSE,"Tickmarks"}</definedName>
    <definedName name="wrn.Aging._.and._.Trend._.Analysis._3_2_1_2" hidden="1">{#N/A,#N/A,FALSE,"Aging Summary";#N/A,#N/A,FALSE,"Ratio Analysis";#N/A,#N/A,FALSE,"Test 120 Day Accts";#N/A,#N/A,FALSE,"Tickmarks"}</definedName>
    <definedName name="wrn.Aging._.and._.Trend._.Analysis._3_2_1_2_1" hidden="1">{#N/A,#N/A,FALSE,"Aging Summary";#N/A,#N/A,FALSE,"Ratio Analysis";#N/A,#N/A,FALSE,"Test 120 Day Accts";#N/A,#N/A,FALSE,"Tickmarks"}</definedName>
    <definedName name="wrn.Aging._.and._.Trend._.Analysis._3_2_2" hidden="1">{#N/A,#N/A,FALSE,"Aging Summary";#N/A,#N/A,FALSE,"Ratio Analysis";#N/A,#N/A,FALSE,"Test 120 Day Accts";#N/A,#N/A,FALSE,"Tickmarks"}</definedName>
    <definedName name="wrn.Aging._.and._.Trend._.Analysis._3_2_2_1" hidden="1">{#N/A,#N/A,FALSE,"Aging Summary";#N/A,#N/A,FALSE,"Ratio Analysis";#N/A,#N/A,FALSE,"Test 120 Day Accts";#N/A,#N/A,FALSE,"Tickmarks"}</definedName>
    <definedName name="wrn.Aging._.and._.Trend._.Analysis._3_2_2_1_1" hidden="1">{#N/A,#N/A,FALSE,"Aging Summary";#N/A,#N/A,FALSE,"Ratio Analysis";#N/A,#N/A,FALSE,"Test 120 Day Accts";#N/A,#N/A,FALSE,"Tickmarks"}</definedName>
    <definedName name="wrn.Aging._.and._.Trend._.Analysis._3_2_2_1_1_1" hidden="1">{#N/A,#N/A,FALSE,"Aging Summary";#N/A,#N/A,FALSE,"Ratio Analysis";#N/A,#N/A,FALSE,"Test 120 Day Accts";#N/A,#N/A,FALSE,"Tickmarks"}</definedName>
    <definedName name="wrn.Aging._.and._.Trend._.Analysis._3_2_2_2" hidden="1">{#N/A,#N/A,FALSE,"Aging Summary";#N/A,#N/A,FALSE,"Ratio Analysis";#N/A,#N/A,FALSE,"Test 120 Day Accts";#N/A,#N/A,FALSE,"Tickmarks"}</definedName>
    <definedName name="wrn.Aging._.and._.Trend._.Analysis._3_2_3" hidden="1">{#N/A,#N/A,FALSE,"Aging Summary";#N/A,#N/A,FALSE,"Ratio Analysis";#N/A,#N/A,FALSE,"Test 120 Day Accts";#N/A,#N/A,FALSE,"Tickmarks"}</definedName>
    <definedName name="wrn.Aging._.and._.Trend._.Analysis._3_2_3_1" hidden="1">{#N/A,#N/A,FALSE,"Aging Summary";#N/A,#N/A,FALSE,"Ratio Analysis";#N/A,#N/A,FALSE,"Test 120 Day Accts";#N/A,#N/A,FALSE,"Tickmarks"}</definedName>
    <definedName name="wrn.Aging._.and._.Trend._.Analysis._3_2_3_1_1" hidden="1">{#N/A,#N/A,FALSE,"Aging Summary";#N/A,#N/A,FALSE,"Ratio Analysis";#N/A,#N/A,FALSE,"Test 120 Day Accts";#N/A,#N/A,FALSE,"Tickmarks"}</definedName>
    <definedName name="wrn.Aging._.and._.Trend._.Analysis._3_2_4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3_1" hidden="1">{#N/A,#N/A,FALSE,"Aging Summary";#N/A,#N/A,FALSE,"Ratio Analysis";#N/A,#N/A,FALSE,"Test 120 Day Accts";#N/A,#N/A,FALSE,"Tickmarks"}</definedName>
    <definedName name="wrn.Aging._.and._.Trend._.Analysis._3_3_1_1" hidden="1">{#N/A,#N/A,FALSE,"Aging Summary";#N/A,#N/A,FALSE,"Ratio Analysis";#N/A,#N/A,FALSE,"Test 120 Day Accts";#N/A,#N/A,FALSE,"Tickmarks"}</definedName>
    <definedName name="wrn.Aging._.and._.Trend._.Analysis._3_3_1_1_1" hidden="1">{#N/A,#N/A,FALSE,"Aging Summary";#N/A,#N/A,FALSE,"Ratio Analysis";#N/A,#N/A,FALSE,"Test 120 Day Accts";#N/A,#N/A,FALSE,"Tickmarks"}</definedName>
    <definedName name="wrn.Aging._.and._.Trend._.Analysis._3_3_1_1_1_1" hidden="1">{#N/A,#N/A,FALSE,"Aging Summary";#N/A,#N/A,FALSE,"Ratio Analysis";#N/A,#N/A,FALSE,"Test 120 Day Accts";#N/A,#N/A,FALSE,"Tickmarks"}</definedName>
    <definedName name="wrn.Aging._.and._.Trend._.Analysis._3_3_1_2" hidden="1">{#N/A,#N/A,FALSE,"Aging Summary";#N/A,#N/A,FALSE,"Ratio Analysis";#N/A,#N/A,FALSE,"Test 120 Day Accts";#N/A,#N/A,FALSE,"Tickmarks"}</definedName>
    <definedName name="wrn.Aging._.and._.Trend._.Analysis._3_3_2" hidden="1">{#N/A,#N/A,FALSE,"Aging Summary";#N/A,#N/A,FALSE,"Ratio Analysis";#N/A,#N/A,FALSE,"Test 120 Day Accts";#N/A,#N/A,FALSE,"Tickmarks"}</definedName>
    <definedName name="wrn.Aging._.and._.Trend._.Analysis._3_3_2_1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4_1" hidden="1">{#N/A,#N/A,FALSE,"Aging Summary";#N/A,#N/A,FALSE,"Ratio Analysis";#N/A,#N/A,FALSE,"Test 120 Day Accts";#N/A,#N/A,FALSE,"Tickmarks"}</definedName>
    <definedName name="wrn.Aging._.and._.Trend._.Analysis._3_4_1_1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1_1" hidden="1">{#N/A,#N/A,FALSE,"Aging Summary";#N/A,#N/A,FALSE,"Ratio Analysis";#N/A,#N/A,FALSE,"Test 120 Day Accts";#N/A,#N/A,FALSE,"Tickmarks"}</definedName>
    <definedName name="wrn.Aging._.and._.Trend._.Analysis._4_1_1_1" hidden="1">{#N/A,#N/A,FALSE,"Aging Summary";#N/A,#N/A,FALSE,"Ratio Analysis";#N/A,#N/A,FALSE,"Test 120 Day Accts";#N/A,#N/A,FALSE,"Tickmarks"}</definedName>
    <definedName name="wrn.Aging._.and._.Trend._.Analysis._4_1_1_1_1" hidden="1">{#N/A,#N/A,FALSE,"Aging Summary";#N/A,#N/A,FALSE,"Ratio Analysis";#N/A,#N/A,FALSE,"Test 120 Day Accts";#N/A,#N/A,FALSE,"Tickmarks"}</definedName>
    <definedName name="wrn.Aging._.and._.Trend._.Analysis._4_1_1_1_1_1" hidden="1">{#N/A,#N/A,FALSE,"Aging Summary";#N/A,#N/A,FALSE,"Ratio Analysis";#N/A,#N/A,FALSE,"Test 120 Day Accts";#N/A,#N/A,FALSE,"Tickmarks"}</definedName>
    <definedName name="wrn.Aging._.and._.Trend._.Analysis._4_1_1_2" hidden="1">{#N/A,#N/A,FALSE,"Aging Summary";#N/A,#N/A,FALSE,"Ratio Analysis";#N/A,#N/A,FALSE,"Test 120 Day Accts";#N/A,#N/A,FALSE,"Tickmarks"}</definedName>
    <definedName name="wrn.Aging._.and._.Trend._.Analysis._4_1_2" hidden="1">{#N/A,#N/A,FALSE,"Aging Summary";#N/A,#N/A,FALSE,"Ratio Analysis";#N/A,#N/A,FALSE,"Test 120 Day Accts";#N/A,#N/A,FALSE,"Tickmarks"}</definedName>
    <definedName name="wrn.Aging._.and._.Trend._.Analysis._4_1_2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2_1" hidden="1">{#N/A,#N/A,FALSE,"Aging Summary";#N/A,#N/A,FALSE,"Ratio Analysis";#N/A,#N/A,FALSE,"Test 120 Day Accts";#N/A,#N/A,FALSE,"Tickmarks"}</definedName>
    <definedName name="wrn.Aging._.and._.Trend._.Analysis._4_2_1_1" hidden="1">{#N/A,#N/A,FALSE,"Aging Summary";#N/A,#N/A,FALSE,"Ratio Analysis";#N/A,#N/A,FALSE,"Test 120 Day Accts";#N/A,#N/A,FALSE,"Tickmarks"}</definedName>
    <definedName name="wrn.Aging._.and._.Trend._.Analysis._4_2_1_1_1" hidden="1">{#N/A,#N/A,FALSE,"Aging Summary";#N/A,#N/A,FALSE,"Ratio Analysis";#N/A,#N/A,FALSE,"Test 120 Day Accts";#N/A,#N/A,FALSE,"Tickmarks"}</definedName>
    <definedName name="wrn.Aging._.and._.Trend._.Analysis._4_2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3_1" hidden="1">{#N/A,#N/A,FALSE,"Aging Summary";#N/A,#N/A,FALSE,"Ratio Analysis";#N/A,#N/A,FALSE,"Test 120 Day Accts";#N/A,#N/A,FALSE,"Tickmarks"}</definedName>
    <definedName name="wrn.Aging._.and._.Trend._.Analysis._4_3_1_1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1_1" hidden="1">{#N/A,#N/A,FALSE,"Aging Summary";#N/A,#N/A,FALSE,"Ratio Analysis";#N/A,#N/A,FALSE,"Test 120 Day Accts";#N/A,#N/A,FALSE,"Tickmarks"}</definedName>
    <definedName name="wrn.Aging._.and._.Trend._.Analysis._5_1_1_1" hidden="1">{#N/A,#N/A,FALSE,"Aging Summary";#N/A,#N/A,FALSE,"Ratio Analysis";#N/A,#N/A,FALSE,"Test 120 Day Accts";#N/A,#N/A,FALSE,"Tickmarks"}</definedName>
    <definedName name="wrn.Aging._.and._.Trend._.Analysis._5_1_1_1_1" hidden="1">{#N/A,#N/A,FALSE,"Aging Summary";#N/A,#N/A,FALSE,"Ratio Analysis";#N/A,#N/A,FALSE,"Test 120 Day Accts";#N/A,#N/A,FALSE,"Tickmarks"}</definedName>
    <definedName name="wrn.Aging._.and._.Trend._.Analysis._5_1_2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2_1" hidden="1">{#N/A,#N/A,FALSE,"Aging Summary";#N/A,#N/A,FALSE,"Ratio Analysis";#N/A,#N/A,FALSE,"Test 120 Day Accts";#N/A,#N/A,FALSE,"Tickmarks"}</definedName>
    <definedName name="wrn.MR." hidden="1">{"MRIS",#N/A,FALSE,"MR-IS 1(3)";"MRBS2",#N/A,FALSE,"MR-BS 2(3)";"MRBS3",#N/A,FALSE,"MR-BS 3(3)"}</definedName>
    <definedName name="wrn.MR._1" hidden="1">{"MRIS",#N/A,FALSE,"MR-IS 1(3)";"MRBS2",#N/A,FALSE,"MR-BS 2(3)";"MRBS3",#N/A,FALSE,"MR-BS 3(3)"}</definedName>
    <definedName name="wrn.MR._1_1" hidden="1">{"MRIS",#N/A,FALSE,"MR-IS 1(3)";"MRBS2",#N/A,FALSE,"MR-BS 2(3)";"MRBS3",#N/A,FALSE,"MR-BS 3(3)"}</definedName>
    <definedName name="wrn.MR._1_1_1" hidden="1">{"MRIS",#N/A,FALSE,"MR-IS 1(3)";"MRBS2",#N/A,FALSE,"MR-BS 2(3)";"MRBS3",#N/A,FALSE,"MR-BS 3(3)"}</definedName>
    <definedName name="wrn.MR._1_1_1_1" hidden="1">{"MRIS",#N/A,FALSE,"MR-IS 1(3)";"MRBS2",#N/A,FALSE,"MR-BS 2(3)";"MRBS3",#N/A,FALSE,"MR-BS 3(3)"}</definedName>
    <definedName name="wrn.MR._1_1_1_1_1" hidden="1">{"MRIS",#N/A,FALSE,"MR-IS 1(3)";"MRBS2",#N/A,FALSE,"MR-BS 2(3)";"MRBS3",#N/A,FALSE,"MR-BS 3(3)"}</definedName>
    <definedName name="wrn.MR._1_1_1_1_1_1" hidden="1">{"MRIS",#N/A,FALSE,"MR-IS 1(3)";"MRBS2",#N/A,FALSE,"MR-BS 2(3)";"MRBS3",#N/A,FALSE,"MR-BS 3(3)"}</definedName>
    <definedName name="wrn.MR._1_1_1_1_1_1_1" hidden="1">{"MRIS",#N/A,FALSE,"MR-IS 1(3)";"MRBS2",#N/A,FALSE,"MR-BS 2(3)";"MRBS3",#N/A,FALSE,"MR-BS 3(3)"}</definedName>
    <definedName name="wrn.MR._1_1_1_1_1_1_1_1" hidden="1">{"MRIS",#N/A,FALSE,"MR-IS 1(3)";"MRBS2",#N/A,FALSE,"MR-BS 2(3)";"MRBS3",#N/A,FALSE,"MR-BS 3(3)"}</definedName>
    <definedName name="wrn.MR._1_1_1_1_1_1_1_1_1" hidden="1">{"MRIS",#N/A,FALSE,"MR-IS 1(3)";"MRBS2",#N/A,FALSE,"MR-BS 2(3)";"MRBS3",#N/A,FALSE,"MR-BS 3(3)"}</definedName>
    <definedName name="wrn.MR._1_1_1_1_1_1_1_1_1_1" hidden="1">{"MRIS",#N/A,FALSE,"MR-IS 1(3)";"MRBS2",#N/A,FALSE,"MR-BS 2(3)";"MRBS3",#N/A,FALSE,"MR-BS 3(3)"}</definedName>
    <definedName name="wrn.MR._1_1_1_1_1_1_1_1_1_1_1" hidden="1">{"MRIS",#N/A,FALSE,"MR-IS 1(3)";"MRBS2",#N/A,FALSE,"MR-BS 2(3)";"MRBS3",#N/A,FALSE,"MR-BS 3(3)"}</definedName>
    <definedName name="wrn.MR._1_1_1_1_1_1_1_1_1_1_1_1" hidden="1">{"MRIS",#N/A,FALSE,"MR-IS 1(3)";"MRBS2",#N/A,FALSE,"MR-BS 2(3)";"MRBS3",#N/A,FALSE,"MR-BS 3(3)"}</definedName>
    <definedName name="wrn.MR._1_1_1_1_1_1_1_1_1_2" hidden="1">{"MRIS",#N/A,FALSE,"MR-IS 1(3)";"MRBS2",#N/A,FALSE,"MR-BS 2(3)";"MRBS3",#N/A,FALSE,"MR-BS 3(3)"}</definedName>
    <definedName name="wrn.MR._1_1_1_1_1_1_1_1_2" hidden="1">{"MRIS",#N/A,FALSE,"MR-IS 1(3)";"MRBS2",#N/A,FALSE,"MR-BS 2(3)";"MRBS3",#N/A,FALSE,"MR-BS 3(3)"}</definedName>
    <definedName name="wrn.MR._1_1_1_1_1_1_1_1_2_1" hidden="1">{"MRIS",#N/A,FALSE,"MR-IS 1(3)";"MRBS2",#N/A,FALSE,"MR-BS 2(3)";"MRBS3",#N/A,FALSE,"MR-BS 3(3)"}</definedName>
    <definedName name="wrn.MR._1_1_1_1_1_1_1_2" hidden="1">{"MRIS",#N/A,FALSE,"MR-IS 1(3)";"MRBS2",#N/A,FALSE,"MR-BS 2(3)";"MRBS3",#N/A,FALSE,"MR-BS 3(3)"}</definedName>
    <definedName name="wrn.MR._1_1_1_1_1_1_1_2_1" hidden="1">{"MRIS",#N/A,FALSE,"MR-IS 1(3)";"MRBS2",#N/A,FALSE,"MR-BS 2(3)";"MRBS3",#N/A,FALSE,"MR-BS 3(3)"}</definedName>
    <definedName name="wrn.MR._1_1_1_1_1_1_1_2_1_1" hidden="1">{"MRIS",#N/A,FALSE,"MR-IS 1(3)";"MRBS2",#N/A,FALSE,"MR-BS 2(3)";"MRBS3",#N/A,FALSE,"MR-BS 3(3)"}</definedName>
    <definedName name="wrn.MR._1_1_1_1_1_1_1_2_1_1_1" hidden="1">{"MRIS",#N/A,FALSE,"MR-IS 1(3)";"MRBS2",#N/A,FALSE,"MR-BS 2(3)";"MRBS3",#N/A,FALSE,"MR-BS 3(3)"}</definedName>
    <definedName name="wrn.MR._1_1_1_1_1_1_1_2_2" hidden="1">{"MRIS",#N/A,FALSE,"MR-IS 1(3)";"MRBS2",#N/A,FALSE,"MR-BS 2(3)";"MRBS3",#N/A,FALSE,"MR-BS 3(3)"}</definedName>
    <definedName name="wrn.MR._1_1_1_1_1_1_1_3" hidden="1">{"MRIS",#N/A,FALSE,"MR-IS 1(3)";"MRBS2",#N/A,FALSE,"MR-BS 2(3)";"MRBS3",#N/A,FALSE,"MR-BS 3(3)"}</definedName>
    <definedName name="wrn.MR._1_1_1_1_1_1_1_3_1" hidden="1">{"MRIS",#N/A,FALSE,"MR-IS 1(3)";"MRBS2",#N/A,FALSE,"MR-BS 2(3)";"MRBS3",#N/A,FALSE,"MR-BS 3(3)"}</definedName>
    <definedName name="wrn.MR._1_1_1_1_1_1_1_3_1_1" hidden="1">{"MRIS",#N/A,FALSE,"MR-IS 1(3)";"MRBS2",#N/A,FALSE,"MR-BS 2(3)";"MRBS3",#N/A,FALSE,"MR-BS 3(3)"}</definedName>
    <definedName name="wrn.MR._1_1_1_1_1_1_1_4" hidden="1">{"MRIS",#N/A,FALSE,"MR-IS 1(3)";"MRBS2",#N/A,FALSE,"MR-BS 2(3)";"MRBS3",#N/A,FALSE,"MR-BS 3(3)"}</definedName>
    <definedName name="wrn.MR._1_1_1_1_1_1_2" hidden="1">{"MRIS",#N/A,FALSE,"MR-IS 1(3)";"MRBS2",#N/A,FALSE,"MR-BS 2(3)";"MRBS3",#N/A,FALSE,"MR-BS 3(3)"}</definedName>
    <definedName name="wrn.MR._1_1_1_1_1_1_2_1" hidden="1">{"MRIS",#N/A,FALSE,"MR-IS 1(3)";"MRBS2",#N/A,FALSE,"MR-BS 2(3)";"MRBS3",#N/A,FALSE,"MR-BS 3(3)"}</definedName>
    <definedName name="wrn.MR._1_1_1_1_1_1_2_1_1" hidden="1">{"MRIS",#N/A,FALSE,"MR-IS 1(3)";"MRBS2",#N/A,FALSE,"MR-BS 2(3)";"MRBS3",#N/A,FALSE,"MR-BS 3(3)"}</definedName>
    <definedName name="wrn.MR._1_1_1_1_1_1_2_1_1_1" hidden="1">{"MRIS",#N/A,FALSE,"MR-IS 1(3)";"MRBS2",#N/A,FALSE,"MR-BS 2(3)";"MRBS3",#N/A,FALSE,"MR-BS 3(3)"}</definedName>
    <definedName name="wrn.MR._1_1_1_1_1_1_2_1_1_1_1" hidden="1">{"MRIS",#N/A,FALSE,"MR-IS 1(3)";"MRBS2",#N/A,FALSE,"MR-BS 2(3)";"MRBS3",#N/A,FALSE,"MR-BS 3(3)"}</definedName>
    <definedName name="wrn.MR._1_1_1_1_1_1_2_1_2" hidden="1">{"MRIS",#N/A,FALSE,"MR-IS 1(3)";"MRBS2",#N/A,FALSE,"MR-BS 2(3)";"MRBS3",#N/A,FALSE,"MR-BS 3(3)"}</definedName>
    <definedName name="wrn.MR._1_1_1_1_1_1_2_2" hidden="1">{"MRIS",#N/A,FALSE,"MR-IS 1(3)";"MRBS2",#N/A,FALSE,"MR-BS 2(3)";"MRBS3",#N/A,FALSE,"MR-BS 3(3)"}</definedName>
    <definedName name="wrn.MR._1_1_1_1_1_1_2_2_1" hidden="1">{"MRIS",#N/A,FALSE,"MR-IS 1(3)";"MRBS2",#N/A,FALSE,"MR-BS 2(3)";"MRBS3",#N/A,FALSE,"MR-BS 3(3)"}</definedName>
    <definedName name="wrn.MR._1_1_1_1_1_1_3" hidden="1">{"MRIS",#N/A,FALSE,"MR-IS 1(3)";"MRBS2",#N/A,FALSE,"MR-BS 2(3)";"MRBS3",#N/A,FALSE,"MR-BS 3(3)"}</definedName>
    <definedName name="wrn.MR._1_1_1_1_1_1_3_1" hidden="1">{"MRIS",#N/A,FALSE,"MR-IS 1(3)";"MRBS2",#N/A,FALSE,"MR-BS 2(3)";"MRBS3",#N/A,FALSE,"MR-BS 3(3)"}</definedName>
    <definedName name="wrn.MR._1_1_1_1_1_1_3_1_1" hidden="1">{"MRIS",#N/A,FALSE,"MR-IS 1(3)";"MRBS2",#N/A,FALSE,"MR-BS 2(3)";"MRBS3",#N/A,FALSE,"MR-BS 3(3)"}</definedName>
    <definedName name="wrn.MR._1_1_1_1_1_1_4" hidden="1">{"MRIS",#N/A,FALSE,"MR-IS 1(3)";"MRBS2",#N/A,FALSE,"MR-BS 2(3)";"MRBS3",#N/A,FALSE,"MR-BS 3(3)"}</definedName>
    <definedName name="wrn.MR._1_1_1_1_1_2" hidden="1">{"MRIS",#N/A,FALSE,"MR-IS 1(3)";"MRBS2",#N/A,FALSE,"MR-BS 2(3)";"MRBS3",#N/A,FALSE,"MR-BS 3(3)"}</definedName>
    <definedName name="wrn.MR._1_1_1_1_1_2_1" hidden="1">{"MRIS",#N/A,FALSE,"MR-IS 1(3)";"MRBS2",#N/A,FALSE,"MR-BS 2(3)";"MRBS3",#N/A,FALSE,"MR-BS 3(3)"}</definedName>
    <definedName name="wrn.MR._1_1_1_1_1_2_1_1" hidden="1">{"MRIS",#N/A,FALSE,"MR-IS 1(3)";"MRBS2",#N/A,FALSE,"MR-BS 2(3)";"MRBS3",#N/A,FALSE,"MR-BS 3(3)"}</definedName>
    <definedName name="wrn.MR._1_1_1_1_1_2_1_1_1" hidden="1">{"MRIS",#N/A,FALSE,"MR-IS 1(3)";"MRBS2",#N/A,FALSE,"MR-BS 2(3)";"MRBS3",#N/A,FALSE,"MR-BS 3(3)"}</definedName>
    <definedName name="wrn.MR._1_1_1_1_1_2_1_1_1_1" hidden="1">{"MRIS",#N/A,FALSE,"MR-IS 1(3)";"MRBS2",#N/A,FALSE,"MR-BS 2(3)";"MRBS3",#N/A,FALSE,"MR-BS 3(3)"}</definedName>
    <definedName name="wrn.MR._1_1_1_1_1_2_1_1_1_1_1" hidden="1">{"MRIS",#N/A,FALSE,"MR-IS 1(3)";"MRBS2",#N/A,FALSE,"MR-BS 2(3)";"MRBS3",#N/A,FALSE,"MR-BS 3(3)"}</definedName>
    <definedName name="wrn.MR._1_1_1_1_1_2_1_1_2" hidden="1">{"MRIS",#N/A,FALSE,"MR-IS 1(3)";"MRBS2",#N/A,FALSE,"MR-BS 2(3)";"MRBS3",#N/A,FALSE,"MR-BS 3(3)"}</definedName>
    <definedName name="wrn.MR._1_1_1_1_1_2_1_2" hidden="1">{"MRIS",#N/A,FALSE,"MR-IS 1(3)";"MRBS2",#N/A,FALSE,"MR-BS 2(3)";"MRBS3",#N/A,FALSE,"MR-BS 3(3)"}</definedName>
    <definedName name="wrn.MR._1_1_1_1_1_2_1_2_1" hidden="1">{"MRIS",#N/A,FALSE,"MR-IS 1(3)";"MRBS2",#N/A,FALSE,"MR-BS 2(3)";"MRBS3",#N/A,FALSE,"MR-BS 3(3)"}</definedName>
    <definedName name="wrn.MR._1_1_1_1_1_2_2" hidden="1">{"MRIS",#N/A,FALSE,"MR-IS 1(3)";"MRBS2",#N/A,FALSE,"MR-BS 2(3)";"MRBS3",#N/A,FALSE,"MR-BS 3(3)"}</definedName>
    <definedName name="wrn.MR._1_1_1_1_1_2_2_1" hidden="1">{"MRIS",#N/A,FALSE,"MR-IS 1(3)";"MRBS2",#N/A,FALSE,"MR-BS 2(3)";"MRBS3",#N/A,FALSE,"MR-BS 3(3)"}</definedName>
    <definedName name="wrn.MR._1_1_1_1_1_2_2_1_1" hidden="1">{"MRIS",#N/A,FALSE,"MR-IS 1(3)";"MRBS2",#N/A,FALSE,"MR-BS 2(3)";"MRBS3",#N/A,FALSE,"MR-BS 3(3)"}</definedName>
    <definedName name="wrn.MR._1_1_1_1_1_2_2_1_1_1" hidden="1">{"MRIS",#N/A,FALSE,"MR-IS 1(3)";"MRBS2",#N/A,FALSE,"MR-BS 2(3)";"MRBS3",#N/A,FALSE,"MR-BS 3(3)"}</definedName>
    <definedName name="wrn.MR._1_1_1_1_1_2_2_2" hidden="1">{"MRIS",#N/A,FALSE,"MR-IS 1(3)";"MRBS2",#N/A,FALSE,"MR-BS 2(3)";"MRBS3",#N/A,FALSE,"MR-BS 3(3)"}</definedName>
    <definedName name="wrn.MR._1_1_1_1_1_2_3" hidden="1">{"MRIS",#N/A,FALSE,"MR-IS 1(3)";"MRBS2",#N/A,FALSE,"MR-BS 2(3)";"MRBS3",#N/A,FALSE,"MR-BS 3(3)"}</definedName>
    <definedName name="wrn.MR._1_1_1_1_1_2_3_1" hidden="1">{"MRIS",#N/A,FALSE,"MR-IS 1(3)";"MRBS2",#N/A,FALSE,"MR-BS 2(3)";"MRBS3",#N/A,FALSE,"MR-BS 3(3)"}</definedName>
    <definedName name="wrn.MR._1_1_1_1_1_2_3_1_1" hidden="1">{"MRIS",#N/A,FALSE,"MR-IS 1(3)";"MRBS2",#N/A,FALSE,"MR-BS 2(3)";"MRBS3",#N/A,FALSE,"MR-BS 3(3)"}</definedName>
    <definedName name="wrn.MR._1_1_1_1_1_2_4" hidden="1">{"MRIS",#N/A,FALSE,"MR-IS 1(3)";"MRBS2",#N/A,FALSE,"MR-BS 2(3)";"MRBS3",#N/A,FALSE,"MR-BS 3(3)"}</definedName>
    <definedName name="wrn.MR._1_1_1_1_1_3" hidden="1">{"MRIS",#N/A,FALSE,"MR-IS 1(3)";"MRBS2",#N/A,FALSE,"MR-BS 2(3)";"MRBS3",#N/A,FALSE,"MR-BS 3(3)"}</definedName>
    <definedName name="wrn.MR._1_1_1_1_1_3_1" hidden="1">{"MRIS",#N/A,FALSE,"MR-IS 1(3)";"MRBS2",#N/A,FALSE,"MR-BS 2(3)";"MRBS3",#N/A,FALSE,"MR-BS 3(3)"}</definedName>
    <definedName name="wrn.MR._1_1_1_1_1_3_1_1" hidden="1">{"MRIS",#N/A,FALSE,"MR-IS 1(3)";"MRBS2",#N/A,FALSE,"MR-BS 2(3)";"MRBS3",#N/A,FALSE,"MR-BS 3(3)"}</definedName>
    <definedName name="wrn.MR._1_1_1_1_1_3_1_1_1" hidden="1">{"MRIS",#N/A,FALSE,"MR-IS 1(3)";"MRBS2",#N/A,FALSE,"MR-BS 2(3)";"MRBS3",#N/A,FALSE,"MR-BS 3(3)"}</definedName>
    <definedName name="wrn.MR._1_1_1_1_1_3_1_1_1_1" hidden="1">{"MRIS",#N/A,FALSE,"MR-IS 1(3)";"MRBS2",#N/A,FALSE,"MR-BS 2(3)";"MRBS3",#N/A,FALSE,"MR-BS 3(3)"}</definedName>
    <definedName name="wrn.MR._1_1_1_1_1_3_1_2" hidden="1">{"MRIS",#N/A,FALSE,"MR-IS 1(3)";"MRBS2",#N/A,FALSE,"MR-BS 2(3)";"MRBS3",#N/A,FALSE,"MR-BS 3(3)"}</definedName>
    <definedName name="wrn.MR._1_1_1_1_1_3_2" hidden="1">{"MRIS",#N/A,FALSE,"MR-IS 1(3)";"MRBS2",#N/A,FALSE,"MR-BS 2(3)";"MRBS3",#N/A,FALSE,"MR-BS 3(3)"}</definedName>
    <definedName name="wrn.MR._1_1_1_1_1_3_2_1" hidden="1">{"MRIS",#N/A,FALSE,"MR-IS 1(3)";"MRBS2",#N/A,FALSE,"MR-BS 2(3)";"MRBS3",#N/A,FALSE,"MR-BS 3(3)"}</definedName>
    <definedName name="wrn.MR._1_1_1_1_1_4" hidden="1">{"MRIS",#N/A,FALSE,"MR-IS 1(3)";"MRBS2",#N/A,FALSE,"MR-BS 2(3)";"MRBS3",#N/A,FALSE,"MR-BS 3(3)"}</definedName>
    <definedName name="wrn.MR._1_1_1_1_1_4_1" hidden="1">{"MRIS",#N/A,FALSE,"MR-IS 1(3)";"MRBS2",#N/A,FALSE,"MR-BS 2(3)";"MRBS3",#N/A,FALSE,"MR-BS 3(3)"}</definedName>
    <definedName name="wrn.MR._1_1_1_1_1_4_1_1" hidden="1">{"MRIS",#N/A,FALSE,"MR-IS 1(3)";"MRBS2",#N/A,FALSE,"MR-BS 2(3)";"MRBS3",#N/A,FALSE,"MR-BS 3(3)"}</definedName>
    <definedName name="wrn.MR._1_1_1_1_1_5" hidden="1">{"MRIS",#N/A,FALSE,"MR-IS 1(3)";"MRBS2",#N/A,FALSE,"MR-BS 2(3)";"MRBS3",#N/A,FALSE,"MR-BS 3(3)"}</definedName>
    <definedName name="wrn.MR._1_1_1_1_2" hidden="1">{"MRIS",#N/A,FALSE,"MR-IS 1(3)";"MRBS2",#N/A,FALSE,"MR-BS 2(3)";"MRBS3",#N/A,FALSE,"MR-BS 3(3)"}</definedName>
    <definedName name="wrn.MR._1_1_1_1_2_1" hidden="1">{"MRIS",#N/A,FALSE,"MR-IS 1(3)";"MRBS2",#N/A,FALSE,"MR-BS 2(3)";"MRBS3",#N/A,FALSE,"MR-BS 3(3)"}</definedName>
    <definedName name="wrn.MR._1_1_1_1_2_1_1" hidden="1">{"MRIS",#N/A,FALSE,"MR-IS 1(3)";"MRBS2",#N/A,FALSE,"MR-BS 2(3)";"MRBS3",#N/A,FALSE,"MR-BS 3(3)"}</definedName>
    <definedName name="wrn.MR._1_1_1_1_2_1_1_1" hidden="1">{"MRIS",#N/A,FALSE,"MR-IS 1(3)";"MRBS2",#N/A,FALSE,"MR-BS 2(3)";"MRBS3",#N/A,FALSE,"MR-BS 3(3)"}</definedName>
    <definedName name="wrn.MR._1_1_1_1_2_1_1_1_1" hidden="1">{"MRIS",#N/A,FALSE,"MR-IS 1(3)";"MRBS2",#N/A,FALSE,"MR-BS 2(3)";"MRBS3",#N/A,FALSE,"MR-BS 3(3)"}</definedName>
    <definedName name="wrn.MR._1_1_1_1_2_1_1_1_1_1" hidden="1">{"MRIS",#N/A,FALSE,"MR-IS 1(3)";"MRBS2",#N/A,FALSE,"MR-BS 2(3)";"MRBS3",#N/A,FALSE,"MR-BS 3(3)"}</definedName>
    <definedName name="wrn.MR._1_1_1_1_2_1_1_2" hidden="1">{"MRIS",#N/A,FALSE,"MR-IS 1(3)";"MRBS2",#N/A,FALSE,"MR-BS 2(3)";"MRBS3",#N/A,FALSE,"MR-BS 3(3)"}</definedName>
    <definedName name="wrn.MR._1_1_1_1_2_1_2" hidden="1">{"MRIS",#N/A,FALSE,"MR-IS 1(3)";"MRBS2",#N/A,FALSE,"MR-BS 2(3)";"MRBS3",#N/A,FALSE,"MR-BS 3(3)"}</definedName>
    <definedName name="wrn.MR._1_1_1_1_2_1_2_1" hidden="1">{"MRIS",#N/A,FALSE,"MR-IS 1(3)";"MRBS2",#N/A,FALSE,"MR-BS 2(3)";"MRBS3",#N/A,FALSE,"MR-BS 3(3)"}</definedName>
    <definedName name="wrn.MR._1_1_1_1_2_2" hidden="1">{"MRIS",#N/A,FALSE,"MR-IS 1(3)";"MRBS2",#N/A,FALSE,"MR-BS 2(3)";"MRBS3",#N/A,FALSE,"MR-BS 3(3)"}</definedName>
    <definedName name="wrn.MR._1_1_1_1_2_2_1" hidden="1">{"MRIS",#N/A,FALSE,"MR-IS 1(3)";"MRBS2",#N/A,FALSE,"MR-BS 2(3)";"MRBS3",#N/A,FALSE,"MR-BS 3(3)"}</definedName>
    <definedName name="wrn.MR._1_1_1_1_2_2_1_1" hidden="1">{"MRIS",#N/A,FALSE,"MR-IS 1(3)";"MRBS2",#N/A,FALSE,"MR-BS 2(3)";"MRBS3",#N/A,FALSE,"MR-BS 3(3)"}</definedName>
    <definedName name="wrn.MR._1_1_1_1_2_2_1_1_1" hidden="1">{"MRIS",#N/A,FALSE,"MR-IS 1(3)";"MRBS2",#N/A,FALSE,"MR-BS 2(3)";"MRBS3",#N/A,FALSE,"MR-BS 3(3)"}</definedName>
    <definedName name="wrn.MR._1_1_1_1_2_2_2" hidden="1">{"MRIS",#N/A,FALSE,"MR-IS 1(3)";"MRBS2",#N/A,FALSE,"MR-BS 2(3)";"MRBS3",#N/A,FALSE,"MR-BS 3(3)"}</definedName>
    <definedName name="wrn.MR._1_1_1_1_2_3" hidden="1">{"MRIS",#N/A,FALSE,"MR-IS 1(3)";"MRBS2",#N/A,FALSE,"MR-BS 2(3)";"MRBS3",#N/A,FALSE,"MR-BS 3(3)"}</definedName>
    <definedName name="wrn.MR._1_1_1_1_2_3_1" hidden="1">{"MRIS",#N/A,FALSE,"MR-IS 1(3)";"MRBS2",#N/A,FALSE,"MR-BS 2(3)";"MRBS3",#N/A,FALSE,"MR-BS 3(3)"}</definedName>
    <definedName name="wrn.MR._1_1_1_1_2_3_1_1" hidden="1">{"MRIS",#N/A,FALSE,"MR-IS 1(3)";"MRBS2",#N/A,FALSE,"MR-BS 2(3)";"MRBS3",#N/A,FALSE,"MR-BS 3(3)"}</definedName>
    <definedName name="wrn.MR._1_1_1_1_2_4" hidden="1">{"MRIS",#N/A,FALSE,"MR-IS 1(3)";"MRBS2",#N/A,FALSE,"MR-BS 2(3)";"MRBS3",#N/A,FALSE,"MR-BS 3(3)"}</definedName>
    <definedName name="wrn.MR._1_1_1_1_3" hidden="1">{"MRIS",#N/A,FALSE,"MR-IS 1(3)";"MRBS2",#N/A,FALSE,"MR-BS 2(3)";"MRBS3",#N/A,FALSE,"MR-BS 3(3)"}</definedName>
    <definedName name="wrn.MR._1_1_1_1_3_1" hidden="1">{"MRIS",#N/A,FALSE,"MR-IS 1(3)";"MRBS2",#N/A,FALSE,"MR-BS 2(3)";"MRBS3",#N/A,FALSE,"MR-BS 3(3)"}</definedName>
    <definedName name="wrn.MR._1_1_1_1_3_1_1" hidden="1">{"MRIS",#N/A,FALSE,"MR-IS 1(3)";"MRBS2",#N/A,FALSE,"MR-BS 2(3)";"MRBS3",#N/A,FALSE,"MR-BS 3(3)"}</definedName>
    <definedName name="wrn.MR._1_1_1_1_3_1_1_1" hidden="1">{"MRIS",#N/A,FALSE,"MR-IS 1(3)";"MRBS2",#N/A,FALSE,"MR-BS 2(3)";"MRBS3",#N/A,FALSE,"MR-BS 3(3)"}</definedName>
    <definedName name="wrn.MR._1_1_1_1_3_1_1_1_1" hidden="1">{"MRIS",#N/A,FALSE,"MR-IS 1(3)";"MRBS2",#N/A,FALSE,"MR-BS 2(3)";"MRBS3",#N/A,FALSE,"MR-BS 3(3)"}</definedName>
    <definedName name="wrn.MR._1_1_1_1_3_1_2" hidden="1">{"MRIS",#N/A,FALSE,"MR-IS 1(3)";"MRBS2",#N/A,FALSE,"MR-BS 2(3)";"MRBS3",#N/A,FALSE,"MR-BS 3(3)"}</definedName>
    <definedName name="wrn.MR._1_1_1_1_3_2" hidden="1">{"MRIS",#N/A,FALSE,"MR-IS 1(3)";"MRBS2",#N/A,FALSE,"MR-BS 2(3)";"MRBS3",#N/A,FALSE,"MR-BS 3(3)"}</definedName>
    <definedName name="wrn.MR._1_1_1_1_3_2_1" hidden="1">{"MRIS",#N/A,FALSE,"MR-IS 1(3)";"MRBS2",#N/A,FALSE,"MR-BS 2(3)";"MRBS3",#N/A,FALSE,"MR-BS 3(3)"}</definedName>
    <definedName name="wrn.MR._1_1_1_1_4" hidden="1">{"MRIS",#N/A,FALSE,"MR-IS 1(3)";"MRBS2",#N/A,FALSE,"MR-BS 2(3)";"MRBS3",#N/A,FALSE,"MR-BS 3(3)"}</definedName>
    <definedName name="wrn.MR._1_1_1_1_4_1" hidden="1">{"MRIS",#N/A,FALSE,"MR-IS 1(3)";"MRBS2",#N/A,FALSE,"MR-BS 2(3)";"MRBS3",#N/A,FALSE,"MR-BS 3(3)"}</definedName>
    <definedName name="wrn.MR._1_1_1_1_4_1_1" hidden="1">{"MRIS",#N/A,FALSE,"MR-IS 1(3)";"MRBS2",#N/A,FALSE,"MR-BS 2(3)";"MRBS3",#N/A,FALSE,"MR-BS 3(3)"}</definedName>
    <definedName name="wrn.MR._1_1_1_1_5" hidden="1">{"MRIS",#N/A,FALSE,"MR-IS 1(3)";"MRBS2",#N/A,FALSE,"MR-BS 2(3)";"MRBS3",#N/A,FALSE,"MR-BS 3(3)"}</definedName>
    <definedName name="wrn.MR._1_1_1_2" hidden="1">{"MRIS",#N/A,FALSE,"MR-IS 1(3)";"MRBS2",#N/A,FALSE,"MR-BS 2(3)";"MRBS3",#N/A,FALSE,"MR-BS 3(3)"}</definedName>
    <definedName name="wrn.MR._1_1_1_2_1" hidden="1">{"MRIS",#N/A,FALSE,"MR-IS 1(3)";"MRBS2",#N/A,FALSE,"MR-BS 2(3)";"MRBS3",#N/A,FALSE,"MR-BS 3(3)"}</definedName>
    <definedName name="wrn.MR._1_1_1_2_1_1" hidden="1">{"MRIS",#N/A,FALSE,"MR-IS 1(3)";"MRBS2",#N/A,FALSE,"MR-BS 2(3)";"MRBS3",#N/A,FALSE,"MR-BS 3(3)"}</definedName>
    <definedName name="wrn.MR._1_1_1_2_1_1_1" hidden="1">{"MRIS",#N/A,FALSE,"MR-IS 1(3)";"MRBS2",#N/A,FALSE,"MR-BS 2(3)";"MRBS3",#N/A,FALSE,"MR-BS 3(3)"}</definedName>
    <definedName name="wrn.MR._1_1_1_2_1_1_1_1" hidden="1">{"MRIS",#N/A,FALSE,"MR-IS 1(3)";"MRBS2",#N/A,FALSE,"MR-BS 2(3)";"MRBS3",#N/A,FALSE,"MR-BS 3(3)"}</definedName>
    <definedName name="wrn.MR._1_1_1_2_1_1_1_1_1" hidden="1">{"MRIS",#N/A,FALSE,"MR-IS 1(3)";"MRBS2",#N/A,FALSE,"MR-BS 2(3)";"MRBS3",#N/A,FALSE,"MR-BS 3(3)"}</definedName>
    <definedName name="wrn.MR._1_1_1_2_1_1_1_1_1_1" hidden="1">{"MRIS",#N/A,FALSE,"MR-IS 1(3)";"MRBS2",#N/A,FALSE,"MR-BS 2(3)";"MRBS3",#N/A,FALSE,"MR-BS 3(3)"}</definedName>
    <definedName name="wrn.MR._1_1_1_2_1_1_1_2" hidden="1">{"MRIS",#N/A,FALSE,"MR-IS 1(3)";"MRBS2",#N/A,FALSE,"MR-BS 2(3)";"MRBS3",#N/A,FALSE,"MR-BS 3(3)"}</definedName>
    <definedName name="wrn.MR._1_1_1_2_1_1_2" hidden="1">{"MRIS",#N/A,FALSE,"MR-IS 1(3)";"MRBS2",#N/A,FALSE,"MR-BS 2(3)";"MRBS3",#N/A,FALSE,"MR-BS 3(3)"}</definedName>
    <definedName name="wrn.MR._1_1_1_2_1_1_2_1" hidden="1">{"MRIS",#N/A,FALSE,"MR-IS 1(3)";"MRBS2",#N/A,FALSE,"MR-BS 2(3)";"MRBS3",#N/A,FALSE,"MR-BS 3(3)"}</definedName>
    <definedName name="wrn.MR._1_1_1_2_1_2" hidden="1">{"MRIS",#N/A,FALSE,"MR-IS 1(3)";"MRBS2",#N/A,FALSE,"MR-BS 2(3)";"MRBS3",#N/A,FALSE,"MR-BS 3(3)"}</definedName>
    <definedName name="wrn.MR._1_1_1_2_1_2_1" hidden="1">{"MRIS",#N/A,FALSE,"MR-IS 1(3)";"MRBS2",#N/A,FALSE,"MR-BS 2(3)";"MRBS3",#N/A,FALSE,"MR-BS 3(3)"}</definedName>
    <definedName name="wrn.MR._1_1_1_2_1_2_1_1" hidden="1">{"MRIS",#N/A,FALSE,"MR-IS 1(3)";"MRBS2",#N/A,FALSE,"MR-BS 2(3)";"MRBS3",#N/A,FALSE,"MR-BS 3(3)"}</definedName>
    <definedName name="wrn.MR._1_1_1_2_1_2_1_1_1" hidden="1">{"MRIS",#N/A,FALSE,"MR-IS 1(3)";"MRBS2",#N/A,FALSE,"MR-BS 2(3)";"MRBS3",#N/A,FALSE,"MR-BS 3(3)"}</definedName>
    <definedName name="wrn.MR._1_1_1_2_1_2_2" hidden="1">{"MRIS",#N/A,FALSE,"MR-IS 1(3)";"MRBS2",#N/A,FALSE,"MR-BS 2(3)";"MRBS3",#N/A,FALSE,"MR-BS 3(3)"}</definedName>
    <definedName name="wrn.MR._1_1_1_2_1_3" hidden="1">{"MRIS",#N/A,FALSE,"MR-IS 1(3)";"MRBS2",#N/A,FALSE,"MR-BS 2(3)";"MRBS3",#N/A,FALSE,"MR-BS 3(3)"}</definedName>
    <definedName name="wrn.MR._1_1_1_2_1_3_1" hidden="1">{"MRIS",#N/A,FALSE,"MR-IS 1(3)";"MRBS2",#N/A,FALSE,"MR-BS 2(3)";"MRBS3",#N/A,FALSE,"MR-BS 3(3)"}</definedName>
    <definedName name="wrn.MR._1_1_1_2_1_3_1_1" hidden="1">{"MRIS",#N/A,FALSE,"MR-IS 1(3)";"MRBS2",#N/A,FALSE,"MR-BS 2(3)";"MRBS3",#N/A,FALSE,"MR-BS 3(3)"}</definedName>
    <definedName name="wrn.MR._1_1_1_2_1_4" hidden="1">{"MRIS",#N/A,FALSE,"MR-IS 1(3)";"MRBS2",#N/A,FALSE,"MR-BS 2(3)";"MRBS3",#N/A,FALSE,"MR-BS 3(3)"}</definedName>
    <definedName name="wrn.MR._1_1_1_2_2" hidden="1">{"MRIS",#N/A,FALSE,"MR-IS 1(3)";"MRBS2",#N/A,FALSE,"MR-BS 2(3)";"MRBS3",#N/A,FALSE,"MR-BS 3(3)"}</definedName>
    <definedName name="wrn.MR._1_1_1_2_2_1" hidden="1">{"MRIS",#N/A,FALSE,"MR-IS 1(3)";"MRBS2",#N/A,FALSE,"MR-BS 2(3)";"MRBS3",#N/A,FALSE,"MR-BS 3(3)"}</definedName>
    <definedName name="wrn.MR._1_1_1_2_2_1_1" hidden="1">{"MRIS",#N/A,FALSE,"MR-IS 1(3)";"MRBS2",#N/A,FALSE,"MR-BS 2(3)";"MRBS3",#N/A,FALSE,"MR-BS 3(3)"}</definedName>
    <definedName name="wrn.MR._1_1_1_2_2_1_1_1" hidden="1">{"MRIS",#N/A,FALSE,"MR-IS 1(3)";"MRBS2",#N/A,FALSE,"MR-BS 2(3)";"MRBS3",#N/A,FALSE,"MR-BS 3(3)"}</definedName>
    <definedName name="wrn.MR._1_1_1_2_2_1_1_1_1" hidden="1">{"MRIS",#N/A,FALSE,"MR-IS 1(3)";"MRBS2",#N/A,FALSE,"MR-BS 2(3)";"MRBS3",#N/A,FALSE,"MR-BS 3(3)"}</definedName>
    <definedName name="wrn.MR._1_1_1_2_2_1_2" hidden="1">{"MRIS",#N/A,FALSE,"MR-IS 1(3)";"MRBS2",#N/A,FALSE,"MR-BS 2(3)";"MRBS3",#N/A,FALSE,"MR-BS 3(3)"}</definedName>
    <definedName name="wrn.MR._1_1_1_2_2_2" hidden="1">{"MRIS",#N/A,FALSE,"MR-IS 1(3)";"MRBS2",#N/A,FALSE,"MR-BS 2(3)";"MRBS3",#N/A,FALSE,"MR-BS 3(3)"}</definedName>
    <definedName name="wrn.MR._1_1_1_2_2_2_1" hidden="1">{"MRIS",#N/A,FALSE,"MR-IS 1(3)";"MRBS2",#N/A,FALSE,"MR-BS 2(3)";"MRBS3",#N/A,FALSE,"MR-BS 3(3)"}</definedName>
    <definedName name="wrn.MR._1_1_1_2_3" hidden="1">{"MRIS",#N/A,FALSE,"MR-IS 1(3)";"MRBS2",#N/A,FALSE,"MR-BS 2(3)";"MRBS3",#N/A,FALSE,"MR-BS 3(3)"}</definedName>
    <definedName name="wrn.MR._1_1_1_2_3_1" hidden="1">{"MRIS",#N/A,FALSE,"MR-IS 1(3)";"MRBS2",#N/A,FALSE,"MR-BS 2(3)";"MRBS3",#N/A,FALSE,"MR-BS 3(3)"}</definedName>
    <definedName name="wrn.MR._1_1_1_2_3_1_1" hidden="1">{"MRIS",#N/A,FALSE,"MR-IS 1(3)";"MRBS2",#N/A,FALSE,"MR-BS 2(3)";"MRBS3",#N/A,FALSE,"MR-BS 3(3)"}</definedName>
    <definedName name="wrn.MR._1_1_1_2_4" hidden="1">{"MRIS",#N/A,FALSE,"MR-IS 1(3)";"MRBS2",#N/A,FALSE,"MR-BS 2(3)";"MRBS3",#N/A,FALSE,"MR-BS 3(3)"}</definedName>
    <definedName name="wrn.MR._1_1_1_3" hidden="1">{"MRIS",#N/A,FALSE,"MR-IS 1(3)";"MRBS2",#N/A,FALSE,"MR-BS 2(3)";"MRBS3",#N/A,FALSE,"MR-BS 3(3)"}</definedName>
    <definedName name="wrn.MR._1_1_1_3_1" hidden="1">{"MRIS",#N/A,FALSE,"MR-IS 1(3)";"MRBS2",#N/A,FALSE,"MR-BS 2(3)";"MRBS3",#N/A,FALSE,"MR-BS 3(3)"}</definedName>
    <definedName name="wrn.MR._1_1_1_3_1_1" hidden="1">{"MRIS",#N/A,FALSE,"MR-IS 1(3)";"MRBS2",#N/A,FALSE,"MR-BS 2(3)";"MRBS3",#N/A,FALSE,"MR-BS 3(3)"}</definedName>
    <definedName name="wrn.MR._1_1_1_3_1_1_1" hidden="1">{"MRIS",#N/A,FALSE,"MR-IS 1(3)";"MRBS2",#N/A,FALSE,"MR-BS 2(3)";"MRBS3",#N/A,FALSE,"MR-BS 3(3)"}</definedName>
    <definedName name="wrn.MR._1_1_1_3_1_1_1_1" hidden="1">{"MRIS",#N/A,FALSE,"MR-IS 1(3)";"MRBS2",#N/A,FALSE,"MR-BS 2(3)";"MRBS3",#N/A,FALSE,"MR-BS 3(3)"}</definedName>
    <definedName name="wrn.MR._1_1_1_3_1_1_1_1_1" hidden="1">{"MRIS",#N/A,FALSE,"MR-IS 1(3)";"MRBS2",#N/A,FALSE,"MR-BS 2(3)";"MRBS3",#N/A,FALSE,"MR-BS 3(3)"}</definedName>
    <definedName name="wrn.MR._1_1_1_3_1_1_2" hidden="1">{"MRIS",#N/A,FALSE,"MR-IS 1(3)";"MRBS2",#N/A,FALSE,"MR-BS 2(3)";"MRBS3",#N/A,FALSE,"MR-BS 3(3)"}</definedName>
    <definedName name="wrn.MR._1_1_1_3_1_2" hidden="1">{"MRIS",#N/A,FALSE,"MR-IS 1(3)";"MRBS2",#N/A,FALSE,"MR-BS 2(3)";"MRBS3",#N/A,FALSE,"MR-BS 3(3)"}</definedName>
    <definedName name="wrn.MR._1_1_1_3_1_2_1" hidden="1">{"MRIS",#N/A,FALSE,"MR-IS 1(3)";"MRBS2",#N/A,FALSE,"MR-BS 2(3)";"MRBS3",#N/A,FALSE,"MR-BS 3(3)"}</definedName>
    <definedName name="wrn.MR._1_1_1_3_2" hidden="1">{"MRIS",#N/A,FALSE,"MR-IS 1(3)";"MRBS2",#N/A,FALSE,"MR-BS 2(3)";"MRBS3",#N/A,FALSE,"MR-BS 3(3)"}</definedName>
    <definedName name="wrn.MR._1_1_1_3_2_1" hidden="1">{"MRIS",#N/A,FALSE,"MR-IS 1(3)";"MRBS2",#N/A,FALSE,"MR-BS 2(3)";"MRBS3",#N/A,FALSE,"MR-BS 3(3)"}</definedName>
    <definedName name="wrn.MR._1_1_1_3_2_1_1" hidden="1">{"MRIS",#N/A,FALSE,"MR-IS 1(3)";"MRBS2",#N/A,FALSE,"MR-BS 2(3)";"MRBS3",#N/A,FALSE,"MR-BS 3(3)"}</definedName>
    <definedName name="wrn.MR._1_1_1_3_2_1_1_1" hidden="1">{"MRIS",#N/A,FALSE,"MR-IS 1(3)";"MRBS2",#N/A,FALSE,"MR-BS 2(3)";"MRBS3",#N/A,FALSE,"MR-BS 3(3)"}</definedName>
    <definedName name="wrn.MR._1_1_1_3_2_2" hidden="1">{"MRIS",#N/A,FALSE,"MR-IS 1(3)";"MRBS2",#N/A,FALSE,"MR-BS 2(3)";"MRBS3",#N/A,FALSE,"MR-BS 3(3)"}</definedName>
    <definedName name="wrn.MR._1_1_1_3_3" hidden="1">{"MRIS",#N/A,FALSE,"MR-IS 1(3)";"MRBS2",#N/A,FALSE,"MR-BS 2(3)";"MRBS3",#N/A,FALSE,"MR-BS 3(3)"}</definedName>
    <definedName name="wrn.MR._1_1_1_3_3_1" hidden="1">{"MRIS",#N/A,FALSE,"MR-IS 1(3)";"MRBS2",#N/A,FALSE,"MR-BS 2(3)";"MRBS3",#N/A,FALSE,"MR-BS 3(3)"}</definedName>
    <definedName name="wrn.MR._1_1_1_3_3_1_1" hidden="1">{"MRIS",#N/A,FALSE,"MR-IS 1(3)";"MRBS2",#N/A,FALSE,"MR-BS 2(3)";"MRBS3",#N/A,FALSE,"MR-BS 3(3)"}</definedName>
    <definedName name="wrn.MR._1_1_1_3_4" hidden="1">{"MRIS",#N/A,FALSE,"MR-IS 1(3)";"MRBS2",#N/A,FALSE,"MR-BS 2(3)";"MRBS3",#N/A,FALSE,"MR-BS 3(3)"}</definedName>
    <definedName name="wrn.MR._1_1_1_4" hidden="1">{"MRIS",#N/A,FALSE,"MR-IS 1(3)";"MRBS2",#N/A,FALSE,"MR-BS 2(3)";"MRBS3",#N/A,FALSE,"MR-BS 3(3)"}</definedName>
    <definedName name="wrn.MR._1_1_1_4_1" hidden="1">{"MRIS",#N/A,FALSE,"MR-IS 1(3)";"MRBS2",#N/A,FALSE,"MR-BS 2(3)";"MRBS3",#N/A,FALSE,"MR-BS 3(3)"}</definedName>
    <definedName name="wrn.MR._1_1_1_4_1_1" hidden="1">{"MRIS",#N/A,FALSE,"MR-IS 1(3)";"MRBS2",#N/A,FALSE,"MR-BS 2(3)";"MRBS3",#N/A,FALSE,"MR-BS 3(3)"}</definedName>
    <definedName name="wrn.MR._1_1_1_4_1_1_1" hidden="1">{"MRIS",#N/A,FALSE,"MR-IS 1(3)";"MRBS2",#N/A,FALSE,"MR-BS 2(3)";"MRBS3",#N/A,FALSE,"MR-BS 3(3)"}</definedName>
    <definedName name="wrn.MR._1_1_1_4_1_1_1_1" hidden="1">{"MRIS",#N/A,FALSE,"MR-IS 1(3)";"MRBS2",#N/A,FALSE,"MR-BS 2(3)";"MRBS3",#N/A,FALSE,"MR-BS 3(3)"}</definedName>
    <definedName name="wrn.MR._1_1_1_4_1_2" hidden="1">{"MRIS",#N/A,FALSE,"MR-IS 1(3)";"MRBS2",#N/A,FALSE,"MR-BS 2(3)";"MRBS3",#N/A,FALSE,"MR-BS 3(3)"}</definedName>
    <definedName name="wrn.MR._1_1_1_4_2" hidden="1">{"MRIS",#N/A,FALSE,"MR-IS 1(3)";"MRBS2",#N/A,FALSE,"MR-BS 2(3)";"MRBS3",#N/A,FALSE,"MR-BS 3(3)"}</definedName>
    <definedName name="wrn.MR._1_1_1_4_2_1" hidden="1">{"MRIS",#N/A,FALSE,"MR-IS 1(3)";"MRBS2",#N/A,FALSE,"MR-BS 2(3)";"MRBS3",#N/A,FALSE,"MR-BS 3(3)"}</definedName>
    <definedName name="wrn.MR._1_1_1_5" hidden="1">{"MRIS",#N/A,FALSE,"MR-IS 1(3)";"MRBS2",#N/A,FALSE,"MR-BS 2(3)";"MRBS3",#N/A,FALSE,"MR-BS 3(3)"}</definedName>
    <definedName name="wrn.MR._1_1_1_5_1" hidden="1">{"MRIS",#N/A,FALSE,"MR-IS 1(3)";"MRBS2",#N/A,FALSE,"MR-BS 2(3)";"MRBS3",#N/A,FALSE,"MR-BS 3(3)"}</definedName>
    <definedName name="wrn.MR._1_1_1_5_1_1" hidden="1">{"MRIS",#N/A,FALSE,"MR-IS 1(3)";"MRBS2",#N/A,FALSE,"MR-BS 2(3)";"MRBS3",#N/A,FALSE,"MR-BS 3(3)"}</definedName>
    <definedName name="wrn.MR._1_1_2" hidden="1">{"MRIS",#N/A,FALSE,"MR-IS 1(3)";"MRBS2",#N/A,FALSE,"MR-BS 2(3)";"MRBS3",#N/A,FALSE,"MR-BS 3(3)"}</definedName>
    <definedName name="wrn.MR._1_1_2_1" hidden="1">{"MRIS",#N/A,FALSE,"MR-IS 1(3)";"MRBS2",#N/A,FALSE,"MR-BS 2(3)";"MRBS3",#N/A,FALSE,"MR-BS 3(3)"}</definedName>
    <definedName name="wrn.MR._1_1_2_1_1" hidden="1">{"MRIS",#N/A,FALSE,"MR-IS 1(3)";"MRBS2",#N/A,FALSE,"MR-BS 2(3)";"MRBS3",#N/A,FALSE,"MR-BS 3(3)"}</definedName>
    <definedName name="wrn.MR._1_1_2_1_1_1" hidden="1">{"MRIS",#N/A,FALSE,"MR-IS 1(3)";"MRBS2",#N/A,FALSE,"MR-BS 2(3)";"MRBS3",#N/A,FALSE,"MR-BS 3(3)"}</definedName>
    <definedName name="wrn.MR._1_1_2_1_1_1_1" hidden="1">{"MRIS",#N/A,FALSE,"MR-IS 1(3)";"MRBS2",#N/A,FALSE,"MR-BS 2(3)";"MRBS3",#N/A,FALSE,"MR-BS 3(3)"}</definedName>
    <definedName name="wrn.MR._1_1_2_1_1_1_1_1" hidden="1">{"MRIS",#N/A,FALSE,"MR-IS 1(3)";"MRBS2",#N/A,FALSE,"MR-BS 2(3)";"MRBS3",#N/A,FALSE,"MR-BS 3(3)"}</definedName>
    <definedName name="wrn.MR._1_1_2_1_1_1_1_1_1" hidden="1">{"MRIS",#N/A,FALSE,"MR-IS 1(3)";"MRBS2",#N/A,FALSE,"MR-BS 2(3)";"MRBS3",#N/A,FALSE,"MR-BS 3(3)"}</definedName>
    <definedName name="wrn.MR._1_1_2_1_1_1_1_1_1_1" hidden="1">{"MRIS",#N/A,FALSE,"MR-IS 1(3)";"MRBS2",#N/A,FALSE,"MR-BS 2(3)";"MRBS3",#N/A,FALSE,"MR-BS 3(3)"}</definedName>
    <definedName name="wrn.MR._1_1_2_1_1_1_1_2" hidden="1">{"MRIS",#N/A,FALSE,"MR-IS 1(3)";"MRBS2",#N/A,FALSE,"MR-BS 2(3)";"MRBS3",#N/A,FALSE,"MR-BS 3(3)"}</definedName>
    <definedName name="wrn.MR._1_1_2_1_1_1_2" hidden="1">{"MRIS",#N/A,FALSE,"MR-IS 1(3)";"MRBS2",#N/A,FALSE,"MR-BS 2(3)";"MRBS3",#N/A,FALSE,"MR-BS 3(3)"}</definedName>
    <definedName name="wrn.MR._1_1_2_1_1_1_2_1" hidden="1">{"MRIS",#N/A,FALSE,"MR-IS 1(3)";"MRBS2",#N/A,FALSE,"MR-BS 2(3)";"MRBS3",#N/A,FALSE,"MR-BS 3(3)"}</definedName>
    <definedName name="wrn.MR._1_1_2_1_1_2" hidden="1">{"MRIS",#N/A,FALSE,"MR-IS 1(3)";"MRBS2",#N/A,FALSE,"MR-BS 2(3)";"MRBS3",#N/A,FALSE,"MR-BS 3(3)"}</definedName>
    <definedName name="wrn.MR._1_1_2_1_1_2_1" hidden="1">{"MRIS",#N/A,FALSE,"MR-IS 1(3)";"MRBS2",#N/A,FALSE,"MR-BS 2(3)";"MRBS3",#N/A,FALSE,"MR-BS 3(3)"}</definedName>
    <definedName name="wrn.MR._1_1_2_1_1_2_1_1" hidden="1">{"MRIS",#N/A,FALSE,"MR-IS 1(3)";"MRBS2",#N/A,FALSE,"MR-BS 2(3)";"MRBS3",#N/A,FALSE,"MR-BS 3(3)"}</definedName>
    <definedName name="wrn.MR._1_1_2_1_1_2_1_1_1" hidden="1">{"MRIS",#N/A,FALSE,"MR-IS 1(3)";"MRBS2",#N/A,FALSE,"MR-BS 2(3)";"MRBS3",#N/A,FALSE,"MR-BS 3(3)"}</definedName>
    <definedName name="wrn.MR._1_1_2_1_1_2_2" hidden="1">{"MRIS",#N/A,FALSE,"MR-IS 1(3)";"MRBS2",#N/A,FALSE,"MR-BS 2(3)";"MRBS3",#N/A,FALSE,"MR-BS 3(3)"}</definedName>
    <definedName name="wrn.MR._1_1_2_1_1_3" hidden="1">{"MRIS",#N/A,FALSE,"MR-IS 1(3)";"MRBS2",#N/A,FALSE,"MR-BS 2(3)";"MRBS3",#N/A,FALSE,"MR-BS 3(3)"}</definedName>
    <definedName name="wrn.MR._1_1_2_1_1_3_1" hidden="1">{"MRIS",#N/A,FALSE,"MR-IS 1(3)";"MRBS2",#N/A,FALSE,"MR-BS 2(3)";"MRBS3",#N/A,FALSE,"MR-BS 3(3)"}</definedName>
    <definedName name="wrn.MR._1_1_2_1_1_3_1_1" hidden="1">{"MRIS",#N/A,FALSE,"MR-IS 1(3)";"MRBS2",#N/A,FALSE,"MR-BS 2(3)";"MRBS3",#N/A,FALSE,"MR-BS 3(3)"}</definedName>
    <definedName name="wrn.MR._1_1_2_1_1_4" hidden="1">{"MRIS",#N/A,FALSE,"MR-IS 1(3)";"MRBS2",#N/A,FALSE,"MR-BS 2(3)";"MRBS3",#N/A,FALSE,"MR-BS 3(3)"}</definedName>
    <definedName name="wrn.MR._1_1_2_1_2" hidden="1">{"MRIS",#N/A,FALSE,"MR-IS 1(3)";"MRBS2",#N/A,FALSE,"MR-BS 2(3)";"MRBS3",#N/A,FALSE,"MR-BS 3(3)"}</definedName>
    <definedName name="wrn.MR._1_1_2_1_2_1" hidden="1">{"MRIS",#N/A,FALSE,"MR-IS 1(3)";"MRBS2",#N/A,FALSE,"MR-BS 2(3)";"MRBS3",#N/A,FALSE,"MR-BS 3(3)"}</definedName>
    <definedName name="wrn.MR._1_1_2_1_2_1_1" hidden="1">{"MRIS",#N/A,FALSE,"MR-IS 1(3)";"MRBS2",#N/A,FALSE,"MR-BS 2(3)";"MRBS3",#N/A,FALSE,"MR-BS 3(3)"}</definedName>
    <definedName name="wrn.MR._1_1_2_1_2_1_1_1" hidden="1">{"MRIS",#N/A,FALSE,"MR-IS 1(3)";"MRBS2",#N/A,FALSE,"MR-BS 2(3)";"MRBS3",#N/A,FALSE,"MR-BS 3(3)"}</definedName>
    <definedName name="wrn.MR._1_1_2_1_2_1_1_1_1" hidden="1">{"MRIS",#N/A,FALSE,"MR-IS 1(3)";"MRBS2",#N/A,FALSE,"MR-BS 2(3)";"MRBS3",#N/A,FALSE,"MR-BS 3(3)"}</definedName>
    <definedName name="wrn.MR._1_1_2_1_2_1_2" hidden="1">{"MRIS",#N/A,FALSE,"MR-IS 1(3)";"MRBS2",#N/A,FALSE,"MR-BS 2(3)";"MRBS3",#N/A,FALSE,"MR-BS 3(3)"}</definedName>
    <definedName name="wrn.MR._1_1_2_1_2_2" hidden="1">{"MRIS",#N/A,FALSE,"MR-IS 1(3)";"MRBS2",#N/A,FALSE,"MR-BS 2(3)";"MRBS3",#N/A,FALSE,"MR-BS 3(3)"}</definedName>
    <definedName name="wrn.MR._1_1_2_1_2_2_1" hidden="1">{"MRIS",#N/A,FALSE,"MR-IS 1(3)";"MRBS2",#N/A,FALSE,"MR-BS 2(3)";"MRBS3",#N/A,FALSE,"MR-BS 3(3)"}</definedName>
    <definedName name="wrn.MR._1_1_2_1_3" hidden="1">{"MRIS",#N/A,FALSE,"MR-IS 1(3)";"MRBS2",#N/A,FALSE,"MR-BS 2(3)";"MRBS3",#N/A,FALSE,"MR-BS 3(3)"}</definedName>
    <definedName name="wrn.MR._1_1_2_1_3_1" hidden="1">{"MRIS",#N/A,FALSE,"MR-IS 1(3)";"MRBS2",#N/A,FALSE,"MR-BS 2(3)";"MRBS3",#N/A,FALSE,"MR-BS 3(3)"}</definedName>
    <definedName name="wrn.MR._1_1_2_1_3_1_1" hidden="1">{"MRIS",#N/A,FALSE,"MR-IS 1(3)";"MRBS2",#N/A,FALSE,"MR-BS 2(3)";"MRBS3",#N/A,FALSE,"MR-BS 3(3)"}</definedName>
    <definedName name="wrn.MR._1_1_2_1_4" hidden="1">{"MRIS",#N/A,FALSE,"MR-IS 1(3)";"MRBS2",#N/A,FALSE,"MR-BS 2(3)";"MRBS3",#N/A,FALSE,"MR-BS 3(3)"}</definedName>
    <definedName name="wrn.MR._1_1_2_2" hidden="1">{"MRIS",#N/A,FALSE,"MR-IS 1(3)";"MRBS2",#N/A,FALSE,"MR-BS 2(3)";"MRBS3",#N/A,FALSE,"MR-BS 3(3)"}</definedName>
    <definedName name="wrn.MR._1_1_2_2_1" hidden="1">{"MRIS",#N/A,FALSE,"MR-IS 1(3)";"MRBS2",#N/A,FALSE,"MR-BS 2(3)";"MRBS3",#N/A,FALSE,"MR-BS 3(3)"}</definedName>
    <definedName name="wrn.MR._1_1_2_2_1_1" hidden="1">{"MRIS",#N/A,FALSE,"MR-IS 1(3)";"MRBS2",#N/A,FALSE,"MR-BS 2(3)";"MRBS3",#N/A,FALSE,"MR-BS 3(3)"}</definedName>
    <definedName name="wrn.MR._1_1_2_2_1_1_1" hidden="1">{"MRIS",#N/A,FALSE,"MR-IS 1(3)";"MRBS2",#N/A,FALSE,"MR-BS 2(3)";"MRBS3",#N/A,FALSE,"MR-BS 3(3)"}</definedName>
    <definedName name="wrn.MR._1_1_2_2_1_1_1_1" hidden="1">{"MRIS",#N/A,FALSE,"MR-IS 1(3)";"MRBS2",#N/A,FALSE,"MR-BS 2(3)";"MRBS3",#N/A,FALSE,"MR-BS 3(3)"}</definedName>
    <definedName name="wrn.MR._1_1_2_2_1_1_1_1_1" hidden="1">{"MRIS",#N/A,FALSE,"MR-IS 1(3)";"MRBS2",#N/A,FALSE,"MR-BS 2(3)";"MRBS3",#N/A,FALSE,"MR-BS 3(3)"}</definedName>
    <definedName name="wrn.MR._1_1_2_2_1_1_2" hidden="1">{"MRIS",#N/A,FALSE,"MR-IS 1(3)";"MRBS2",#N/A,FALSE,"MR-BS 2(3)";"MRBS3",#N/A,FALSE,"MR-BS 3(3)"}</definedName>
    <definedName name="wrn.MR._1_1_2_2_1_2" hidden="1">{"MRIS",#N/A,FALSE,"MR-IS 1(3)";"MRBS2",#N/A,FALSE,"MR-BS 2(3)";"MRBS3",#N/A,FALSE,"MR-BS 3(3)"}</definedName>
    <definedName name="wrn.MR._1_1_2_2_1_2_1" hidden="1">{"MRIS",#N/A,FALSE,"MR-IS 1(3)";"MRBS2",#N/A,FALSE,"MR-BS 2(3)";"MRBS3",#N/A,FALSE,"MR-BS 3(3)"}</definedName>
    <definedName name="wrn.MR._1_1_2_2_2" hidden="1">{"MRIS",#N/A,FALSE,"MR-IS 1(3)";"MRBS2",#N/A,FALSE,"MR-BS 2(3)";"MRBS3",#N/A,FALSE,"MR-BS 3(3)"}</definedName>
    <definedName name="wrn.MR._1_1_2_2_2_1" hidden="1">{"MRIS",#N/A,FALSE,"MR-IS 1(3)";"MRBS2",#N/A,FALSE,"MR-BS 2(3)";"MRBS3",#N/A,FALSE,"MR-BS 3(3)"}</definedName>
    <definedName name="wrn.MR._1_1_2_2_2_1_1" hidden="1">{"MRIS",#N/A,FALSE,"MR-IS 1(3)";"MRBS2",#N/A,FALSE,"MR-BS 2(3)";"MRBS3",#N/A,FALSE,"MR-BS 3(3)"}</definedName>
    <definedName name="wrn.MR._1_1_2_2_2_1_1_1" hidden="1">{"MRIS",#N/A,FALSE,"MR-IS 1(3)";"MRBS2",#N/A,FALSE,"MR-BS 2(3)";"MRBS3",#N/A,FALSE,"MR-BS 3(3)"}</definedName>
    <definedName name="wrn.MR._1_1_2_2_2_2" hidden="1">{"MRIS",#N/A,FALSE,"MR-IS 1(3)";"MRBS2",#N/A,FALSE,"MR-BS 2(3)";"MRBS3",#N/A,FALSE,"MR-BS 3(3)"}</definedName>
    <definedName name="wrn.MR._1_1_2_2_3" hidden="1">{"MRIS",#N/A,FALSE,"MR-IS 1(3)";"MRBS2",#N/A,FALSE,"MR-BS 2(3)";"MRBS3",#N/A,FALSE,"MR-BS 3(3)"}</definedName>
    <definedName name="wrn.MR._1_1_2_2_3_1" hidden="1">{"MRIS",#N/A,FALSE,"MR-IS 1(3)";"MRBS2",#N/A,FALSE,"MR-BS 2(3)";"MRBS3",#N/A,FALSE,"MR-BS 3(3)"}</definedName>
    <definedName name="wrn.MR._1_1_2_2_3_1_1" hidden="1">{"MRIS",#N/A,FALSE,"MR-IS 1(3)";"MRBS2",#N/A,FALSE,"MR-BS 2(3)";"MRBS3",#N/A,FALSE,"MR-BS 3(3)"}</definedName>
    <definedName name="wrn.MR._1_1_2_2_4" hidden="1">{"MRIS",#N/A,FALSE,"MR-IS 1(3)";"MRBS2",#N/A,FALSE,"MR-BS 2(3)";"MRBS3",#N/A,FALSE,"MR-BS 3(3)"}</definedName>
    <definedName name="wrn.MR._1_1_2_3" hidden="1">{"MRIS",#N/A,FALSE,"MR-IS 1(3)";"MRBS2",#N/A,FALSE,"MR-BS 2(3)";"MRBS3",#N/A,FALSE,"MR-BS 3(3)"}</definedName>
    <definedName name="wrn.MR._1_1_2_3_1" hidden="1">{"MRIS",#N/A,FALSE,"MR-IS 1(3)";"MRBS2",#N/A,FALSE,"MR-BS 2(3)";"MRBS3",#N/A,FALSE,"MR-BS 3(3)"}</definedName>
    <definedName name="wrn.MR._1_1_2_3_1_1" hidden="1">{"MRIS",#N/A,FALSE,"MR-IS 1(3)";"MRBS2",#N/A,FALSE,"MR-BS 2(3)";"MRBS3",#N/A,FALSE,"MR-BS 3(3)"}</definedName>
    <definedName name="wrn.MR._1_1_2_3_1_1_1" hidden="1">{"MRIS",#N/A,FALSE,"MR-IS 1(3)";"MRBS2",#N/A,FALSE,"MR-BS 2(3)";"MRBS3",#N/A,FALSE,"MR-BS 3(3)"}</definedName>
    <definedName name="wrn.MR._1_1_2_3_1_1_1_1" hidden="1">{"MRIS",#N/A,FALSE,"MR-IS 1(3)";"MRBS2",#N/A,FALSE,"MR-BS 2(3)";"MRBS3",#N/A,FALSE,"MR-BS 3(3)"}</definedName>
    <definedName name="wrn.MR._1_1_2_3_1_2" hidden="1">{"MRIS",#N/A,FALSE,"MR-IS 1(3)";"MRBS2",#N/A,FALSE,"MR-BS 2(3)";"MRBS3",#N/A,FALSE,"MR-BS 3(3)"}</definedName>
    <definedName name="wrn.MR._1_1_2_3_2" hidden="1">{"MRIS",#N/A,FALSE,"MR-IS 1(3)";"MRBS2",#N/A,FALSE,"MR-BS 2(3)";"MRBS3",#N/A,FALSE,"MR-BS 3(3)"}</definedName>
    <definedName name="wrn.MR._1_1_2_3_2_1" hidden="1">{"MRIS",#N/A,FALSE,"MR-IS 1(3)";"MRBS2",#N/A,FALSE,"MR-BS 2(3)";"MRBS3",#N/A,FALSE,"MR-BS 3(3)"}</definedName>
    <definedName name="wrn.MR._1_1_2_4" hidden="1">{"MRIS",#N/A,FALSE,"MR-IS 1(3)";"MRBS2",#N/A,FALSE,"MR-BS 2(3)";"MRBS3",#N/A,FALSE,"MR-BS 3(3)"}</definedName>
    <definedName name="wrn.MR._1_1_2_4_1" hidden="1">{"MRIS",#N/A,FALSE,"MR-IS 1(3)";"MRBS2",#N/A,FALSE,"MR-BS 2(3)";"MRBS3",#N/A,FALSE,"MR-BS 3(3)"}</definedName>
    <definedName name="wrn.MR._1_1_2_4_1_1" hidden="1">{"MRIS",#N/A,FALSE,"MR-IS 1(3)";"MRBS2",#N/A,FALSE,"MR-BS 2(3)";"MRBS3",#N/A,FALSE,"MR-BS 3(3)"}</definedName>
    <definedName name="wrn.MR._1_1_2_5" hidden="1">{"MRIS",#N/A,FALSE,"MR-IS 1(3)";"MRBS2",#N/A,FALSE,"MR-BS 2(3)";"MRBS3",#N/A,FALSE,"MR-BS 3(3)"}</definedName>
    <definedName name="wrn.MR._1_1_3" hidden="1">{"MRIS",#N/A,FALSE,"MR-IS 1(3)";"MRBS2",#N/A,FALSE,"MR-BS 2(3)";"MRBS3",#N/A,FALSE,"MR-BS 3(3)"}</definedName>
    <definedName name="wrn.MR._1_1_3_1" hidden="1">{"MRIS",#N/A,FALSE,"MR-IS 1(3)";"MRBS2",#N/A,FALSE,"MR-BS 2(3)";"MRBS3",#N/A,FALSE,"MR-BS 3(3)"}</definedName>
    <definedName name="wrn.MR._1_1_3_1_1" hidden="1">{"MRIS",#N/A,FALSE,"MR-IS 1(3)";"MRBS2",#N/A,FALSE,"MR-BS 2(3)";"MRBS3",#N/A,FALSE,"MR-BS 3(3)"}</definedName>
    <definedName name="wrn.MR._1_1_3_1_1_1" hidden="1">{"MRIS",#N/A,FALSE,"MR-IS 1(3)";"MRBS2",#N/A,FALSE,"MR-BS 2(3)";"MRBS3",#N/A,FALSE,"MR-BS 3(3)"}</definedName>
    <definedName name="wrn.MR._1_1_3_1_1_1_1" hidden="1">{"MRIS",#N/A,FALSE,"MR-IS 1(3)";"MRBS2",#N/A,FALSE,"MR-BS 2(3)";"MRBS3",#N/A,FALSE,"MR-BS 3(3)"}</definedName>
    <definedName name="wrn.MR._1_1_3_1_1_1_1_1" hidden="1">{"MRIS",#N/A,FALSE,"MR-IS 1(3)";"MRBS2",#N/A,FALSE,"MR-BS 2(3)";"MRBS3",#N/A,FALSE,"MR-BS 3(3)"}</definedName>
    <definedName name="wrn.MR._1_1_3_1_1_2" hidden="1">{"MRIS",#N/A,FALSE,"MR-IS 1(3)";"MRBS2",#N/A,FALSE,"MR-BS 2(3)";"MRBS3",#N/A,FALSE,"MR-BS 3(3)"}</definedName>
    <definedName name="wrn.MR._1_1_3_1_2" hidden="1">{"MRIS",#N/A,FALSE,"MR-IS 1(3)";"MRBS2",#N/A,FALSE,"MR-BS 2(3)";"MRBS3",#N/A,FALSE,"MR-BS 3(3)"}</definedName>
    <definedName name="wrn.MR._1_1_3_1_2_1" hidden="1">{"MRIS",#N/A,FALSE,"MR-IS 1(3)";"MRBS2",#N/A,FALSE,"MR-BS 2(3)";"MRBS3",#N/A,FALSE,"MR-BS 3(3)"}</definedName>
    <definedName name="wrn.MR._1_1_3_2" hidden="1">{"MRIS",#N/A,FALSE,"MR-IS 1(3)";"MRBS2",#N/A,FALSE,"MR-BS 2(3)";"MRBS3",#N/A,FALSE,"MR-BS 3(3)"}</definedName>
    <definedName name="wrn.MR._1_1_3_2_1" hidden="1">{"MRIS",#N/A,FALSE,"MR-IS 1(3)";"MRBS2",#N/A,FALSE,"MR-BS 2(3)";"MRBS3",#N/A,FALSE,"MR-BS 3(3)"}</definedName>
    <definedName name="wrn.MR._1_1_3_2_1_1" hidden="1">{"MRIS",#N/A,FALSE,"MR-IS 1(3)";"MRBS2",#N/A,FALSE,"MR-BS 2(3)";"MRBS3",#N/A,FALSE,"MR-BS 3(3)"}</definedName>
    <definedName name="wrn.MR._1_1_3_2_1_1_1" hidden="1">{"MRIS",#N/A,FALSE,"MR-IS 1(3)";"MRBS2",#N/A,FALSE,"MR-BS 2(3)";"MRBS3",#N/A,FALSE,"MR-BS 3(3)"}</definedName>
    <definedName name="wrn.MR._1_1_3_2_2" hidden="1">{"MRIS",#N/A,FALSE,"MR-IS 1(3)";"MRBS2",#N/A,FALSE,"MR-BS 2(3)";"MRBS3",#N/A,FALSE,"MR-BS 3(3)"}</definedName>
    <definedName name="wrn.MR._1_1_3_3" hidden="1">{"MRIS",#N/A,FALSE,"MR-IS 1(3)";"MRBS2",#N/A,FALSE,"MR-BS 2(3)";"MRBS3",#N/A,FALSE,"MR-BS 3(3)"}</definedName>
    <definedName name="wrn.MR._1_1_3_3_1" hidden="1">{"MRIS",#N/A,FALSE,"MR-IS 1(3)";"MRBS2",#N/A,FALSE,"MR-BS 2(3)";"MRBS3",#N/A,FALSE,"MR-BS 3(3)"}</definedName>
    <definedName name="wrn.MR._1_1_3_3_1_1" hidden="1">{"MRIS",#N/A,FALSE,"MR-IS 1(3)";"MRBS2",#N/A,FALSE,"MR-BS 2(3)";"MRBS3",#N/A,FALSE,"MR-BS 3(3)"}</definedName>
    <definedName name="wrn.MR._1_1_3_4" hidden="1">{"MRIS",#N/A,FALSE,"MR-IS 1(3)";"MRBS2",#N/A,FALSE,"MR-BS 2(3)";"MRBS3",#N/A,FALSE,"MR-BS 3(3)"}</definedName>
    <definedName name="wrn.MR._1_1_4" hidden="1">{"MRIS",#N/A,FALSE,"MR-IS 1(3)";"MRBS2",#N/A,FALSE,"MR-BS 2(3)";"MRBS3",#N/A,FALSE,"MR-BS 3(3)"}</definedName>
    <definedName name="wrn.MR._1_1_4_1" hidden="1">{"MRIS",#N/A,FALSE,"MR-IS 1(3)";"MRBS2",#N/A,FALSE,"MR-BS 2(3)";"MRBS3",#N/A,FALSE,"MR-BS 3(3)"}</definedName>
    <definedName name="wrn.MR._1_1_4_1_1" hidden="1">{"MRIS",#N/A,FALSE,"MR-IS 1(3)";"MRBS2",#N/A,FALSE,"MR-BS 2(3)";"MRBS3",#N/A,FALSE,"MR-BS 3(3)"}</definedName>
    <definedName name="wrn.MR._1_1_4_1_1_1" hidden="1">{"MRIS",#N/A,FALSE,"MR-IS 1(3)";"MRBS2",#N/A,FALSE,"MR-BS 2(3)";"MRBS3",#N/A,FALSE,"MR-BS 3(3)"}</definedName>
    <definedName name="wrn.MR._1_1_4_1_1_1_1" hidden="1">{"MRIS",#N/A,FALSE,"MR-IS 1(3)";"MRBS2",#N/A,FALSE,"MR-BS 2(3)";"MRBS3",#N/A,FALSE,"MR-BS 3(3)"}</definedName>
    <definedName name="wrn.MR._1_1_4_1_2" hidden="1">{"MRIS",#N/A,FALSE,"MR-IS 1(3)";"MRBS2",#N/A,FALSE,"MR-BS 2(3)";"MRBS3",#N/A,FALSE,"MR-BS 3(3)"}</definedName>
    <definedName name="wrn.MR._1_1_4_2" hidden="1">{"MRIS",#N/A,FALSE,"MR-IS 1(3)";"MRBS2",#N/A,FALSE,"MR-BS 2(3)";"MRBS3",#N/A,FALSE,"MR-BS 3(3)"}</definedName>
    <definedName name="wrn.MR._1_1_4_2_1" hidden="1">{"MRIS",#N/A,FALSE,"MR-IS 1(3)";"MRBS2",#N/A,FALSE,"MR-BS 2(3)";"MRBS3",#N/A,FALSE,"MR-BS 3(3)"}</definedName>
    <definedName name="wrn.MR._1_1_5" hidden="1">{"MRIS",#N/A,FALSE,"MR-IS 1(3)";"MRBS2",#N/A,FALSE,"MR-BS 2(3)";"MRBS3",#N/A,FALSE,"MR-BS 3(3)"}</definedName>
    <definedName name="wrn.MR._1_1_5_1" hidden="1">{"MRIS",#N/A,FALSE,"MR-IS 1(3)";"MRBS2",#N/A,FALSE,"MR-BS 2(3)";"MRBS3",#N/A,FALSE,"MR-BS 3(3)"}</definedName>
    <definedName name="wrn.MR._1_1_5_1_1" hidden="1">{"MRIS",#N/A,FALSE,"MR-IS 1(3)";"MRBS2",#N/A,FALSE,"MR-BS 2(3)";"MRBS3",#N/A,FALSE,"MR-BS 3(3)"}</definedName>
    <definedName name="wrn.MR._1_2" hidden="1">{"MRIS",#N/A,FALSE,"MR-IS 1(3)";"MRBS2",#N/A,FALSE,"MR-BS 2(3)";"MRBS3",#N/A,FALSE,"MR-BS 3(3)"}</definedName>
    <definedName name="wrn.MR._1_2_1" hidden="1">{"MRIS",#N/A,FALSE,"MR-IS 1(3)";"MRBS2",#N/A,FALSE,"MR-BS 2(3)";"MRBS3",#N/A,FALSE,"MR-BS 3(3)"}</definedName>
    <definedName name="wrn.MR._1_2_1_1" hidden="1">{"MRIS",#N/A,FALSE,"MR-IS 1(3)";"MRBS2",#N/A,FALSE,"MR-BS 2(3)";"MRBS3",#N/A,FALSE,"MR-BS 3(3)"}</definedName>
    <definedName name="wrn.MR._1_2_1_1_1" hidden="1">{"MRIS",#N/A,FALSE,"MR-IS 1(3)";"MRBS2",#N/A,FALSE,"MR-BS 2(3)";"MRBS3",#N/A,FALSE,"MR-BS 3(3)"}</definedName>
    <definedName name="wrn.MR._1_2_1_1_1_1" hidden="1">{"MRIS",#N/A,FALSE,"MR-IS 1(3)";"MRBS2",#N/A,FALSE,"MR-BS 2(3)";"MRBS3",#N/A,FALSE,"MR-BS 3(3)"}</definedName>
    <definedName name="wrn.MR._1_2_1_1_1_1_1" hidden="1">{"MRIS",#N/A,FALSE,"MR-IS 1(3)";"MRBS2",#N/A,FALSE,"MR-BS 2(3)";"MRBS3",#N/A,FALSE,"MR-BS 3(3)"}</definedName>
    <definedName name="wrn.MR._1_2_1_1_1_1_1_1" hidden="1">{"MRIS",#N/A,FALSE,"MR-IS 1(3)";"MRBS2",#N/A,FALSE,"MR-BS 2(3)";"MRBS3",#N/A,FALSE,"MR-BS 3(3)"}</definedName>
    <definedName name="wrn.MR._1_2_1_1_1_1_1_1_1" hidden="1">{"MRIS",#N/A,FALSE,"MR-IS 1(3)";"MRBS2",#N/A,FALSE,"MR-BS 2(3)";"MRBS3",#N/A,FALSE,"MR-BS 3(3)"}</definedName>
    <definedName name="wrn.MR._1_2_1_1_1_1_1_1_1_1" hidden="1">{"MRIS",#N/A,FALSE,"MR-IS 1(3)";"MRBS2",#N/A,FALSE,"MR-BS 2(3)";"MRBS3",#N/A,FALSE,"MR-BS 3(3)"}</definedName>
    <definedName name="wrn.MR._1_2_1_1_1_1_1_2" hidden="1">{"MRIS",#N/A,FALSE,"MR-IS 1(3)";"MRBS2",#N/A,FALSE,"MR-BS 2(3)";"MRBS3",#N/A,FALSE,"MR-BS 3(3)"}</definedName>
    <definedName name="wrn.MR._1_2_1_1_1_1_2" hidden="1">{"MRIS",#N/A,FALSE,"MR-IS 1(3)";"MRBS2",#N/A,FALSE,"MR-BS 2(3)";"MRBS3",#N/A,FALSE,"MR-BS 3(3)"}</definedName>
    <definedName name="wrn.MR._1_2_1_1_1_1_2_1" hidden="1">{"MRIS",#N/A,FALSE,"MR-IS 1(3)";"MRBS2",#N/A,FALSE,"MR-BS 2(3)";"MRBS3",#N/A,FALSE,"MR-BS 3(3)"}</definedName>
    <definedName name="wrn.MR._1_2_1_1_1_2" hidden="1">{"MRIS",#N/A,FALSE,"MR-IS 1(3)";"MRBS2",#N/A,FALSE,"MR-BS 2(3)";"MRBS3",#N/A,FALSE,"MR-BS 3(3)"}</definedName>
    <definedName name="wrn.MR._1_2_1_1_1_2_1" hidden="1">{"MRIS",#N/A,FALSE,"MR-IS 1(3)";"MRBS2",#N/A,FALSE,"MR-BS 2(3)";"MRBS3",#N/A,FALSE,"MR-BS 3(3)"}</definedName>
    <definedName name="wrn.MR._1_2_1_1_1_2_1_1" hidden="1">{"MRIS",#N/A,FALSE,"MR-IS 1(3)";"MRBS2",#N/A,FALSE,"MR-BS 2(3)";"MRBS3",#N/A,FALSE,"MR-BS 3(3)"}</definedName>
    <definedName name="wrn.MR._1_2_1_1_1_2_1_1_1" hidden="1">{"MRIS",#N/A,FALSE,"MR-IS 1(3)";"MRBS2",#N/A,FALSE,"MR-BS 2(3)";"MRBS3",#N/A,FALSE,"MR-BS 3(3)"}</definedName>
    <definedName name="wrn.MR._1_2_1_1_1_2_2" hidden="1">{"MRIS",#N/A,FALSE,"MR-IS 1(3)";"MRBS2",#N/A,FALSE,"MR-BS 2(3)";"MRBS3",#N/A,FALSE,"MR-BS 3(3)"}</definedName>
    <definedName name="wrn.MR._1_2_1_1_1_3" hidden="1">{"MRIS",#N/A,FALSE,"MR-IS 1(3)";"MRBS2",#N/A,FALSE,"MR-BS 2(3)";"MRBS3",#N/A,FALSE,"MR-BS 3(3)"}</definedName>
    <definedName name="wrn.MR._1_2_1_1_1_3_1" hidden="1">{"MRIS",#N/A,FALSE,"MR-IS 1(3)";"MRBS2",#N/A,FALSE,"MR-BS 2(3)";"MRBS3",#N/A,FALSE,"MR-BS 3(3)"}</definedName>
    <definedName name="wrn.MR._1_2_1_1_1_3_1_1" hidden="1">{"MRIS",#N/A,FALSE,"MR-IS 1(3)";"MRBS2",#N/A,FALSE,"MR-BS 2(3)";"MRBS3",#N/A,FALSE,"MR-BS 3(3)"}</definedName>
    <definedName name="wrn.MR._1_2_1_1_1_4" hidden="1">{"MRIS",#N/A,FALSE,"MR-IS 1(3)";"MRBS2",#N/A,FALSE,"MR-BS 2(3)";"MRBS3",#N/A,FALSE,"MR-BS 3(3)"}</definedName>
    <definedName name="wrn.MR._1_2_1_1_2" hidden="1">{"MRIS",#N/A,FALSE,"MR-IS 1(3)";"MRBS2",#N/A,FALSE,"MR-BS 2(3)";"MRBS3",#N/A,FALSE,"MR-BS 3(3)"}</definedName>
    <definedName name="wrn.MR._1_2_1_1_2_1" hidden="1">{"MRIS",#N/A,FALSE,"MR-IS 1(3)";"MRBS2",#N/A,FALSE,"MR-BS 2(3)";"MRBS3",#N/A,FALSE,"MR-BS 3(3)"}</definedName>
    <definedName name="wrn.MR._1_2_1_1_2_1_1" hidden="1">{"MRIS",#N/A,FALSE,"MR-IS 1(3)";"MRBS2",#N/A,FALSE,"MR-BS 2(3)";"MRBS3",#N/A,FALSE,"MR-BS 3(3)"}</definedName>
    <definedName name="wrn.MR._1_2_1_1_2_1_1_1" hidden="1">{"MRIS",#N/A,FALSE,"MR-IS 1(3)";"MRBS2",#N/A,FALSE,"MR-BS 2(3)";"MRBS3",#N/A,FALSE,"MR-BS 3(3)"}</definedName>
    <definedName name="wrn.MR._1_2_1_1_2_1_1_1_1" hidden="1">{"MRIS",#N/A,FALSE,"MR-IS 1(3)";"MRBS2",#N/A,FALSE,"MR-BS 2(3)";"MRBS3",#N/A,FALSE,"MR-BS 3(3)"}</definedName>
    <definedName name="wrn.MR._1_2_1_1_2_1_2" hidden="1">{"MRIS",#N/A,FALSE,"MR-IS 1(3)";"MRBS2",#N/A,FALSE,"MR-BS 2(3)";"MRBS3",#N/A,FALSE,"MR-BS 3(3)"}</definedName>
    <definedName name="wrn.MR._1_2_1_1_2_2" hidden="1">{"MRIS",#N/A,FALSE,"MR-IS 1(3)";"MRBS2",#N/A,FALSE,"MR-BS 2(3)";"MRBS3",#N/A,FALSE,"MR-BS 3(3)"}</definedName>
    <definedName name="wrn.MR._1_2_1_1_2_2_1" hidden="1">{"MRIS",#N/A,FALSE,"MR-IS 1(3)";"MRBS2",#N/A,FALSE,"MR-BS 2(3)";"MRBS3",#N/A,FALSE,"MR-BS 3(3)"}</definedName>
    <definedName name="wrn.MR._1_2_1_1_3" hidden="1">{"MRIS",#N/A,FALSE,"MR-IS 1(3)";"MRBS2",#N/A,FALSE,"MR-BS 2(3)";"MRBS3",#N/A,FALSE,"MR-BS 3(3)"}</definedName>
    <definedName name="wrn.MR._1_2_1_1_3_1" hidden="1">{"MRIS",#N/A,FALSE,"MR-IS 1(3)";"MRBS2",#N/A,FALSE,"MR-BS 2(3)";"MRBS3",#N/A,FALSE,"MR-BS 3(3)"}</definedName>
    <definedName name="wrn.MR._1_2_1_1_3_1_1" hidden="1">{"MRIS",#N/A,FALSE,"MR-IS 1(3)";"MRBS2",#N/A,FALSE,"MR-BS 2(3)";"MRBS3",#N/A,FALSE,"MR-BS 3(3)"}</definedName>
    <definedName name="wrn.MR._1_2_1_1_4" hidden="1">{"MRIS",#N/A,FALSE,"MR-IS 1(3)";"MRBS2",#N/A,FALSE,"MR-BS 2(3)";"MRBS3",#N/A,FALSE,"MR-BS 3(3)"}</definedName>
    <definedName name="wrn.MR._1_2_1_2" hidden="1">{"MRIS",#N/A,FALSE,"MR-IS 1(3)";"MRBS2",#N/A,FALSE,"MR-BS 2(3)";"MRBS3",#N/A,FALSE,"MR-BS 3(3)"}</definedName>
    <definedName name="wrn.MR._1_2_1_2_1" hidden="1">{"MRIS",#N/A,FALSE,"MR-IS 1(3)";"MRBS2",#N/A,FALSE,"MR-BS 2(3)";"MRBS3",#N/A,FALSE,"MR-BS 3(3)"}</definedName>
    <definedName name="wrn.MR._1_2_1_2_1_1" hidden="1">{"MRIS",#N/A,FALSE,"MR-IS 1(3)";"MRBS2",#N/A,FALSE,"MR-BS 2(3)";"MRBS3",#N/A,FALSE,"MR-BS 3(3)"}</definedName>
    <definedName name="wrn.MR._1_2_1_2_1_1_1" hidden="1">{"MRIS",#N/A,FALSE,"MR-IS 1(3)";"MRBS2",#N/A,FALSE,"MR-BS 2(3)";"MRBS3",#N/A,FALSE,"MR-BS 3(3)"}</definedName>
    <definedName name="wrn.MR._1_2_1_2_1_1_1_1" hidden="1">{"MRIS",#N/A,FALSE,"MR-IS 1(3)";"MRBS2",#N/A,FALSE,"MR-BS 2(3)";"MRBS3",#N/A,FALSE,"MR-BS 3(3)"}</definedName>
    <definedName name="wrn.MR._1_2_1_2_1_1_1_1_1" hidden="1">{"MRIS",#N/A,FALSE,"MR-IS 1(3)";"MRBS2",#N/A,FALSE,"MR-BS 2(3)";"MRBS3",#N/A,FALSE,"MR-BS 3(3)"}</definedName>
    <definedName name="wrn.MR._1_2_1_2_1_1_2" hidden="1">{"MRIS",#N/A,FALSE,"MR-IS 1(3)";"MRBS2",#N/A,FALSE,"MR-BS 2(3)";"MRBS3",#N/A,FALSE,"MR-BS 3(3)"}</definedName>
    <definedName name="wrn.MR._1_2_1_2_1_2" hidden="1">{"MRIS",#N/A,FALSE,"MR-IS 1(3)";"MRBS2",#N/A,FALSE,"MR-BS 2(3)";"MRBS3",#N/A,FALSE,"MR-BS 3(3)"}</definedName>
    <definedName name="wrn.MR._1_2_1_2_1_2_1" hidden="1">{"MRIS",#N/A,FALSE,"MR-IS 1(3)";"MRBS2",#N/A,FALSE,"MR-BS 2(3)";"MRBS3",#N/A,FALSE,"MR-BS 3(3)"}</definedName>
    <definedName name="wrn.MR._1_2_1_2_2" hidden="1">{"MRIS",#N/A,FALSE,"MR-IS 1(3)";"MRBS2",#N/A,FALSE,"MR-BS 2(3)";"MRBS3",#N/A,FALSE,"MR-BS 3(3)"}</definedName>
    <definedName name="wrn.MR._1_2_1_2_2_1" hidden="1">{"MRIS",#N/A,FALSE,"MR-IS 1(3)";"MRBS2",#N/A,FALSE,"MR-BS 2(3)";"MRBS3",#N/A,FALSE,"MR-BS 3(3)"}</definedName>
    <definedName name="wrn.MR._1_2_1_2_2_1_1" hidden="1">{"MRIS",#N/A,FALSE,"MR-IS 1(3)";"MRBS2",#N/A,FALSE,"MR-BS 2(3)";"MRBS3",#N/A,FALSE,"MR-BS 3(3)"}</definedName>
    <definedName name="wrn.MR._1_2_1_2_2_1_1_1" hidden="1">{"MRIS",#N/A,FALSE,"MR-IS 1(3)";"MRBS2",#N/A,FALSE,"MR-BS 2(3)";"MRBS3",#N/A,FALSE,"MR-BS 3(3)"}</definedName>
    <definedName name="wrn.MR._1_2_1_2_2_2" hidden="1">{"MRIS",#N/A,FALSE,"MR-IS 1(3)";"MRBS2",#N/A,FALSE,"MR-BS 2(3)";"MRBS3",#N/A,FALSE,"MR-BS 3(3)"}</definedName>
    <definedName name="wrn.MR._1_2_1_2_3" hidden="1">{"MRIS",#N/A,FALSE,"MR-IS 1(3)";"MRBS2",#N/A,FALSE,"MR-BS 2(3)";"MRBS3",#N/A,FALSE,"MR-BS 3(3)"}</definedName>
    <definedName name="wrn.MR._1_2_1_2_3_1" hidden="1">{"MRIS",#N/A,FALSE,"MR-IS 1(3)";"MRBS2",#N/A,FALSE,"MR-BS 2(3)";"MRBS3",#N/A,FALSE,"MR-BS 3(3)"}</definedName>
    <definedName name="wrn.MR._1_2_1_2_3_1_1" hidden="1">{"MRIS",#N/A,FALSE,"MR-IS 1(3)";"MRBS2",#N/A,FALSE,"MR-BS 2(3)";"MRBS3",#N/A,FALSE,"MR-BS 3(3)"}</definedName>
    <definedName name="wrn.MR._1_2_1_2_4" hidden="1">{"MRIS",#N/A,FALSE,"MR-IS 1(3)";"MRBS2",#N/A,FALSE,"MR-BS 2(3)";"MRBS3",#N/A,FALSE,"MR-BS 3(3)"}</definedName>
    <definedName name="wrn.MR._1_2_1_3" hidden="1">{"MRIS",#N/A,FALSE,"MR-IS 1(3)";"MRBS2",#N/A,FALSE,"MR-BS 2(3)";"MRBS3",#N/A,FALSE,"MR-BS 3(3)"}</definedName>
    <definedName name="wrn.MR._1_2_1_3_1" hidden="1">{"MRIS",#N/A,FALSE,"MR-IS 1(3)";"MRBS2",#N/A,FALSE,"MR-BS 2(3)";"MRBS3",#N/A,FALSE,"MR-BS 3(3)"}</definedName>
    <definedName name="wrn.MR._1_2_1_3_1_1" hidden="1">{"MRIS",#N/A,FALSE,"MR-IS 1(3)";"MRBS2",#N/A,FALSE,"MR-BS 2(3)";"MRBS3",#N/A,FALSE,"MR-BS 3(3)"}</definedName>
    <definedName name="wrn.MR._1_2_1_3_1_1_1" hidden="1">{"MRIS",#N/A,FALSE,"MR-IS 1(3)";"MRBS2",#N/A,FALSE,"MR-BS 2(3)";"MRBS3",#N/A,FALSE,"MR-BS 3(3)"}</definedName>
    <definedName name="wrn.MR._1_2_1_3_1_1_1_1" hidden="1">{"MRIS",#N/A,FALSE,"MR-IS 1(3)";"MRBS2",#N/A,FALSE,"MR-BS 2(3)";"MRBS3",#N/A,FALSE,"MR-BS 3(3)"}</definedName>
    <definedName name="wrn.MR._1_2_1_3_1_2" hidden="1">{"MRIS",#N/A,FALSE,"MR-IS 1(3)";"MRBS2",#N/A,FALSE,"MR-BS 2(3)";"MRBS3",#N/A,FALSE,"MR-BS 3(3)"}</definedName>
    <definedName name="wrn.MR._1_2_1_3_2" hidden="1">{"MRIS",#N/A,FALSE,"MR-IS 1(3)";"MRBS2",#N/A,FALSE,"MR-BS 2(3)";"MRBS3",#N/A,FALSE,"MR-BS 3(3)"}</definedName>
    <definedName name="wrn.MR._1_2_1_3_2_1" hidden="1">{"MRIS",#N/A,FALSE,"MR-IS 1(3)";"MRBS2",#N/A,FALSE,"MR-BS 2(3)";"MRBS3",#N/A,FALSE,"MR-BS 3(3)"}</definedName>
    <definedName name="wrn.MR._1_2_1_4" hidden="1">{"MRIS",#N/A,FALSE,"MR-IS 1(3)";"MRBS2",#N/A,FALSE,"MR-BS 2(3)";"MRBS3",#N/A,FALSE,"MR-BS 3(3)"}</definedName>
    <definedName name="wrn.MR._1_2_1_4_1" hidden="1">{"MRIS",#N/A,FALSE,"MR-IS 1(3)";"MRBS2",#N/A,FALSE,"MR-BS 2(3)";"MRBS3",#N/A,FALSE,"MR-BS 3(3)"}</definedName>
    <definedName name="wrn.MR._1_2_1_4_1_1" hidden="1">{"MRIS",#N/A,FALSE,"MR-IS 1(3)";"MRBS2",#N/A,FALSE,"MR-BS 2(3)";"MRBS3",#N/A,FALSE,"MR-BS 3(3)"}</definedName>
    <definedName name="wrn.MR._1_2_1_5" hidden="1">{"MRIS",#N/A,FALSE,"MR-IS 1(3)";"MRBS2",#N/A,FALSE,"MR-BS 2(3)";"MRBS3",#N/A,FALSE,"MR-BS 3(3)"}</definedName>
    <definedName name="wrn.MR._1_2_2" hidden="1">{"MRIS",#N/A,FALSE,"MR-IS 1(3)";"MRBS2",#N/A,FALSE,"MR-BS 2(3)";"MRBS3",#N/A,FALSE,"MR-BS 3(3)"}</definedName>
    <definedName name="wrn.MR._1_2_2_1" hidden="1">{"MRIS",#N/A,FALSE,"MR-IS 1(3)";"MRBS2",#N/A,FALSE,"MR-BS 2(3)";"MRBS3",#N/A,FALSE,"MR-BS 3(3)"}</definedName>
    <definedName name="wrn.MR._1_2_2_1_1" hidden="1">{"MRIS",#N/A,FALSE,"MR-IS 1(3)";"MRBS2",#N/A,FALSE,"MR-BS 2(3)";"MRBS3",#N/A,FALSE,"MR-BS 3(3)"}</definedName>
    <definedName name="wrn.MR._1_2_2_1_1_1" hidden="1">{"MRIS",#N/A,FALSE,"MR-IS 1(3)";"MRBS2",#N/A,FALSE,"MR-BS 2(3)";"MRBS3",#N/A,FALSE,"MR-BS 3(3)"}</definedName>
    <definedName name="wrn.MR._1_2_2_1_1_1_1" hidden="1">{"MRIS",#N/A,FALSE,"MR-IS 1(3)";"MRBS2",#N/A,FALSE,"MR-BS 2(3)";"MRBS3",#N/A,FALSE,"MR-BS 3(3)"}</definedName>
    <definedName name="wrn.MR._1_2_2_1_1_1_1_1" hidden="1">{"MRIS",#N/A,FALSE,"MR-IS 1(3)";"MRBS2",#N/A,FALSE,"MR-BS 2(3)";"MRBS3",#N/A,FALSE,"MR-BS 3(3)"}</definedName>
    <definedName name="wrn.MR._1_2_2_1_1_2" hidden="1">{"MRIS",#N/A,FALSE,"MR-IS 1(3)";"MRBS2",#N/A,FALSE,"MR-BS 2(3)";"MRBS3",#N/A,FALSE,"MR-BS 3(3)"}</definedName>
    <definedName name="wrn.MR._1_2_2_1_2" hidden="1">{"MRIS",#N/A,FALSE,"MR-IS 1(3)";"MRBS2",#N/A,FALSE,"MR-BS 2(3)";"MRBS3",#N/A,FALSE,"MR-BS 3(3)"}</definedName>
    <definedName name="wrn.MR._1_2_2_1_2_1" hidden="1">{"MRIS",#N/A,FALSE,"MR-IS 1(3)";"MRBS2",#N/A,FALSE,"MR-BS 2(3)";"MRBS3",#N/A,FALSE,"MR-BS 3(3)"}</definedName>
    <definedName name="wrn.MR._1_2_2_2" hidden="1">{"MRIS",#N/A,FALSE,"MR-IS 1(3)";"MRBS2",#N/A,FALSE,"MR-BS 2(3)";"MRBS3",#N/A,FALSE,"MR-BS 3(3)"}</definedName>
    <definedName name="wrn.MR._1_2_2_2_1" hidden="1">{"MRIS",#N/A,FALSE,"MR-IS 1(3)";"MRBS2",#N/A,FALSE,"MR-BS 2(3)";"MRBS3",#N/A,FALSE,"MR-BS 3(3)"}</definedName>
    <definedName name="wrn.MR._1_2_2_2_1_1" hidden="1">{"MRIS",#N/A,FALSE,"MR-IS 1(3)";"MRBS2",#N/A,FALSE,"MR-BS 2(3)";"MRBS3",#N/A,FALSE,"MR-BS 3(3)"}</definedName>
    <definedName name="wrn.MR._1_2_2_2_1_1_1" hidden="1">{"MRIS",#N/A,FALSE,"MR-IS 1(3)";"MRBS2",#N/A,FALSE,"MR-BS 2(3)";"MRBS3",#N/A,FALSE,"MR-BS 3(3)"}</definedName>
    <definedName name="wrn.MR._1_2_2_2_2" hidden="1">{"MRIS",#N/A,FALSE,"MR-IS 1(3)";"MRBS2",#N/A,FALSE,"MR-BS 2(3)";"MRBS3",#N/A,FALSE,"MR-BS 3(3)"}</definedName>
    <definedName name="wrn.MR._1_2_2_3" hidden="1">{"MRIS",#N/A,FALSE,"MR-IS 1(3)";"MRBS2",#N/A,FALSE,"MR-BS 2(3)";"MRBS3",#N/A,FALSE,"MR-BS 3(3)"}</definedName>
    <definedName name="wrn.MR._1_2_2_3_1" hidden="1">{"MRIS",#N/A,FALSE,"MR-IS 1(3)";"MRBS2",#N/A,FALSE,"MR-BS 2(3)";"MRBS3",#N/A,FALSE,"MR-BS 3(3)"}</definedName>
    <definedName name="wrn.MR._1_2_2_3_1_1" hidden="1">{"MRIS",#N/A,FALSE,"MR-IS 1(3)";"MRBS2",#N/A,FALSE,"MR-BS 2(3)";"MRBS3",#N/A,FALSE,"MR-BS 3(3)"}</definedName>
    <definedName name="wrn.MR._1_2_2_4" hidden="1">{"MRIS",#N/A,FALSE,"MR-IS 1(3)";"MRBS2",#N/A,FALSE,"MR-BS 2(3)";"MRBS3",#N/A,FALSE,"MR-BS 3(3)"}</definedName>
    <definedName name="wrn.MR._1_2_3" hidden="1">{"MRIS",#N/A,FALSE,"MR-IS 1(3)";"MRBS2",#N/A,FALSE,"MR-BS 2(3)";"MRBS3",#N/A,FALSE,"MR-BS 3(3)"}</definedName>
    <definedName name="wrn.MR._1_2_3_1" hidden="1">{"MRIS",#N/A,FALSE,"MR-IS 1(3)";"MRBS2",#N/A,FALSE,"MR-BS 2(3)";"MRBS3",#N/A,FALSE,"MR-BS 3(3)"}</definedName>
    <definedName name="wrn.MR._1_2_3_1_1" hidden="1">{"MRIS",#N/A,FALSE,"MR-IS 1(3)";"MRBS2",#N/A,FALSE,"MR-BS 2(3)";"MRBS3",#N/A,FALSE,"MR-BS 3(3)"}</definedName>
    <definedName name="wrn.MR._1_2_3_1_1_1" hidden="1">{"MRIS",#N/A,FALSE,"MR-IS 1(3)";"MRBS2",#N/A,FALSE,"MR-BS 2(3)";"MRBS3",#N/A,FALSE,"MR-BS 3(3)"}</definedName>
    <definedName name="wrn.MR._1_2_3_1_1_1_1" hidden="1">{"MRIS",#N/A,FALSE,"MR-IS 1(3)";"MRBS2",#N/A,FALSE,"MR-BS 2(3)";"MRBS3",#N/A,FALSE,"MR-BS 3(3)"}</definedName>
    <definedName name="wrn.MR._1_2_3_1_2" hidden="1">{"MRIS",#N/A,FALSE,"MR-IS 1(3)";"MRBS2",#N/A,FALSE,"MR-BS 2(3)";"MRBS3",#N/A,FALSE,"MR-BS 3(3)"}</definedName>
    <definedName name="wrn.MR._1_2_3_2" hidden="1">{"MRIS",#N/A,FALSE,"MR-IS 1(3)";"MRBS2",#N/A,FALSE,"MR-BS 2(3)";"MRBS3",#N/A,FALSE,"MR-BS 3(3)"}</definedName>
    <definedName name="wrn.MR._1_2_3_2_1" hidden="1">{"MRIS",#N/A,FALSE,"MR-IS 1(3)";"MRBS2",#N/A,FALSE,"MR-BS 2(3)";"MRBS3",#N/A,FALSE,"MR-BS 3(3)"}</definedName>
    <definedName name="wrn.MR._1_2_4" hidden="1">{"MRIS",#N/A,FALSE,"MR-IS 1(3)";"MRBS2",#N/A,FALSE,"MR-BS 2(3)";"MRBS3",#N/A,FALSE,"MR-BS 3(3)"}</definedName>
    <definedName name="wrn.MR._1_2_4_1" hidden="1">{"MRIS",#N/A,FALSE,"MR-IS 1(3)";"MRBS2",#N/A,FALSE,"MR-BS 2(3)";"MRBS3",#N/A,FALSE,"MR-BS 3(3)"}</definedName>
    <definedName name="wrn.MR._1_2_4_1_1" hidden="1">{"MRIS",#N/A,FALSE,"MR-IS 1(3)";"MRBS2",#N/A,FALSE,"MR-BS 2(3)";"MRBS3",#N/A,FALSE,"MR-BS 3(3)"}</definedName>
    <definedName name="wrn.MR._1_2_5" hidden="1">{"MRIS",#N/A,FALSE,"MR-IS 1(3)";"MRBS2",#N/A,FALSE,"MR-BS 2(3)";"MRBS3",#N/A,FALSE,"MR-BS 3(3)"}</definedName>
    <definedName name="wrn.MR._1_3" hidden="1">{"MRIS",#N/A,FALSE,"MR-IS 1(3)";"MRBS2",#N/A,FALSE,"MR-BS 2(3)";"MRBS3",#N/A,FALSE,"MR-BS 3(3)"}</definedName>
    <definedName name="wrn.MR._1_3_1" hidden="1">{"MRIS",#N/A,FALSE,"MR-IS 1(3)";"MRBS2",#N/A,FALSE,"MR-BS 2(3)";"MRBS3",#N/A,FALSE,"MR-BS 3(3)"}</definedName>
    <definedName name="wrn.MR._1_3_1_1" hidden="1">{"MRIS",#N/A,FALSE,"MR-IS 1(3)";"MRBS2",#N/A,FALSE,"MR-BS 2(3)";"MRBS3",#N/A,FALSE,"MR-BS 3(3)"}</definedName>
    <definedName name="wrn.MR._1_3_1_1_1" hidden="1">{"MRIS",#N/A,FALSE,"MR-IS 1(3)";"MRBS2",#N/A,FALSE,"MR-BS 2(3)";"MRBS3",#N/A,FALSE,"MR-BS 3(3)"}</definedName>
    <definedName name="wrn.MR._1_3_1_1_1_1" hidden="1">{"MRIS",#N/A,FALSE,"MR-IS 1(3)";"MRBS2",#N/A,FALSE,"MR-BS 2(3)";"MRBS3",#N/A,FALSE,"MR-BS 3(3)"}</definedName>
    <definedName name="wrn.MR._1_3_1_1_1_1_1" hidden="1">{"MRIS",#N/A,FALSE,"MR-IS 1(3)";"MRBS2",#N/A,FALSE,"MR-BS 2(3)";"MRBS3",#N/A,FALSE,"MR-BS 3(3)"}</definedName>
    <definedName name="wrn.MR._1_3_1_1_1_1_1_1" hidden="1">{"MRIS",#N/A,FALSE,"MR-IS 1(3)";"MRBS2",#N/A,FALSE,"MR-BS 2(3)";"MRBS3",#N/A,FALSE,"MR-BS 3(3)"}</definedName>
    <definedName name="wrn.MR._1_3_1_1_1_2" hidden="1">{"MRIS",#N/A,FALSE,"MR-IS 1(3)";"MRBS2",#N/A,FALSE,"MR-BS 2(3)";"MRBS3",#N/A,FALSE,"MR-BS 3(3)"}</definedName>
    <definedName name="wrn.MR._1_3_1_1_2" hidden="1">{"MRIS",#N/A,FALSE,"MR-IS 1(3)";"MRBS2",#N/A,FALSE,"MR-BS 2(3)";"MRBS3",#N/A,FALSE,"MR-BS 3(3)"}</definedName>
    <definedName name="wrn.MR._1_3_1_1_2_1" hidden="1">{"MRIS",#N/A,FALSE,"MR-IS 1(3)";"MRBS2",#N/A,FALSE,"MR-BS 2(3)";"MRBS3",#N/A,FALSE,"MR-BS 3(3)"}</definedName>
    <definedName name="wrn.MR._1_3_1_2" hidden="1">{"MRIS",#N/A,FALSE,"MR-IS 1(3)";"MRBS2",#N/A,FALSE,"MR-BS 2(3)";"MRBS3",#N/A,FALSE,"MR-BS 3(3)"}</definedName>
    <definedName name="wrn.MR._1_3_1_2_1" hidden="1">{"MRIS",#N/A,FALSE,"MR-IS 1(3)";"MRBS2",#N/A,FALSE,"MR-BS 2(3)";"MRBS3",#N/A,FALSE,"MR-BS 3(3)"}</definedName>
    <definedName name="wrn.MR._1_3_1_2_1_1" hidden="1">{"MRIS",#N/A,FALSE,"MR-IS 1(3)";"MRBS2",#N/A,FALSE,"MR-BS 2(3)";"MRBS3",#N/A,FALSE,"MR-BS 3(3)"}</definedName>
    <definedName name="wrn.MR._1_3_1_2_1_1_1" hidden="1">{"MRIS",#N/A,FALSE,"MR-IS 1(3)";"MRBS2",#N/A,FALSE,"MR-BS 2(3)";"MRBS3",#N/A,FALSE,"MR-BS 3(3)"}</definedName>
    <definedName name="wrn.MR._1_3_1_2_2" hidden="1">{"MRIS",#N/A,FALSE,"MR-IS 1(3)";"MRBS2",#N/A,FALSE,"MR-BS 2(3)";"MRBS3",#N/A,FALSE,"MR-BS 3(3)"}</definedName>
    <definedName name="wrn.MR._1_3_1_3" hidden="1">{"MRIS",#N/A,FALSE,"MR-IS 1(3)";"MRBS2",#N/A,FALSE,"MR-BS 2(3)";"MRBS3",#N/A,FALSE,"MR-BS 3(3)"}</definedName>
    <definedName name="wrn.MR._1_3_1_3_1" hidden="1">{"MRIS",#N/A,FALSE,"MR-IS 1(3)";"MRBS2",#N/A,FALSE,"MR-BS 2(3)";"MRBS3",#N/A,FALSE,"MR-BS 3(3)"}</definedName>
    <definedName name="wrn.MR._1_3_1_3_1_1" hidden="1">{"MRIS",#N/A,FALSE,"MR-IS 1(3)";"MRBS2",#N/A,FALSE,"MR-BS 2(3)";"MRBS3",#N/A,FALSE,"MR-BS 3(3)"}</definedName>
    <definedName name="wrn.MR._1_3_1_4" hidden="1">{"MRIS",#N/A,FALSE,"MR-IS 1(3)";"MRBS2",#N/A,FALSE,"MR-BS 2(3)";"MRBS3",#N/A,FALSE,"MR-BS 3(3)"}</definedName>
    <definedName name="wrn.MR._1_3_2" hidden="1">{"MRIS",#N/A,FALSE,"MR-IS 1(3)";"MRBS2",#N/A,FALSE,"MR-BS 2(3)";"MRBS3",#N/A,FALSE,"MR-BS 3(3)"}</definedName>
    <definedName name="wrn.MR._1_3_2_1" hidden="1">{"MRIS",#N/A,FALSE,"MR-IS 1(3)";"MRBS2",#N/A,FALSE,"MR-BS 2(3)";"MRBS3",#N/A,FALSE,"MR-BS 3(3)"}</definedName>
    <definedName name="wrn.MR._1_3_2_1_1" hidden="1">{"MRIS",#N/A,FALSE,"MR-IS 1(3)";"MRBS2",#N/A,FALSE,"MR-BS 2(3)";"MRBS3",#N/A,FALSE,"MR-BS 3(3)"}</definedName>
    <definedName name="wrn.MR._1_3_2_1_1_1" hidden="1">{"MRIS",#N/A,FALSE,"MR-IS 1(3)";"MRBS2",#N/A,FALSE,"MR-BS 2(3)";"MRBS3",#N/A,FALSE,"MR-BS 3(3)"}</definedName>
    <definedName name="wrn.MR._1_3_2_1_1_1_1" hidden="1">{"MRIS",#N/A,FALSE,"MR-IS 1(3)";"MRBS2",#N/A,FALSE,"MR-BS 2(3)";"MRBS3",#N/A,FALSE,"MR-BS 3(3)"}</definedName>
    <definedName name="wrn.MR._1_3_2_1_2" hidden="1">{"MRIS",#N/A,FALSE,"MR-IS 1(3)";"MRBS2",#N/A,FALSE,"MR-BS 2(3)";"MRBS3",#N/A,FALSE,"MR-BS 3(3)"}</definedName>
    <definedName name="wrn.MR._1_3_2_2" hidden="1">{"MRIS",#N/A,FALSE,"MR-IS 1(3)";"MRBS2",#N/A,FALSE,"MR-BS 2(3)";"MRBS3",#N/A,FALSE,"MR-BS 3(3)"}</definedName>
    <definedName name="wrn.MR._1_3_2_2_1" hidden="1">{"MRIS",#N/A,FALSE,"MR-IS 1(3)";"MRBS2",#N/A,FALSE,"MR-BS 2(3)";"MRBS3",#N/A,FALSE,"MR-BS 3(3)"}</definedName>
    <definedName name="wrn.MR._1_3_3" hidden="1">{"MRIS",#N/A,FALSE,"MR-IS 1(3)";"MRBS2",#N/A,FALSE,"MR-BS 2(3)";"MRBS3",#N/A,FALSE,"MR-BS 3(3)"}</definedName>
    <definedName name="wrn.MR._1_3_3_1" hidden="1">{"MRIS",#N/A,FALSE,"MR-IS 1(3)";"MRBS2",#N/A,FALSE,"MR-BS 2(3)";"MRBS3",#N/A,FALSE,"MR-BS 3(3)"}</definedName>
    <definedName name="wrn.MR._1_3_3_1_1" hidden="1">{"MRIS",#N/A,FALSE,"MR-IS 1(3)";"MRBS2",#N/A,FALSE,"MR-BS 2(3)";"MRBS3",#N/A,FALSE,"MR-BS 3(3)"}</definedName>
    <definedName name="wrn.MR._1_3_4" hidden="1">{"MRIS",#N/A,FALSE,"MR-IS 1(3)";"MRBS2",#N/A,FALSE,"MR-BS 2(3)";"MRBS3",#N/A,FALSE,"MR-BS 3(3)"}</definedName>
    <definedName name="wrn.MR._1_4" hidden="1">{"MRIS",#N/A,FALSE,"MR-IS 1(3)";"MRBS2",#N/A,FALSE,"MR-BS 2(3)";"MRBS3",#N/A,FALSE,"MR-BS 3(3)"}</definedName>
    <definedName name="wrn.MR._1_4_1" hidden="1">{"MRIS",#N/A,FALSE,"MR-IS 1(3)";"MRBS2",#N/A,FALSE,"MR-BS 2(3)";"MRBS3",#N/A,FALSE,"MR-BS 3(3)"}</definedName>
    <definedName name="wrn.MR._1_4_1_1" hidden="1">{"MRIS",#N/A,FALSE,"MR-IS 1(3)";"MRBS2",#N/A,FALSE,"MR-BS 2(3)";"MRBS3",#N/A,FALSE,"MR-BS 3(3)"}</definedName>
    <definedName name="wrn.MR._1_4_1_1_1" hidden="1">{"MRIS",#N/A,FALSE,"MR-IS 1(3)";"MRBS2",#N/A,FALSE,"MR-BS 2(3)";"MRBS3",#N/A,FALSE,"MR-BS 3(3)"}</definedName>
    <definedName name="wrn.MR._1_4_1_1_1_1" hidden="1">{"MRIS",#N/A,FALSE,"MR-IS 1(3)";"MRBS2",#N/A,FALSE,"MR-BS 2(3)";"MRBS3",#N/A,FALSE,"MR-BS 3(3)"}</definedName>
    <definedName name="wrn.MR._1_4_1_1_1_1_1" hidden="1">{"MRIS",#N/A,FALSE,"MR-IS 1(3)";"MRBS2",#N/A,FALSE,"MR-BS 2(3)";"MRBS3",#N/A,FALSE,"MR-BS 3(3)"}</definedName>
    <definedName name="wrn.MR._1_4_1_1_2" hidden="1">{"MRIS",#N/A,FALSE,"MR-IS 1(3)";"MRBS2",#N/A,FALSE,"MR-BS 2(3)";"MRBS3",#N/A,FALSE,"MR-BS 3(3)"}</definedName>
    <definedName name="wrn.MR._1_4_1_2" hidden="1">{"MRIS",#N/A,FALSE,"MR-IS 1(3)";"MRBS2",#N/A,FALSE,"MR-BS 2(3)";"MRBS3",#N/A,FALSE,"MR-BS 3(3)"}</definedName>
    <definedName name="wrn.MR._1_4_1_2_1" hidden="1">{"MRIS",#N/A,FALSE,"MR-IS 1(3)";"MRBS2",#N/A,FALSE,"MR-BS 2(3)";"MRBS3",#N/A,FALSE,"MR-BS 3(3)"}</definedName>
    <definedName name="wrn.MR._1_4_2" hidden="1">{"MRIS",#N/A,FALSE,"MR-IS 1(3)";"MRBS2",#N/A,FALSE,"MR-BS 2(3)";"MRBS3",#N/A,FALSE,"MR-BS 3(3)"}</definedName>
    <definedName name="wrn.MR._1_4_2_1" hidden="1">{"MRIS",#N/A,FALSE,"MR-IS 1(3)";"MRBS2",#N/A,FALSE,"MR-BS 2(3)";"MRBS3",#N/A,FALSE,"MR-BS 3(3)"}</definedName>
    <definedName name="wrn.MR._1_4_2_1_1" hidden="1">{"MRIS",#N/A,FALSE,"MR-IS 1(3)";"MRBS2",#N/A,FALSE,"MR-BS 2(3)";"MRBS3",#N/A,FALSE,"MR-BS 3(3)"}</definedName>
    <definedName name="wrn.MR._1_4_2_1_1_1" hidden="1">{"MRIS",#N/A,FALSE,"MR-IS 1(3)";"MRBS2",#N/A,FALSE,"MR-BS 2(3)";"MRBS3",#N/A,FALSE,"MR-BS 3(3)"}</definedName>
    <definedName name="wrn.MR._1_4_2_2" hidden="1">{"MRIS",#N/A,FALSE,"MR-IS 1(3)";"MRBS2",#N/A,FALSE,"MR-BS 2(3)";"MRBS3",#N/A,FALSE,"MR-BS 3(3)"}</definedName>
    <definedName name="wrn.MR._1_4_3" hidden="1">{"MRIS",#N/A,FALSE,"MR-IS 1(3)";"MRBS2",#N/A,FALSE,"MR-BS 2(3)";"MRBS3",#N/A,FALSE,"MR-BS 3(3)"}</definedName>
    <definedName name="wrn.MR._1_4_3_1" hidden="1">{"MRIS",#N/A,FALSE,"MR-IS 1(3)";"MRBS2",#N/A,FALSE,"MR-BS 2(3)";"MRBS3",#N/A,FALSE,"MR-BS 3(3)"}</definedName>
    <definedName name="wrn.MR._1_4_3_1_1" hidden="1">{"MRIS",#N/A,FALSE,"MR-IS 1(3)";"MRBS2",#N/A,FALSE,"MR-BS 2(3)";"MRBS3",#N/A,FALSE,"MR-BS 3(3)"}</definedName>
    <definedName name="wrn.MR._1_4_4" hidden="1">{"MRIS",#N/A,FALSE,"MR-IS 1(3)";"MRBS2",#N/A,FALSE,"MR-BS 2(3)";"MRBS3",#N/A,FALSE,"MR-BS 3(3)"}</definedName>
    <definedName name="wrn.MR._1_5" hidden="1">{"MRIS",#N/A,FALSE,"MR-IS 1(3)";"MRBS2",#N/A,FALSE,"MR-BS 2(3)";"MRBS3",#N/A,FALSE,"MR-BS 3(3)"}</definedName>
    <definedName name="wrn.MR._1_5_1" hidden="1">{"MRIS",#N/A,FALSE,"MR-IS 1(3)";"MRBS2",#N/A,FALSE,"MR-BS 2(3)";"MRBS3",#N/A,FALSE,"MR-BS 3(3)"}</definedName>
    <definedName name="wrn.MR._1_5_1_1" hidden="1">{"MRIS",#N/A,FALSE,"MR-IS 1(3)";"MRBS2",#N/A,FALSE,"MR-BS 2(3)";"MRBS3",#N/A,FALSE,"MR-BS 3(3)"}</definedName>
    <definedName name="wrn.MR._1_5_1_1_1" hidden="1">{"MRIS",#N/A,FALSE,"MR-IS 1(3)";"MRBS2",#N/A,FALSE,"MR-BS 2(3)";"MRBS3",#N/A,FALSE,"MR-BS 3(3)"}</definedName>
    <definedName name="wrn.MR._1_5_1_1_1_1" hidden="1">{"MRIS",#N/A,FALSE,"MR-IS 1(3)";"MRBS2",#N/A,FALSE,"MR-BS 2(3)";"MRBS3",#N/A,FALSE,"MR-BS 3(3)"}</definedName>
    <definedName name="wrn.MR._1_5_1_2" hidden="1">{"MRIS",#N/A,FALSE,"MR-IS 1(3)";"MRBS2",#N/A,FALSE,"MR-BS 2(3)";"MRBS3",#N/A,FALSE,"MR-BS 3(3)"}</definedName>
    <definedName name="wrn.MR._1_5_2" hidden="1">{"MRIS",#N/A,FALSE,"MR-IS 1(3)";"MRBS2",#N/A,FALSE,"MR-BS 2(3)";"MRBS3",#N/A,FALSE,"MR-BS 3(3)"}</definedName>
    <definedName name="wrn.MR._1_5_2_1" hidden="1">{"MRIS",#N/A,FALSE,"MR-IS 1(3)";"MRBS2",#N/A,FALSE,"MR-BS 2(3)";"MRBS3",#N/A,FALSE,"MR-BS 3(3)"}</definedName>
    <definedName name="wrn.MR._2" hidden="1">{"MRIS",#N/A,FALSE,"MR-IS 1(3)";"MRBS2",#N/A,FALSE,"MR-BS 2(3)";"MRBS3",#N/A,FALSE,"MR-BS 3(3)"}</definedName>
    <definedName name="wrn.MR._2_1" hidden="1">{"MRIS",#N/A,FALSE,"MR-IS 1(3)";"MRBS2",#N/A,FALSE,"MR-BS 2(3)";"MRBS3",#N/A,FALSE,"MR-BS 3(3)"}</definedName>
    <definedName name="wrn.MR._2_1_1" hidden="1">{"MRIS",#N/A,FALSE,"MR-IS 1(3)";"MRBS2",#N/A,FALSE,"MR-BS 2(3)";"MRBS3",#N/A,FALSE,"MR-BS 3(3)"}</definedName>
    <definedName name="wrn.MR._2_1_1_1" hidden="1">{"MRIS",#N/A,FALSE,"MR-IS 1(3)";"MRBS2",#N/A,FALSE,"MR-BS 2(3)";"MRBS3",#N/A,FALSE,"MR-BS 3(3)"}</definedName>
    <definedName name="wrn.MR._2_1_1_1_1" hidden="1">{"MRIS",#N/A,FALSE,"MR-IS 1(3)";"MRBS2",#N/A,FALSE,"MR-BS 2(3)";"MRBS3",#N/A,FALSE,"MR-BS 3(3)"}</definedName>
    <definedName name="wrn.MR._2_1_1_1_1_1" hidden="1">{"MRIS",#N/A,FALSE,"MR-IS 1(3)";"MRBS2",#N/A,FALSE,"MR-BS 2(3)";"MRBS3",#N/A,FALSE,"MR-BS 3(3)"}</definedName>
    <definedName name="wrn.MR._2_1_1_1_1_1_1" hidden="1">{"MRIS",#N/A,FALSE,"MR-IS 1(3)";"MRBS2",#N/A,FALSE,"MR-BS 2(3)";"MRBS3",#N/A,FALSE,"MR-BS 3(3)"}</definedName>
    <definedName name="wrn.MR._2_1_1_1_1_1_1_1" hidden="1">{"MRIS",#N/A,FALSE,"MR-IS 1(3)";"MRBS2",#N/A,FALSE,"MR-BS 2(3)";"MRBS3",#N/A,FALSE,"MR-BS 3(3)"}</definedName>
    <definedName name="wrn.MR._2_1_1_1_1_1_1_1_1" hidden="1">{"MRIS",#N/A,FALSE,"MR-IS 1(3)";"MRBS2",#N/A,FALSE,"MR-BS 2(3)";"MRBS3",#N/A,FALSE,"MR-BS 3(3)"}</definedName>
    <definedName name="wrn.MR._2_1_1_1_1_1_1_1_1_1" hidden="1">{"MRIS",#N/A,FALSE,"MR-IS 1(3)";"MRBS2",#N/A,FALSE,"MR-BS 2(3)";"MRBS3",#N/A,FALSE,"MR-BS 3(3)"}</definedName>
    <definedName name="wrn.MR._2_1_1_1_1_1_1_2" hidden="1">{"MRIS",#N/A,FALSE,"MR-IS 1(3)";"MRBS2",#N/A,FALSE,"MR-BS 2(3)";"MRBS3",#N/A,FALSE,"MR-BS 3(3)"}</definedName>
    <definedName name="wrn.MR._2_1_1_1_1_1_2" hidden="1">{"MRIS",#N/A,FALSE,"MR-IS 1(3)";"MRBS2",#N/A,FALSE,"MR-BS 2(3)";"MRBS3",#N/A,FALSE,"MR-BS 3(3)"}</definedName>
    <definedName name="wrn.MR._2_1_1_1_1_1_2_1" hidden="1">{"MRIS",#N/A,FALSE,"MR-IS 1(3)";"MRBS2",#N/A,FALSE,"MR-BS 2(3)";"MRBS3",#N/A,FALSE,"MR-BS 3(3)"}</definedName>
    <definedName name="wrn.MR._2_1_1_1_1_2" hidden="1">{"MRIS",#N/A,FALSE,"MR-IS 1(3)";"MRBS2",#N/A,FALSE,"MR-BS 2(3)";"MRBS3",#N/A,FALSE,"MR-BS 3(3)"}</definedName>
    <definedName name="wrn.MR._2_1_1_1_1_2_1" hidden="1">{"MRIS",#N/A,FALSE,"MR-IS 1(3)";"MRBS2",#N/A,FALSE,"MR-BS 2(3)";"MRBS3",#N/A,FALSE,"MR-BS 3(3)"}</definedName>
    <definedName name="wrn.MR._2_1_1_1_1_2_1_1" hidden="1">{"MRIS",#N/A,FALSE,"MR-IS 1(3)";"MRBS2",#N/A,FALSE,"MR-BS 2(3)";"MRBS3",#N/A,FALSE,"MR-BS 3(3)"}</definedName>
    <definedName name="wrn.MR._2_1_1_1_1_2_1_1_1" hidden="1">{"MRIS",#N/A,FALSE,"MR-IS 1(3)";"MRBS2",#N/A,FALSE,"MR-BS 2(3)";"MRBS3",#N/A,FALSE,"MR-BS 3(3)"}</definedName>
    <definedName name="wrn.MR._2_1_1_1_1_2_2" hidden="1">{"MRIS",#N/A,FALSE,"MR-IS 1(3)";"MRBS2",#N/A,FALSE,"MR-BS 2(3)";"MRBS3",#N/A,FALSE,"MR-BS 3(3)"}</definedName>
    <definedName name="wrn.MR._2_1_1_1_1_3" hidden="1">{"MRIS",#N/A,FALSE,"MR-IS 1(3)";"MRBS2",#N/A,FALSE,"MR-BS 2(3)";"MRBS3",#N/A,FALSE,"MR-BS 3(3)"}</definedName>
    <definedName name="wrn.MR._2_1_1_1_1_3_1" hidden="1">{"MRIS",#N/A,FALSE,"MR-IS 1(3)";"MRBS2",#N/A,FALSE,"MR-BS 2(3)";"MRBS3",#N/A,FALSE,"MR-BS 3(3)"}</definedName>
    <definedName name="wrn.MR._2_1_1_1_1_3_1_1" hidden="1">{"MRIS",#N/A,FALSE,"MR-IS 1(3)";"MRBS2",#N/A,FALSE,"MR-BS 2(3)";"MRBS3",#N/A,FALSE,"MR-BS 3(3)"}</definedName>
    <definedName name="wrn.MR._2_1_1_1_1_4" hidden="1">{"MRIS",#N/A,FALSE,"MR-IS 1(3)";"MRBS2",#N/A,FALSE,"MR-BS 2(3)";"MRBS3",#N/A,FALSE,"MR-BS 3(3)"}</definedName>
    <definedName name="wrn.MR._2_1_1_1_2" hidden="1">{"MRIS",#N/A,FALSE,"MR-IS 1(3)";"MRBS2",#N/A,FALSE,"MR-BS 2(3)";"MRBS3",#N/A,FALSE,"MR-BS 3(3)"}</definedName>
    <definedName name="wrn.MR._2_1_1_1_2_1" hidden="1">{"MRIS",#N/A,FALSE,"MR-IS 1(3)";"MRBS2",#N/A,FALSE,"MR-BS 2(3)";"MRBS3",#N/A,FALSE,"MR-BS 3(3)"}</definedName>
    <definedName name="wrn.MR._2_1_1_1_2_1_1" hidden="1">{"MRIS",#N/A,FALSE,"MR-IS 1(3)";"MRBS2",#N/A,FALSE,"MR-BS 2(3)";"MRBS3",#N/A,FALSE,"MR-BS 3(3)"}</definedName>
    <definedName name="wrn.MR._2_1_1_1_2_1_1_1" hidden="1">{"MRIS",#N/A,FALSE,"MR-IS 1(3)";"MRBS2",#N/A,FALSE,"MR-BS 2(3)";"MRBS3",#N/A,FALSE,"MR-BS 3(3)"}</definedName>
    <definedName name="wrn.MR._2_1_1_1_2_1_1_1_1" hidden="1">{"MRIS",#N/A,FALSE,"MR-IS 1(3)";"MRBS2",#N/A,FALSE,"MR-BS 2(3)";"MRBS3",#N/A,FALSE,"MR-BS 3(3)"}</definedName>
    <definedName name="wrn.MR._2_1_1_1_2_1_2" hidden="1">{"MRIS",#N/A,FALSE,"MR-IS 1(3)";"MRBS2",#N/A,FALSE,"MR-BS 2(3)";"MRBS3",#N/A,FALSE,"MR-BS 3(3)"}</definedName>
    <definedName name="wrn.MR._2_1_1_1_2_2" hidden="1">{"MRIS",#N/A,FALSE,"MR-IS 1(3)";"MRBS2",#N/A,FALSE,"MR-BS 2(3)";"MRBS3",#N/A,FALSE,"MR-BS 3(3)"}</definedName>
    <definedName name="wrn.MR._2_1_1_1_2_2_1" hidden="1">{"MRIS",#N/A,FALSE,"MR-IS 1(3)";"MRBS2",#N/A,FALSE,"MR-BS 2(3)";"MRBS3",#N/A,FALSE,"MR-BS 3(3)"}</definedName>
    <definedName name="wrn.MR._2_1_1_1_3" hidden="1">{"MRIS",#N/A,FALSE,"MR-IS 1(3)";"MRBS2",#N/A,FALSE,"MR-BS 2(3)";"MRBS3",#N/A,FALSE,"MR-BS 3(3)"}</definedName>
    <definedName name="wrn.MR._2_1_1_1_3_1" hidden="1">{"MRIS",#N/A,FALSE,"MR-IS 1(3)";"MRBS2",#N/A,FALSE,"MR-BS 2(3)";"MRBS3",#N/A,FALSE,"MR-BS 3(3)"}</definedName>
    <definedName name="wrn.MR._2_1_1_1_3_1_1" hidden="1">{"MRIS",#N/A,FALSE,"MR-IS 1(3)";"MRBS2",#N/A,FALSE,"MR-BS 2(3)";"MRBS3",#N/A,FALSE,"MR-BS 3(3)"}</definedName>
    <definedName name="wrn.MR._2_1_1_1_4" hidden="1">{"MRIS",#N/A,FALSE,"MR-IS 1(3)";"MRBS2",#N/A,FALSE,"MR-BS 2(3)";"MRBS3",#N/A,FALSE,"MR-BS 3(3)"}</definedName>
    <definedName name="wrn.MR._2_1_1_2" hidden="1">{"MRIS",#N/A,FALSE,"MR-IS 1(3)";"MRBS2",#N/A,FALSE,"MR-BS 2(3)";"MRBS3",#N/A,FALSE,"MR-BS 3(3)"}</definedName>
    <definedName name="wrn.MR._2_1_1_2_1" hidden="1">{"MRIS",#N/A,FALSE,"MR-IS 1(3)";"MRBS2",#N/A,FALSE,"MR-BS 2(3)";"MRBS3",#N/A,FALSE,"MR-BS 3(3)"}</definedName>
    <definedName name="wrn.MR._2_1_1_2_1_1" hidden="1">{"MRIS",#N/A,FALSE,"MR-IS 1(3)";"MRBS2",#N/A,FALSE,"MR-BS 2(3)";"MRBS3",#N/A,FALSE,"MR-BS 3(3)"}</definedName>
    <definedName name="wrn.MR._2_1_1_2_1_1_1" hidden="1">{"MRIS",#N/A,FALSE,"MR-IS 1(3)";"MRBS2",#N/A,FALSE,"MR-BS 2(3)";"MRBS3",#N/A,FALSE,"MR-BS 3(3)"}</definedName>
    <definedName name="wrn.MR._2_1_1_2_1_1_1_1" hidden="1">{"MRIS",#N/A,FALSE,"MR-IS 1(3)";"MRBS2",#N/A,FALSE,"MR-BS 2(3)";"MRBS3",#N/A,FALSE,"MR-BS 3(3)"}</definedName>
    <definedName name="wrn.MR._2_1_1_2_1_1_1_1_1" hidden="1">{"MRIS",#N/A,FALSE,"MR-IS 1(3)";"MRBS2",#N/A,FALSE,"MR-BS 2(3)";"MRBS3",#N/A,FALSE,"MR-BS 3(3)"}</definedName>
    <definedName name="wrn.MR._2_1_1_2_1_1_2" hidden="1">{"MRIS",#N/A,FALSE,"MR-IS 1(3)";"MRBS2",#N/A,FALSE,"MR-BS 2(3)";"MRBS3",#N/A,FALSE,"MR-BS 3(3)"}</definedName>
    <definedName name="wrn.MR._2_1_1_2_1_2" hidden="1">{"MRIS",#N/A,FALSE,"MR-IS 1(3)";"MRBS2",#N/A,FALSE,"MR-BS 2(3)";"MRBS3",#N/A,FALSE,"MR-BS 3(3)"}</definedName>
    <definedName name="wrn.MR._2_1_1_2_1_2_1" hidden="1">{"MRIS",#N/A,FALSE,"MR-IS 1(3)";"MRBS2",#N/A,FALSE,"MR-BS 2(3)";"MRBS3",#N/A,FALSE,"MR-BS 3(3)"}</definedName>
    <definedName name="wrn.MR._2_1_1_2_2" hidden="1">{"MRIS",#N/A,FALSE,"MR-IS 1(3)";"MRBS2",#N/A,FALSE,"MR-BS 2(3)";"MRBS3",#N/A,FALSE,"MR-BS 3(3)"}</definedName>
    <definedName name="wrn.MR._2_1_1_2_2_1" hidden="1">{"MRIS",#N/A,FALSE,"MR-IS 1(3)";"MRBS2",#N/A,FALSE,"MR-BS 2(3)";"MRBS3",#N/A,FALSE,"MR-BS 3(3)"}</definedName>
    <definedName name="wrn.MR._2_1_1_2_2_1_1" hidden="1">{"MRIS",#N/A,FALSE,"MR-IS 1(3)";"MRBS2",#N/A,FALSE,"MR-BS 2(3)";"MRBS3",#N/A,FALSE,"MR-BS 3(3)"}</definedName>
    <definedName name="wrn.MR._2_1_1_2_2_1_1_1" hidden="1">{"MRIS",#N/A,FALSE,"MR-IS 1(3)";"MRBS2",#N/A,FALSE,"MR-BS 2(3)";"MRBS3",#N/A,FALSE,"MR-BS 3(3)"}</definedName>
    <definedName name="wrn.MR._2_1_1_2_2_2" hidden="1">{"MRIS",#N/A,FALSE,"MR-IS 1(3)";"MRBS2",#N/A,FALSE,"MR-BS 2(3)";"MRBS3",#N/A,FALSE,"MR-BS 3(3)"}</definedName>
    <definedName name="wrn.MR._2_1_1_2_3" hidden="1">{"MRIS",#N/A,FALSE,"MR-IS 1(3)";"MRBS2",#N/A,FALSE,"MR-BS 2(3)";"MRBS3",#N/A,FALSE,"MR-BS 3(3)"}</definedName>
    <definedName name="wrn.MR._2_1_1_2_3_1" hidden="1">{"MRIS",#N/A,FALSE,"MR-IS 1(3)";"MRBS2",#N/A,FALSE,"MR-BS 2(3)";"MRBS3",#N/A,FALSE,"MR-BS 3(3)"}</definedName>
    <definedName name="wrn.MR._2_1_1_2_3_1_1" hidden="1">{"MRIS",#N/A,FALSE,"MR-IS 1(3)";"MRBS2",#N/A,FALSE,"MR-BS 2(3)";"MRBS3",#N/A,FALSE,"MR-BS 3(3)"}</definedName>
    <definedName name="wrn.MR._2_1_1_2_4" hidden="1">{"MRIS",#N/A,FALSE,"MR-IS 1(3)";"MRBS2",#N/A,FALSE,"MR-BS 2(3)";"MRBS3",#N/A,FALSE,"MR-BS 3(3)"}</definedName>
    <definedName name="wrn.MR._2_1_1_3" hidden="1">{"MRIS",#N/A,FALSE,"MR-IS 1(3)";"MRBS2",#N/A,FALSE,"MR-BS 2(3)";"MRBS3",#N/A,FALSE,"MR-BS 3(3)"}</definedName>
    <definedName name="wrn.MR._2_1_1_3_1" hidden="1">{"MRIS",#N/A,FALSE,"MR-IS 1(3)";"MRBS2",#N/A,FALSE,"MR-BS 2(3)";"MRBS3",#N/A,FALSE,"MR-BS 3(3)"}</definedName>
    <definedName name="wrn.MR._2_1_1_3_1_1" hidden="1">{"MRIS",#N/A,FALSE,"MR-IS 1(3)";"MRBS2",#N/A,FALSE,"MR-BS 2(3)";"MRBS3",#N/A,FALSE,"MR-BS 3(3)"}</definedName>
    <definedName name="wrn.MR._2_1_1_3_1_1_1" hidden="1">{"MRIS",#N/A,FALSE,"MR-IS 1(3)";"MRBS2",#N/A,FALSE,"MR-BS 2(3)";"MRBS3",#N/A,FALSE,"MR-BS 3(3)"}</definedName>
    <definedName name="wrn.MR._2_1_1_3_1_1_1_1" hidden="1">{"MRIS",#N/A,FALSE,"MR-IS 1(3)";"MRBS2",#N/A,FALSE,"MR-BS 2(3)";"MRBS3",#N/A,FALSE,"MR-BS 3(3)"}</definedName>
    <definedName name="wrn.MR._2_1_1_3_1_2" hidden="1">{"MRIS",#N/A,FALSE,"MR-IS 1(3)";"MRBS2",#N/A,FALSE,"MR-BS 2(3)";"MRBS3",#N/A,FALSE,"MR-BS 3(3)"}</definedName>
    <definedName name="wrn.MR._2_1_1_3_2" hidden="1">{"MRIS",#N/A,FALSE,"MR-IS 1(3)";"MRBS2",#N/A,FALSE,"MR-BS 2(3)";"MRBS3",#N/A,FALSE,"MR-BS 3(3)"}</definedName>
    <definedName name="wrn.MR._2_1_1_3_2_1" hidden="1">{"MRIS",#N/A,FALSE,"MR-IS 1(3)";"MRBS2",#N/A,FALSE,"MR-BS 2(3)";"MRBS3",#N/A,FALSE,"MR-BS 3(3)"}</definedName>
    <definedName name="wrn.MR._2_1_1_4" hidden="1">{"MRIS",#N/A,FALSE,"MR-IS 1(3)";"MRBS2",#N/A,FALSE,"MR-BS 2(3)";"MRBS3",#N/A,FALSE,"MR-BS 3(3)"}</definedName>
    <definedName name="wrn.MR._2_1_1_4_1" hidden="1">{"MRIS",#N/A,FALSE,"MR-IS 1(3)";"MRBS2",#N/A,FALSE,"MR-BS 2(3)";"MRBS3",#N/A,FALSE,"MR-BS 3(3)"}</definedName>
    <definedName name="wrn.MR._2_1_1_4_1_1" hidden="1">{"MRIS",#N/A,FALSE,"MR-IS 1(3)";"MRBS2",#N/A,FALSE,"MR-BS 2(3)";"MRBS3",#N/A,FALSE,"MR-BS 3(3)"}</definedName>
    <definedName name="wrn.MR._2_1_1_5" hidden="1">{"MRIS",#N/A,FALSE,"MR-IS 1(3)";"MRBS2",#N/A,FALSE,"MR-BS 2(3)";"MRBS3",#N/A,FALSE,"MR-BS 3(3)"}</definedName>
    <definedName name="wrn.MR._2_1_2" hidden="1">{"MRIS",#N/A,FALSE,"MR-IS 1(3)";"MRBS2",#N/A,FALSE,"MR-BS 2(3)";"MRBS3",#N/A,FALSE,"MR-BS 3(3)"}</definedName>
    <definedName name="wrn.MR._2_1_2_1" hidden="1">{"MRIS",#N/A,FALSE,"MR-IS 1(3)";"MRBS2",#N/A,FALSE,"MR-BS 2(3)";"MRBS3",#N/A,FALSE,"MR-BS 3(3)"}</definedName>
    <definedName name="wrn.MR._2_1_2_1_1" hidden="1">{"MRIS",#N/A,FALSE,"MR-IS 1(3)";"MRBS2",#N/A,FALSE,"MR-BS 2(3)";"MRBS3",#N/A,FALSE,"MR-BS 3(3)"}</definedName>
    <definedName name="wrn.MR._2_1_2_1_1_1" hidden="1">{"MRIS",#N/A,FALSE,"MR-IS 1(3)";"MRBS2",#N/A,FALSE,"MR-BS 2(3)";"MRBS3",#N/A,FALSE,"MR-BS 3(3)"}</definedName>
    <definedName name="wrn.MR._2_1_2_1_1_1_1" hidden="1">{"MRIS",#N/A,FALSE,"MR-IS 1(3)";"MRBS2",#N/A,FALSE,"MR-BS 2(3)";"MRBS3",#N/A,FALSE,"MR-BS 3(3)"}</definedName>
    <definedName name="wrn.MR._2_1_2_1_1_1_1_1" hidden="1">{"MRIS",#N/A,FALSE,"MR-IS 1(3)";"MRBS2",#N/A,FALSE,"MR-BS 2(3)";"MRBS3",#N/A,FALSE,"MR-BS 3(3)"}</definedName>
    <definedName name="wrn.MR._2_1_2_1_1_2" hidden="1">{"MRIS",#N/A,FALSE,"MR-IS 1(3)";"MRBS2",#N/A,FALSE,"MR-BS 2(3)";"MRBS3",#N/A,FALSE,"MR-BS 3(3)"}</definedName>
    <definedName name="wrn.MR._2_1_2_1_2" hidden="1">{"MRIS",#N/A,FALSE,"MR-IS 1(3)";"MRBS2",#N/A,FALSE,"MR-BS 2(3)";"MRBS3",#N/A,FALSE,"MR-BS 3(3)"}</definedName>
    <definedName name="wrn.MR._2_1_2_1_2_1" hidden="1">{"MRIS",#N/A,FALSE,"MR-IS 1(3)";"MRBS2",#N/A,FALSE,"MR-BS 2(3)";"MRBS3",#N/A,FALSE,"MR-BS 3(3)"}</definedName>
    <definedName name="wrn.MR._2_1_2_2" hidden="1">{"MRIS",#N/A,FALSE,"MR-IS 1(3)";"MRBS2",#N/A,FALSE,"MR-BS 2(3)";"MRBS3",#N/A,FALSE,"MR-BS 3(3)"}</definedName>
    <definedName name="wrn.MR._2_1_2_2_1" hidden="1">{"MRIS",#N/A,FALSE,"MR-IS 1(3)";"MRBS2",#N/A,FALSE,"MR-BS 2(3)";"MRBS3",#N/A,FALSE,"MR-BS 3(3)"}</definedName>
    <definedName name="wrn.MR._2_1_2_2_1_1" hidden="1">{"MRIS",#N/A,FALSE,"MR-IS 1(3)";"MRBS2",#N/A,FALSE,"MR-BS 2(3)";"MRBS3",#N/A,FALSE,"MR-BS 3(3)"}</definedName>
    <definedName name="wrn.MR._2_1_2_2_1_1_1" hidden="1">{"MRIS",#N/A,FALSE,"MR-IS 1(3)";"MRBS2",#N/A,FALSE,"MR-BS 2(3)";"MRBS3",#N/A,FALSE,"MR-BS 3(3)"}</definedName>
    <definedName name="wrn.MR._2_1_2_2_2" hidden="1">{"MRIS",#N/A,FALSE,"MR-IS 1(3)";"MRBS2",#N/A,FALSE,"MR-BS 2(3)";"MRBS3",#N/A,FALSE,"MR-BS 3(3)"}</definedName>
    <definedName name="wrn.MR._2_1_2_3" hidden="1">{"MRIS",#N/A,FALSE,"MR-IS 1(3)";"MRBS2",#N/A,FALSE,"MR-BS 2(3)";"MRBS3",#N/A,FALSE,"MR-BS 3(3)"}</definedName>
    <definedName name="wrn.MR._2_1_2_3_1" hidden="1">{"MRIS",#N/A,FALSE,"MR-IS 1(3)";"MRBS2",#N/A,FALSE,"MR-BS 2(3)";"MRBS3",#N/A,FALSE,"MR-BS 3(3)"}</definedName>
    <definedName name="wrn.MR._2_1_2_3_1_1" hidden="1">{"MRIS",#N/A,FALSE,"MR-IS 1(3)";"MRBS2",#N/A,FALSE,"MR-BS 2(3)";"MRBS3",#N/A,FALSE,"MR-BS 3(3)"}</definedName>
    <definedName name="wrn.MR._2_1_2_4" hidden="1">{"MRIS",#N/A,FALSE,"MR-IS 1(3)";"MRBS2",#N/A,FALSE,"MR-BS 2(3)";"MRBS3",#N/A,FALSE,"MR-BS 3(3)"}</definedName>
    <definedName name="wrn.MR._2_1_3" hidden="1">{"MRIS",#N/A,FALSE,"MR-IS 1(3)";"MRBS2",#N/A,FALSE,"MR-BS 2(3)";"MRBS3",#N/A,FALSE,"MR-BS 3(3)"}</definedName>
    <definedName name="wrn.MR._2_1_3_1" hidden="1">{"MRIS",#N/A,FALSE,"MR-IS 1(3)";"MRBS2",#N/A,FALSE,"MR-BS 2(3)";"MRBS3",#N/A,FALSE,"MR-BS 3(3)"}</definedName>
    <definedName name="wrn.MR._2_1_3_1_1" hidden="1">{"MRIS",#N/A,FALSE,"MR-IS 1(3)";"MRBS2",#N/A,FALSE,"MR-BS 2(3)";"MRBS3",#N/A,FALSE,"MR-BS 3(3)"}</definedName>
    <definedName name="wrn.MR._2_1_3_1_1_1" hidden="1">{"MRIS",#N/A,FALSE,"MR-IS 1(3)";"MRBS2",#N/A,FALSE,"MR-BS 2(3)";"MRBS3",#N/A,FALSE,"MR-BS 3(3)"}</definedName>
    <definedName name="wrn.MR._2_1_3_1_1_1_1" hidden="1">{"MRIS",#N/A,FALSE,"MR-IS 1(3)";"MRBS2",#N/A,FALSE,"MR-BS 2(3)";"MRBS3",#N/A,FALSE,"MR-BS 3(3)"}</definedName>
    <definedName name="wrn.MR._2_1_3_1_2" hidden="1">{"MRIS",#N/A,FALSE,"MR-IS 1(3)";"MRBS2",#N/A,FALSE,"MR-BS 2(3)";"MRBS3",#N/A,FALSE,"MR-BS 3(3)"}</definedName>
    <definedName name="wrn.MR._2_1_3_2" hidden="1">{"MRIS",#N/A,FALSE,"MR-IS 1(3)";"MRBS2",#N/A,FALSE,"MR-BS 2(3)";"MRBS3",#N/A,FALSE,"MR-BS 3(3)"}</definedName>
    <definedName name="wrn.MR._2_1_3_2_1" hidden="1">{"MRIS",#N/A,FALSE,"MR-IS 1(3)";"MRBS2",#N/A,FALSE,"MR-BS 2(3)";"MRBS3",#N/A,FALSE,"MR-BS 3(3)"}</definedName>
    <definedName name="wrn.MR._2_1_4" hidden="1">{"MRIS",#N/A,FALSE,"MR-IS 1(3)";"MRBS2",#N/A,FALSE,"MR-BS 2(3)";"MRBS3",#N/A,FALSE,"MR-BS 3(3)"}</definedName>
    <definedName name="wrn.MR._2_1_4_1" hidden="1">{"MRIS",#N/A,FALSE,"MR-IS 1(3)";"MRBS2",#N/A,FALSE,"MR-BS 2(3)";"MRBS3",#N/A,FALSE,"MR-BS 3(3)"}</definedName>
    <definedName name="wrn.MR._2_1_4_1_1" hidden="1">{"MRIS",#N/A,FALSE,"MR-IS 1(3)";"MRBS2",#N/A,FALSE,"MR-BS 2(3)";"MRBS3",#N/A,FALSE,"MR-BS 3(3)"}</definedName>
    <definedName name="wrn.MR._2_1_5" hidden="1">{"MRIS",#N/A,FALSE,"MR-IS 1(3)";"MRBS2",#N/A,FALSE,"MR-BS 2(3)";"MRBS3",#N/A,FALSE,"MR-BS 3(3)"}</definedName>
    <definedName name="wrn.MR._2_2" hidden="1">{"MRIS",#N/A,FALSE,"MR-IS 1(3)";"MRBS2",#N/A,FALSE,"MR-BS 2(3)";"MRBS3",#N/A,FALSE,"MR-BS 3(3)"}</definedName>
    <definedName name="wrn.MR._2_2_1" hidden="1">{"MRIS",#N/A,FALSE,"MR-IS 1(3)";"MRBS2",#N/A,FALSE,"MR-BS 2(3)";"MRBS3",#N/A,FALSE,"MR-BS 3(3)"}</definedName>
    <definedName name="wrn.MR._2_2_1_1" hidden="1">{"MRIS",#N/A,FALSE,"MR-IS 1(3)";"MRBS2",#N/A,FALSE,"MR-BS 2(3)";"MRBS3",#N/A,FALSE,"MR-BS 3(3)"}</definedName>
    <definedName name="wrn.MR._2_2_1_1_1" hidden="1">{"MRIS",#N/A,FALSE,"MR-IS 1(3)";"MRBS2",#N/A,FALSE,"MR-BS 2(3)";"MRBS3",#N/A,FALSE,"MR-BS 3(3)"}</definedName>
    <definedName name="wrn.MR._2_2_1_1_1_1" hidden="1">{"MRIS",#N/A,FALSE,"MR-IS 1(3)";"MRBS2",#N/A,FALSE,"MR-BS 2(3)";"MRBS3",#N/A,FALSE,"MR-BS 3(3)"}</definedName>
    <definedName name="wrn.MR._2_2_1_1_1_1_1" hidden="1">{"MRIS",#N/A,FALSE,"MR-IS 1(3)";"MRBS2",#N/A,FALSE,"MR-BS 2(3)";"MRBS3",#N/A,FALSE,"MR-BS 3(3)"}</definedName>
    <definedName name="wrn.MR._2_2_1_1_1_1_1_1" hidden="1">{"MRIS",#N/A,FALSE,"MR-IS 1(3)";"MRBS2",#N/A,FALSE,"MR-BS 2(3)";"MRBS3",#N/A,FALSE,"MR-BS 3(3)"}</definedName>
    <definedName name="wrn.MR._2_2_1_1_1_2" hidden="1">{"MRIS",#N/A,FALSE,"MR-IS 1(3)";"MRBS2",#N/A,FALSE,"MR-BS 2(3)";"MRBS3",#N/A,FALSE,"MR-BS 3(3)"}</definedName>
    <definedName name="wrn.MR._2_2_1_1_2" hidden="1">{"MRIS",#N/A,FALSE,"MR-IS 1(3)";"MRBS2",#N/A,FALSE,"MR-BS 2(3)";"MRBS3",#N/A,FALSE,"MR-BS 3(3)"}</definedName>
    <definedName name="wrn.MR._2_2_1_1_2_1" hidden="1">{"MRIS",#N/A,FALSE,"MR-IS 1(3)";"MRBS2",#N/A,FALSE,"MR-BS 2(3)";"MRBS3",#N/A,FALSE,"MR-BS 3(3)"}</definedName>
    <definedName name="wrn.MR._2_2_1_2" hidden="1">{"MRIS",#N/A,FALSE,"MR-IS 1(3)";"MRBS2",#N/A,FALSE,"MR-BS 2(3)";"MRBS3",#N/A,FALSE,"MR-BS 3(3)"}</definedName>
    <definedName name="wrn.MR._2_2_1_2_1" hidden="1">{"MRIS",#N/A,FALSE,"MR-IS 1(3)";"MRBS2",#N/A,FALSE,"MR-BS 2(3)";"MRBS3",#N/A,FALSE,"MR-BS 3(3)"}</definedName>
    <definedName name="wrn.MR._2_2_1_2_1_1" hidden="1">{"MRIS",#N/A,FALSE,"MR-IS 1(3)";"MRBS2",#N/A,FALSE,"MR-BS 2(3)";"MRBS3",#N/A,FALSE,"MR-BS 3(3)"}</definedName>
    <definedName name="wrn.MR._2_2_1_2_1_1_1" hidden="1">{"MRIS",#N/A,FALSE,"MR-IS 1(3)";"MRBS2",#N/A,FALSE,"MR-BS 2(3)";"MRBS3",#N/A,FALSE,"MR-BS 3(3)"}</definedName>
    <definedName name="wrn.MR._2_2_1_2_2" hidden="1">{"MRIS",#N/A,FALSE,"MR-IS 1(3)";"MRBS2",#N/A,FALSE,"MR-BS 2(3)";"MRBS3",#N/A,FALSE,"MR-BS 3(3)"}</definedName>
    <definedName name="wrn.MR._2_2_1_3" hidden="1">{"MRIS",#N/A,FALSE,"MR-IS 1(3)";"MRBS2",#N/A,FALSE,"MR-BS 2(3)";"MRBS3",#N/A,FALSE,"MR-BS 3(3)"}</definedName>
    <definedName name="wrn.MR._2_2_1_3_1" hidden="1">{"MRIS",#N/A,FALSE,"MR-IS 1(3)";"MRBS2",#N/A,FALSE,"MR-BS 2(3)";"MRBS3",#N/A,FALSE,"MR-BS 3(3)"}</definedName>
    <definedName name="wrn.MR._2_2_1_3_1_1" hidden="1">{"MRIS",#N/A,FALSE,"MR-IS 1(3)";"MRBS2",#N/A,FALSE,"MR-BS 2(3)";"MRBS3",#N/A,FALSE,"MR-BS 3(3)"}</definedName>
    <definedName name="wrn.MR._2_2_1_4" hidden="1">{"MRIS",#N/A,FALSE,"MR-IS 1(3)";"MRBS2",#N/A,FALSE,"MR-BS 2(3)";"MRBS3",#N/A,FALSE,"MR-BS 3(3)"}</definedName>
    <definedName name="wrn.MR._2_2_2" hidden="1">{"MRIS",#N/A,FALSE,"MR-IS 1(3)";"MRBS2",#N/A,FALSE,"MR-BS 2(3)";"MRBS3",#N/A,FALSE,"MR-BS 3(3)"}</definedName>
    <definedName name="wrn.MR._2_2_2_1" hidden="1">{"MRIS",#N/A,FALSE,"MR-IS 1(3)";"MRBS2",#N/A,FALSE,"MR-BS 2(3)";"MRBS3",#N/A,FALSE,"MR-BS 3(3)"}</definedName>
    <definedName name="wrn.MR._2_2_2_1_1" hidden="1">{"MRIS",#N/A,FALSE,"MR-IS 1(3)";"MRBS2",#N/A,FALSE,"MR-BS 2(3)";"MRBS3",#N/A,FALSE,"MR-BS 3(3)"}</definedName>
    <definedName name="wrn.MR._2_2_2_1_1_1" hidden="1">{"MRIS",#N/A,FALSE,"MR-IS 1(3)";"MRBS2",#N/A,FALSE,"MR-BS 2(3)";"MRBS3",#N/A,FALSE,"MR-BS 3(3)"}</definedName>
    <definedName name="wrn.MR._2_2_2_1_1_1_1" hidden="1">{"MRIS",#N/A,FALSE,"MR-IS 1(3)";"MRBS2",#N/A,FALSE,"MR-BS 2(3)";"MRBS3",#N/A,FALSE,"MR-BS 3(3)"}</definedName>
    <definedName name="wrn.MR._2_2_2_1_2" hidden="1">{"MRIS",#N/A,FALSE,"MR-IS 1(3)";"MRBS2",#N/A,FALSE,"MR-BS 2(3)";"MRBS3",#N/A,FALSE,"MR-BS 3(3)"}</definedName>
    <definedName name="wrn.MR._2_2_2_2" hidden="1">{"MRIS",#N/A,FALSE,"MR-IS 1(3)";"MRBS2",#N/A,FALSE,"MR-BS 2(3)";"MRBS3",#N/A,FALSE,"MR-BS 3(3)"}</definedName>
    <definedName name="wrn.MR._2_2_2_2_1" hidden="1">{"MRIS",#N/A,FALSE,"MR-IS 1(3)";"MRBS2",#N/A,FALSE,"MR-BS 2(3)";"MRBS3",#N/A,FALSE,"MR-BS 3(3)"}</definedName>
    <definedName name="wrn.MR._2_2_3" hidden="1">{"MRIS",#N/A,FALSE,"MR-IS 1(3)";"MRBS2",#N/A,FALSE,"MR-BS 2(3)";"MRBS3",#N/A,FALSE,"MR-BS 3(3)"}</definedName>
    <definedName name="wrn.MR._2_2_3_1" hidden="1">{"MRIS",#N/A,FALSE,"MR-IS 1(3)";"MRBS2",#N/A,FALSE,"MR-BS 2(3)";"MRBS3",#N/A,FALSE,"MR-BS 3(3)"}</definedName>
    <definedName name="wrn.MR._2_2_3_1_1" hidden="1">{"MRIS",#N/A,FALSE,"MR-IS 1(3)";"MRBS2",#N/A,FALSE,"MR-BS 2(3)";"MRBS3",#N/A,FALSE,"MR-BS 3(3)"}</definedName>
    <definedName name="wrn.MR._2_2_4" hidden="1">{"MRIS",#N/A,FALSE,"MR-IS 1(3)";"MRBS2",#N/A,FALSE,"MR-BS 2(3)";"MRBS3",#N/A,FALSE,"MR-BS 3(3)"}</definedName>
    <definedName name="wrn.MR._2_3" hidden="1">{"MRIS",#N/A,FALSE,"MR-IS 1(3)";"MRBS2",#N/A,FALSE,"MR-BS 2(3)";"MRBS3",#N/A,FALSE,"MR-BS 3(3)"}</definedName>
    <definedName name="wrn.MR._2_3_1" hidden="1">{"MRIS",#N/A,FALSE,"MR-IS 1(3)";"MRBS2",#N/A,FALSE,"MR-BS 2(3)";"MRBS3",#N/A,FALSE,"MR-BS 3(3)"}</definedName>
    <definedName name="wrn.MR._2_3_1_1" hidden="1">{"MRIS",#N/A,FALSE,"MR-IS 1(3)";"MRBS2",#N/A,FALSE,"MR-BS 2(3)";"MRBS3",#N/A,FALSE,"MR-BS 3(3)"}</definedName>
    <definedName name="wrn.MR._2_3_1_1_1" hidden="1">{"MRIS",#N/A,FALSE,"MR-IS 1(3)";"MRBS2",#N/A,FALSE,"MR-BS 2(3)";"MRBS3",#N/A,FALSE,"MR-BS 3(3)"}</definedName>
    <definedName name="wrn.MR._2_3_1_1_1_1" hidden="1">{"MRIS",#N/A,FALSE,"MR-IS 1(3)";"MRBS2",#N/A,FALSE,"MR-BS 2(3)";"MRBS3",#N/A,FALSE,"MR-BS 3(3)"}</definedName>
    <definedName name="wrn.MR._2_3_1_1_1_1_1" hidden="1">{"MRIS",#N/A,FALSE,"MR-IS 1(3)";"MRBS2",#N/A,FALSE,"MR-BS 2(3)";"MRBS3",#N/A,FALSE,"MR-BS 3(3)"}</definedName>
    <definedName name="wrn.MR._2_3_1_1_2" hidden="1">{"MRIS",#N/A,FALSE,"MR-IS 1(3)";"MRBS2",#N/A,FALSE,"MR-BS 2(3)";"MRBS3",#N/A,FALSE,"MR-BS 3(3)"}</definedName>
    <definedName name="wrn.MR._2_3_1_2" hidden="1">{"MRIS",#N/A,FALSE,"MR-IS 1(3)";"MRBS2",#N/A,FALSE,"MR-BS 2(3)";"MRBS3",#N/A,FALSE,"MR-BS 3(3)"}</definedName>
    <definedName name="wrn.MR._2_3_1_2_1" hidden="1">{"MRIS",#N/A,FALSE,"MR-IS 1(3)";"MRBS2",#N/A,FALSE,"MR-BS 2(3)";"MRBS3",#N/A,FALSE,"MR-BS 3(3)"}</definedName>
    <definedName name="wrn.MR._2_3_2" hidden="1">{"MRIS",#N/A,FALSE,"MR-IS 1(3)";"MRBS2",#N/A,FALSE,"MR-BS 2(3)";"MRBS3",#N/A,FALSE,"MR-BS 3(3)"}</definedName>
    <definedName name="wrn.MR._2_3_2_1" hidden="1">{"MRIS",#N/A,FALSE,"MR-IS 1(3)";"MRBS2",#N/A,FALSE,"MR-BS 2(3)";"MRBS3",#N/A,FALSE,"MR-BS 3(3)"}</definedName>
    <definedName name="wrn.MR._2_3_2_1_1" hidden="1">{"MRIS",#N/A,FALSE,"MR-IS 1(3)";"MRBS2",#N/A,FALSE,"MR-BS 2(3)";"MRBS3",#N/A,FALSE,"MR-BS 3(3)"}</definedName>
    <definedName name="wrn.MR._2_3_2_1_1_1" hidden="1">{"MRIS",#N/A,FALSE,"MR-IS 1(3)";"MRBS2",#N/A,FALSE,"MR-BS 2(3)";"MRBS3",#N/A,FALSE,"MR-BS 3(3)"}</definedName>
    <definedName name="wrn.MR._2_3_2_2" hidden="1">{"MRIS",#N/A,FALSE,"MR-IS 1(3)";"MRBS2",#N/A,FALSE,"MR-BS 2(3)";"MRBS3",#N/A,FALSE,"MR-BS 3(3)"}</definedName>
    <definedName name="wrn.MR._2_3_3" hidden="1">{"MRIS",#N/A,FALSE,"MR-IS 1(3)";"MRBS2",#N/A,FALSE,"MR-BS 2(3)";"MRBS3",#N/A,FALSE,"MR-BS 3(3)"}</definedName>
    <definedName name="wrn.MR._2_3_3_1" hidden="1">{"MRIS",#N/A,FALSE,"MR-IS 1(3)";"MRBS2",#N/A,FALSE,"MR-BS 2(3)";"MRBS3",#N/A,FALSE,"MR-BS 3(3)"}</definedName>
    <definedName name="wrn.MR._2_3_3_1_1" hidden="1">{"MRIS",#N/A,FALSE,"MR-IS 1(3)";"MRBS2",#N/A,FALSE,"MR-BS 2(3)";"MRBS3",#N/A,FALSE,"MR-BS 3(3)"}</definedName>
    <definedName name="wrn.MR._2_3_4" hidden="1">{"MRIS",#N/A,FALSE,"MR-IS 1(3)";"MRBS2",#N/A,FALSE,"MR-BS 2(3)";"MRBS3",#N/A,FALSE,"MR-BS 3(3)"}</definedName>
    <definedName name="wrn.MR._2_4" hidden="1">{"MRIS",#N/A,FALSE,"MR-IS 1(3)";"MRBS2",#N/A,FALSE,"MR-BS 2(3)";"MRBS3",#N/A,FALSE,"MR-BS 3(3)"}</definedName>
    <definedName name="wrn.MR._2_4_1" hidden="1">{"MRIS",#N/A,FALSE,"MR-IS 1(3)";"MRBS2",#N/A,FALSE,"MR-BS 2(3)";"MRBS3",#N/A,FALSE,"MR-BS 3(3)"}</definedName>
    <definedName name="wrn.MR._2_4_1_1" hidden="1">{"MRIS",#N/A,FALSE,"MR-IS 1(3)";"MRBS2",#N/A,FALSE,"MR-BS 2(3)";"MRBS3",#N/A,FALSE,"MR-BS 3(3)"}</definedName>
    <definedName name="wrn.MR._2_4_1_1_1" hidden="1">{"MRIS",#N/A,FALSE,"MR-IS 1(3)";"MRBS2",#N/A,FALSE,"MR-BS 2(3)";"MRBS3",#N/A,FALSE,"MR-BS 3(3)"}</definedName>
    <definedName name="wrn.MR._2_4_1_1_1_1" hidden="1">{"MRIS",#N/A,FALSE,"MR-IS 1(3)";"MRBS2",#N/A,FALSE,"MR-BS 2(3)";"MRBS3",#N/A,FALSE,"MR-BS 3(3)"}</definedName>
    <definedName name="wrn.MR._2_4_1_2" hidden="1">{"MRIS",#N/A,FALSE,"MR-IS 1(3)";"MRBS2",#N/A,FALSE,"MR-BS 2(3)";"MRBS3",#N/A,FALSE,"MR-BS 3(3)"}</definedName>
    <definedName name="wrn.MR._2_4_2" hidden="1">{"MRIS",#N/A,FALSE,"MR-IS 1(3)";"MRBS2",#N/A,FALSE,"MR-BS 2(3)";"MRBS3",#N/A,FALSE,"MR-BS 3(3)"}</definedName>
    <definedName name="wrn.MR._2_4_2_1" hidden="1">{"MRIS",#N/A,FALSE,"MR-IS 1(3)";"MRBS2",#N/A,FALSE,"MR-BS 2(3)";"MRBS3",#N/A,FALSE,"MR-BS 3(3)"}</definedName>
    <definedName name="wrn.MR._2_5" hidden="1">{"MRIS",#N/A,FALSE,"MR-IS 1(3)";"MRBS2",#N/A,FALSE,"MR-BS 2(3)";"MRBS3",#N/A,FALSE,"MR-BS 3(3)"}</definedName>
    <definedName name="wrn.MR._2_5_1" hidden="1">{"MRIS",#N/A,FALSE,"MR-IS 1(3)";"MRBS2",#N/A,FALSE,"MR-BS 2(3)";"MRBS3",#N/A,FALSE,"MR-BS 3(3)"}</definedName>
    <definedName name="wrn.MR._2_5_1_1" hidden="1">{"MRIS",#N/A,FALSE,"MR-IS 1(3)";"MRBS2",#N/A,FALSE,"MR-BS 2(3)";"MRBS3",#N/A,FALSE,"MR-BS 3(3)"}</definedName>
    <definedName name="wrn.MR._3" hidden="1">{"MRIS",#N/A,FALSE,"MR-IS 1(3)";"MRBS2",#N/A,FALSE,"MR-BS 2(3)";"MRBS3",#N/A,FALSE,"MR-BS 3(3)"}</definedName>
    <definedName name="wrn.MR._3_1" hidden="1">{"MRIS",#N/A,FALSE,"MR-IS 1(3)";"MRBS2",#N/A,FALSE,"MR-BS 2(3)";"MRBS3",#N/A,FALSE,"MR-BS 3(3)"}</definedName>
    <definedName name="wrn.MR._3_1_1" hidden="1">{"MRIS",#N/A,FALSE,"MR-IS 1(3)";"MRBS2",#N/A,FALSE,"MR-BS 2(3)";"MRBS3",#N/A,FALSE,"MR-BS 3(3)"}</definedName>
    <definedName name="wrn.MR._3_1_1_1" hidden="1">{"MRIS",#N/A,FALSE,"MR-IS 1(3)";"MRBS2",#N/A,FALSE,"MR-BS 2(3)";"MRBS3",#N/A,FALSE,"MR-BS 3(3)"}</definedName>
    <definedName name="wrn.MR._3_1_1_1_1" hidden="1">{"MRIS",#N/A,FALSE,"MR-IS 1(3)";"MRBS2",#N/A,FALSE,"MR-BS 2(3)";"MRBS3",#N/A,FALSE,"MR-BS 3(3)"}</definedName>
    <definedName name="wrn.MR._3_1_1_1_1_1" hidden="1">{"MRIS",#N/A,FALSE,"MR-IS 1(3)";"MRBS2",#N/A,FALSE,"MR-BS 2(3)";"MRBS3",#N/A,FALSE,"MR-BS 3(3)"}</definedName>
    <definedName name="wrn.MR._3_1_1_1_1_1_1" hidden="1">{"MRIS",#N/A,FALSE,"MR-IS 1(3)";"MRBS2",#N/A,FALSE,"MR-BS 2(3)";"MRBS3",#N/A,FALSE,"MR-BS 3(3)"}</definedName>
    <definedName name="wrn.MR._3_1_1_1_1_1_1_1" hidden="1">{"MRIS",#N/A,FALSE,"MR-IS 1(3)";"MRBS2",#N/A,FALSE,"MR-BS 2(3)";"MRBS3",#N/A,FALSE,"MR-BS 3(3)"}</definedName>
    <definedName name="wrn.MR._3_1_1_1_1_2" hidden="1">{"MRIS",#N/A,FALSE,"MR-IS 1(3)";"MRBS2",#N/A,FALSE,"MR-BS 2(3)";"MRBS3",#N/A,FALSE,"MR-BS 3(3)"}</definedName>
    <definedName name="wrn.MR._3_1_1_1_2" hidden="1">{"MRIS",#N/A,FALSE,"MR-IS 1(3)";"MRBS2",#N/A,FALSE,"MR-BS 2(3)";"MRBS3",#N/A,FALSE,"MR-BS 3(3)"}</definedName>
    <definedName name="wrn.MR._3_1_1_1_2_1" hidden="1">{"MRIS",#N/A,FALSE,"MR-IS 1(3)";"MRBS2",#N/A,FALSE,"MR-BS 2(3)";"MRBS3",#N/A,FALSE,"MR-BS 3(3)"}</definedName>
    <definedName name="wrn.MR._3_1_1_2" hidden="1">{"MRIS",#N/A,FALSE,"MR-IS 1(3)";"MRBS2",#N/A,FALSE,"MR-BS 2(3)";"MRBS3",#N/A,FALSE,"MR-BS 3(3)"}</definedName>
    <definedName name="wrn.MR._3_1_1_2_1" hidden="1">{"MRIS",#N/A,FALSE,"MR-IS 1(3)";"MRBS2",#N/A,FALSE,"MR-BS 2(3)";"MRBS3",#N/A,FALSE,"MR-BS 3(3)"}</definedName>
    <definedName name="wrn.MR._3_1_1_2_1_1" hidden="1">{"MRIS",#N/A,FALSE,"MR-IS 1(3)";"MRBS2",#N/A,FALSE,"MR-BS 2(3)";"MRBS3",#N/A,FALSE,"MR-BS 3(3)"}</definedName>
    <definedName name="wrn.MR._3_1_1_2_1_1_1" hidden="1">{"MRIS",#N/A,FALSE,"MR-IS 1(3)";"MRBS2",#N/A,FALSE,"MR-BS 2(3)";"MRBS3",#N/A,FALSE,"MR-BS 3(3)"}</definedName>
    <definedName name="wrn.MR._3_1_1_2_2" hidden="1">{"MRIS",#N/A,FALSE,"MR-IS 1(3)";"MRBS2",#N/A,FALSE,"MR-BS 2(3)";"MRBS3",#N/A,FALSE,"MR-BS 3(3)"}</definedName>
    <definedName name="wrn.MR._3_1_1_3" hidden="1">{"MRIS",#N/A,FALSE,"MR-IS 1(3)";"MRBS2",#N/A,FALSE,"MR-BS 2(3)";"MRBS3",#N/A,FALSE,"MR-BS 3(3)"}</definedName>
    <definedName name="wrn.MR._3_1_1_3_1" hidden="1">{"MRIS",#N/A,FALSE,"MR-IS 1(3)";"MRBS2",#N/A,FALSE,"MR-BS 2(3)";"MRBS3",#N/A,FALSE,"MR-BS 3(3)"}</definedName>
    <definedName name="wrn.MR._3_1_1_3_1_1" hidden="1">{"MRIS",#N/A,FALSE,"MR-IS 1(3)";"MRBS2",#N/A,FALSE,"MR-BS 2(3)";"MRBS3",#N/A,FALSE,"MR-BS 3(3)"}</definedName>
    <definedName name="wrn.MR._3_1_1_4" hidden="1">{"MRIS",#N/A,FALSE,"MR-IS 1(3)";"MRBS2",#N/A,FALSE,"MR-BS 2(3)";"MRBS3",#N/A,FALSE,"MR-BS 3(3)"}</definedName>
    <definedName name="wrn.MR._3_1_2" hidden="1">{"MRIS",#N/A,FALSE,"MR-IS 1(3)";"MRBS2",#N/A,FALSE,"MR-BS 2(3)";"MRBS3",#N/A,FALSE,"MR-BS 3(3)"}</definedName>
    <definedName name="wrn.MR._3_1_2_1" hidden="1">{"MRIS",#N/A,FALSE,"MR-IS 1(3)";"MRBS2",#N/A,FALSE,"MR-BS 2(3)";"MRBS3",#N/A,FALSE,"MR-BS 3(3)"}</definedName>
    <definedName name="wrn.MR._3_1_2_1_1" hidden="1">{"MRIS",#N/A,FALSE,"MR-IS 1(3)";"MRBS2",#N/A,FALSE,"MR-BS 2(3)";"MRBS3",#N/A,FALSE,"MR-BS 3(3)"}</definedName>
    <definedName name="wrn.MR._3_1_2_1_1_1" hidden="1">{"MRIS",#N/A,FALSE,"MR-IS 1(3)";"MRBS2",#N/A,FALSE,"MR-BS 2(3)";"MRBS3",#N/A,FALSE,"MR-BS 3(3)"}</definedName>
    <definedName name="wrn.MR._3_1_2_1_1_1_1" hidden="1">{"MRIS",#N/A,FALSE,"MR-IS 1(3)";"MRBS2",#N/A,FALSE,"MR-BS 2(3)";"MRBS3",#N/A,FALSE,"MR-BS 3(3)"}</definedName>
    <definedName name="wrn.MR._3_1_2_1_2" hidden="1">{"MRIS",#N/A,FALSE,"MR-IS 1(3)";"MRBS2",#N/A,FALSE,"MR-BS 2(3)";"MRBS3",#N/A,FALSE,"MR-BS 3(3)"}</definedName>
    <definedName name="wrn.MR._3_1_2_2" hidden="1">{"MRIS",#N/A,FALSE,"MR-IS 1(3)";"MRBS2",#N/A,FALSE,"MR-BS 2(3)";"MRBS3",#N/A,FALSE,"MR-BS 3(3)"}</definedName>
    <definedName name="wrn.MR._3_1_2_2_1" hidden="1">{"MRIS",#N/A,FALSE,"MR-IS 1(3)";"MRBS2",#N/A,FALSE,"MR-BS 2(3)";"MRBS3",#N/A,FALSE,"MR-BS 3(3)"}</definedName>
    <definedName name="wrn.MR._3_1_3" hidden="1">{"MRIS",#N/A,FALSE,"MR-IS 1(3)";"MRBS2",#N/A,FALSE,"MR-BS 2(3)";"MRBS3",#N/A,FALSE,"MR-BS 3(3)"}</definedName>
    <definedName name="wrn.MR._3_1_3_1" hidden="1">{"MRIS",#N/A,FALSE,"MR-IS 1(3)";"MRBS2",#N/A,FALSE,"MR-BS 2(3)";"MRBS3",#N/A,FALSE,"MR-BS 3(3)"}</definedName>
    <definedName name="wrn.MR._3_1_3_1_1" hidden="1">{"MRIS",#N/A,FALSE,"MR-IS 1(3)";"MRBS2",#N/A,FALSE,"MR-BS 2(3)";"MRBS3",#N/A,FALSE,"MR-BS 3(3)"}</definedName>
    <definedName name="wrn.MR._3_1_4" hidden="1">{"MRIS",#N/A,FALSE,"MR-IS 1(3)";"MRBS2",#N/A,FALSE,"MR-BS 2(3)";"MRBS3",#N/A,FALSE,"MR-BS 3(3)"}</definedName>
    <definedName name="wrn.MR._3_2" hidden="1">{"MRIS",#N/A,FALSE,"MR-IS 1(3)";"MRBS2",#N/A,FALSE,"MR-BS 2(3)";"MRBS3",#N/A,FALSE,"MR-BS 3(3)"}</definedName>
    <definedName name="wrn.MR._3_2_1" hidden="1">{"MRIS",#N/A,FALSE,"MR-IS 1(3)";"MRBS2",#N/A,FALSE,"MR-BS 2(3)";"MRBS3",#N/A,FALSE,"MR-BS 3(3)"}</definedName>
    <definedName name="wrn.MR._3_2_1_1" hidden="1">{"MRIS",#N/A,FALSE,"MR-IS 1(3)";"MRBS2",#N/A,FALSE,"MR-BS 2(3)";"MRBS3",#N/A,FALSE,"MR-BS 3(3)"}</definedName>
    <definedName name="wrn.MR._3_2_1_1_1" hidden="1">{"MRIS",#N/A,FALSE,"MR-IS 1(3)";"MRBS2",#N/A,FALSE,"MR-BS 2(3)";"MRBS3",#N/A,FALSE,"MR-BS 3(3)"}</definedName>
    <definedName name="wrn.MR._3_2_1_1_1_1" hidden="1">{"MRIS",#N/A,FALSE,"MR-IS 1(3)";"MRBS2",#N/A,FALSE,"MR-BS 2(3)";"MRBS3",#N/A,FALSE,"MR-BS 3(3)"}</definedName>
    <definedName name="wrn.MR._3_2_1_1_1_1_1" hidden="1">{"MRIS",#N/A,FALSE,"MR-IS 1(3)";"MRBS2",#N/A,FALSE,"MR-BS 2(3)";"MRBS3",#N/A,FALSE,"MR-BS 3(3)"}</definedName>
    <definedName name="wrn.MR._3_2_1_1_2" hidden="1">{"MRIS",#N/A,FALSE,"MR-IS 1(3)";"MRBS2",#N/A,FALSE,"MR-BS 2(3)";"MRBS3",#N/A,FALSE,"MR-BS 3(3)"}</definedName>
    <definedName name="wrn.MR._3_2_1_2" hidden="1">{"MRIS",#N/A,FALSE,"MR-IS 1(3)";"MRBS2",#N/A,FALSE,"MR-BS 2(3)";"MRBS3",#N/A,FALSE,"MR-BS 3(3)"}</definedName>
    <definedName name="wrn.MR._3_2_1_2_1" hidden="1">{"MRIS",#N/A,FALSE,"MR-IS 1(3)";"MRBS2",#N/A,FALSE,"MR-BS 2(3)";"MRBS3",#N/A,FALSE,"MR-BS 3(3)"}</definedName>
    <definedName name="wrn.MR._3_2_2" hidden="1">{"MRIS",#N/A,FALSE,"MR-IS 1(3)";"MRBS2",#N/A,FALSE,"MR-BS 2(3)";"MRBS3",#N/A,FALSE,"MR-BS 3(3)"}</definedName>
    <definedName name="wrn.MR._3_2_2_1" hidden="1">{"MRIS",#N/A,FALSE,"MR-IS 1(3)";"MRBS2",#N/A,FALSE,"MR-BS 2(3)";"MRBS3",#N/A,FALSE,"MR-BS 3(3)"}</definedName>
    <definedName name="wrn.MR._3_2_2_1_1" hidden="1">{"MRIS",#N/A,FALSE,"MR-IS 1(3)";"MRBS2",#N/A,FALSE,"MR-BS 2(3)";"MRBS3",#N/A,FALSE,"MR-BS 3(3)"}</definedName>
    <definedName name="wrn.MR._3_2_2_1_1_1" hidden="1">{"MRIS",#N/A,FALSE,"MR-IS 1(3)";"MRBS2",#N/A,FALSE,"MR-BS 2(3)";"MRBS3",#N/A,FALSE,"MR-BS 3(3)"}</definedName>
    <definedName name="wrn.MR._3_2_2_2" hidden="1">{"MRIS",#N/A,FALSE,"MR-IS 1(3)";"MRBS2",#N/A,FALSE,"MR-BS 2(3)";"MRBS3",#N/A,FALSE,"MR-BS 3(3)"}</definedName>
    <definedName name="wrn.MR._3_2_3" hidden="1">{"MRIS",#N/A,FALSE,"MR-IS 1(3)";"MRBS2",#N/A,FALSE,"MR-BS 2(3)";"MRBS3",#N/A,FALSE,"MR-BS 3(3)"}</definedName>
    <definedName name="wrn.MR._3_2_3_1" hidden="1">{"MRIS",#N/A,FALSE,"MR-IS 1(3)";"MRBS2",#N/A,FALSE,"MR-BS 2(3)";"MRBS3",#N/A,FALSE,"MR-BS 3(3)"}</definedName>
    <definedName name="wrn.MR._3_2_3_1_1" hidden="1">{"MRIS",#N/A,FALSE,"MR-IS 1(3)";"MRBS2",#N/A,FALSE,"MR-BS 2(3)";"MRBS3",#N/A,FALSE,"MR-BS 3(3)"}</definedName>
    <definedName name="wrn.MR._3_2_4" hidden="1">{"MRIS",#N/A,FALSE,"MR-IS 1(3)";"MRBS2",#N/A,FALSE,"MR-BS 2(3)";"MRBS3",#N/A,FALSE,"MR-BS 3(3)"}</definedName>
    <definedName name="wrn.MR._3_3" hidden="1">{"MRIS",#N/A,FALSE,"MR-IS 1(3)";"MRBS2",#N/A,FALSE,"MR-BS 2(3)";"MRBS3",#N/A,FALSE,"MR-BS 3(3)"}</definedName>
    <definedName name="wrn.MR._3_3_1" hidden="1">{"MRIS",#N/A,FALSE,"MR-IS 1(3)";"MRBS2",#N/A,FALSE,"MR-BS 2(3)";"MRBS3",#N/A,FALSE,"MR-BS 3(3)"}</definedName>
    <definedName name="wrn.MR._3_3_1_1" hidden="1">{"MRIS",#N/A,FALSE,"MR-IS 1(3)";"MRBS2",#N/A,FALSE,"MR-BS 2(3)";"MRBS3",#N/A,FALSE,"MR-BS 3(3)"}</definedName>
    <definedName name="wrn.MR._3_3_1_1_1" hidden="1">{"MRIS",#N/A,FALSE,"MR-IS 1(3)";"MRBS2",#N/A,FALSE,"MR-BS 2(3)";"MRBS3",#N/A,FALSE,"MR-BS 3(3)"}</definedName>
    <definedName name="wrn.MR._3_3_1_1_1_1" hidden="1">{"MRIS",#N/A,FALSE,"MR-IS 1(3)";"MRBS2",#N/A,FALSE,"MR-BS 2(3)";"MRBS3",#N/A,FALSE,"MR-BS 3(3)"}</definedName>
    <definedName name="wrn.MR._3_3_1_2" hidden="1">{"MRIS",#N/A,FALSE,"MR-IS 1(3)";"MRBS2",#N/A,FALSE,"MR-BS 2(3)";"MRBS3",#N/A,FALSE,"MR-BS 3(3)"}</definedName>
    <definedName name="wrn.MR._3_3_2" hidden="1">{"MRIS",#N/A,FALSE,"MR-IS 1(3)";"MRBS2",#N/A,FALSE,"MR-BS 2(3)";"MRBS3",#N/A,FALSE,"MR-BS 3(3)"}</definedName>
    <definedName name="wrn.MR._3_3_2_1" hidden="1">{"MRIS",#N/A,FALSE,"MR-IS 1(3)";"MRBS2",#N/A,FALSE,"MR-BS 2(3)";"MRBS3",#N/A,FALSE,"MR-BS 3(3)"}</definedName>
    <definedName name="wrn.MR._3_4" hidden="1">{"MRIS",#N/A,FALSE,"MR-IS 1(3)";"MRBS2",#N/A,FALSE,"MR-BS 2(3)";"MRBS3",#N/A,FALSE,"MR-BS 3(3)"}</definedName>
    <definedName name="wrn.MR._3_4_1" hidden="1">{"MRIS",#N/A,FALSE,"MR-IS 1(3)";"MRBS2",#N/A,FALSE,"MR-BS 2(3)";"MRBS3",#N/A,FALSE,"MR-BS 3(3)"}</definedName>
    <definedName name="wrn.MR._3_4_1_1" hidden="1">{"MRIS",#N/A,FALSE,"MR-IS 1(3)";"MRBS2",#N/A,FALSE,"MR-BS 2(3)";"MRBS3",#N/A,FALSE,"MR-BS 3(3)"}</definedName>
    <definedName name="wrn.MR._3_5" hidden="1">{"MRIS",#N/A,FALSE,"MR-IS 1(3)";"MRBS2",#N/A,FALSE,"MR-BS 2(3)";"MRBS3",#N/A,FALSE,"MR-BS 3(3)"}</definedName>
    <definedName name="wrn.MR._4" hidden="1">{"MRIS",#N/A,FALSE,"MR-IS 1(3)";"MRBS2",#N/A,FALSE,"MR-BS 2(3)";"MRBS3",#N/A,FALSE,"MR-BS 3(3)"}</definedName>
    <definedName name="wrn.MR._4_1" hidden="1">{"MRIS",#N/A,FALSE,"MR-IS 1(3)";"MRBS2",#N/A,FALSE,"MR-BS 2(3)";"MRBS3",#N/A,FALSE,"MR-BS 3(3)"}</definedName>
    <definedName name="wrn.MR._4_1_1" hidden="1">{"MRIS",#N/A,FALSE,"MR-IS 1(3)";"MRBS2",#N/A,FALSE,"MR-BS 2(3)";"MRBS3",#N/A,FALSE,"MR-BS 3(3)"}</definedName>
    <definedName name="wrn.MR._4_1_1_1" hidden="1">{"MRIS",#N/A,FALSE,"MR-IS 1(3)";"MRBS2",#N/A,FALSE,"MR-BS 2(3)";"MRBS3",#N/A,FALSE,"MR-BS 3(3)"}</definedName>
    <definedName name="wrn.MR._4_1_1_1_1" hidden="1">{"MRIS",#N/A,FALSE,"MR-IS 1(3)";"MRBS2",#N/A,FALSE,"MR-BS 2(3)";"MRBS3",#N/A,FALSE,"MR-BS 3(3)"}</definedName>
    <definedName name="wrn.MR._4_1_1_1_1_1" hidden="1">{"MRIS",#N/A,FALSE,"MR-IS 1(3)";"MRBS2",#N/A,FALSE,"MR-BS 2(3)";"MRBS3",#N/A,FALSE,"MR-BS 3(3)"}</definedName>
    <definedName name="wrn.MR._4_1_1_2" hidden="1">{"MRIS",#N/A,FALSE,"MR-IS 1(3)";"MRBS2",#N/A,FALSE,"MR-BS 2(3)";"MRBS3",#N/A,FALSE,"MR-BS 3(3)"}</definedName>
    <definedName name="wrn.MR._4_1_2" hidden="1">{"MRIS",#N/A,FALSE,"MR-IS 1(3)";"MRBS2",#N/A,FALSE,"MR-BS 2(3)";"MRBS3",#N/A,FALSE,"MR-BS 3(3)"}</definedName>
    <definedName name="wrn.MR._4_1_2_1" hidden="1">{"MRIS",#N/A,FALSE,"MR-IS 1(3)";"MRBS2",#N/A,FALSE,"MR-BS 2(3)";"MRBS3",#N/A,FALSE,"MR-BS 3(3)"}</definedName>
    <definedName name="wrn.MR._4_2" hidden="1">{"MRIS",#N/A,FALSE,"MR-IS 1(3)";"MRBS2",#N/A,FALSE,"MR-BS 2(3)";"MRBS3",#N/A,FALSE,"MR-BS 3(3)"}</definedName>
    <definedName name="wrn.MR._4_2_1" hidden="1">{"MRIS",#N/A,FALSE,"MR-IS 1(3)";"MRBS2",#N/A,FALSE,"MR-BS 2(3)";"MRBS3",#N/A,FALSE,"MR-BS 3(3)"}</definedName>
    <definedName name="wrn.MR._4_2_1_1" hidden="1">{"MRIS",#N/A,FALSE,"MR-IS 1(3)";"MRBS2",#N/A,FALSE,"MR-BS 2(3)";"MRBS3",#N/A,FALSE,"MR-BS 3(3)"}</definedName>
    <definedName name="wrn.MR._4_2_1_1_1" hidden="1">{"MRIS",#N/A,FALSE,"MR-IS 1(3)";"MRBS2",#N/A,FALSE,"MR-BS 2(3)";"MRBS3",#N/A,FALSE,"MR-BS 3(3)"}</definedName>
    <definedName name="wrn.MR._4_2_2" hidden="1">{"MRIS",#N/A,FALSE,"MR-IS 1(3)";"MRBS2",#N/A,FALSE,"MR-BS 2(3)";"MRBS3",#N/A,FALSE,"MR-BS 3(3)"}</definedName>
    <definedName name="wrn.MR._4_3" hidden="1">{"MRIS",#N/A,FALSE,"MR-IS 1(3)";"MRBS2",#N/A,FALSE,"MR-BS 2(3)";"MRBS3",#N/A,FALSE,"MR-BS 3(3)"}</definedName>
    <definedName name="wrn.MR._4_3_1" hidden="1">{"MRIS",#N/A,FALSE,"MR-IS 1(3)";"MRBS2",#N/A,FALSE,"MR-BS 2(3)";"MRBS3",#N/A,FALSE,"MR-BS 3(3)"}</definedName>
    <definedName name="wrn.MR._4_3_1_1" hidden="1">{"MRIS",#N/A,FALSE,"MR-IS 1(3)";"MRBS2",#N/A,FALSE,"MR-BS 2(3)";"MRBS3",#N/A,FALSE,"MR-BS 3(3)"}</definedName>
    <definedName name="wrn.MR._4_4" hidden="1">{"MRIS",#N/A,FALSE,"MR-IS 1(3)";"MRBS2",#N/A,FALSE,"MR-BS 2(3)";"MRBS3",#N/A,FALSE,"MR-BS 3(3)"}</definedName>
    <definedName name="wrn.MR._5" hidden="1">{"MRIS",#N/A,FALSE,"MR-IS 1(3)";"MRBS2",#N/A,FALSE,"MR-BS 2(3)";"MRBS3",#N/A,FALSE,"MR-BS 3(3)"}</definedName>
    <definedName name="wrn.MR._5_1" hidden="1">{"MRIS",#N/A,FALSE,"MR-IS 1(3)";"MRBS2",#N/A,FALSE,"MR-BS 2(3)";"MRBS3",#N/A,FALSE,"MR-BS 3(3)"}</definedName>
    <definedName name="wrn.MR._5_1_1" hidden="1">{"MRIS",#N/A,FALSE,"MR-IS 1(3)";"MRBS2",#N/A,FALSE,"MR-BS 2(3)";"MRBS3",#N/A,FALSE,"MR-BS 3(3)"}</definedName>
    <definedName name="wrn.MR._5_1_1_1" hidden="1">{"MRIS",#N/A,FALSE,"MR-IS 1(3)";"MRBS2",#N/A,FALSE,"MR-BS 2(3)";"MRBS3",#N/A,FALSE,"MR-BS 3(3)"}</definedName>
    <definedName name="wrn.MR._5_1_1_1_1" hidden="1">{"MRIS",#N/A,FALSE,"MR-IS 1(3)";"MRBS2",#N/A,FALSE,"MR-BS 2(3)";"MRBS3",#N/A,FALSE,"MR-BS 3(3)"}</definedName>
    <definedName name="wrn.MR._5_1_2" hidden="1">{"MRIS",#N/A,FALSE,"MR-IS 1(3)";"MRBS2",#N/A,FALSE,"MR-BS 2(3)";"MRBS3",#N/A,FALSE,"MR-BS 3(3)"}</definedName>
    <definedName name="wrn.MR._5_2" hidden="1">{"MRIS",#N/A,FALSE,"MR-IS 1(3)";"MRBS2",#N/A,FALSE,"MR-BS 2(3)";"MRBS3",#N/A,FALSE,"MR-BS 3(3)"}</definedName>
    <definedName name="wrn.MR._5_2_1" hidden="1">{"MRIS",#N/A,FALSE,"MR-IS 1(3)";"MRBS2",#N/A,FALSE,"MR-BS 2(3)";"MRBS3",#N/A,FALSE,"MR-BS 3(3)"}</definedName>
    <definedName name="x">#REF!</definedName>
    <definedName name="x1a">#REF!</definedName>
    <definedName name="XA.">#REF!</definedName>
    <definedName name="XAAA">#REF!</definedName>
    <definedName name="XLC">#REF!</definedName>
    <definedName name="XOI">#REF!</definedName>
    <definedName name="XX">#REF!</definedName>
    <definedName name="XXX">#REF!</definedName>
    <definedName name="yt">#REF!</definedName>
    <definedName name="YY">#REF!</definedName>
    <definedName name="yyy">#REF!</definedName>
    <definedName name="Z">#REF!</definedName>
    <definedName name="Z___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36" i="1" l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G512" i="1"/>
  <c r="F512" i="1"/>
  <c r="G511" i="1"/>
  <c r="F511" i="1"/>
  <c r="G510" i="1"/>
  <c r="F510" i="1"/>
  <c r="G509" i="1"/>
  <c r="G537" i="1" s="1"/>
  <c r="F509" i="1"/>
  <c r="H505" i="1"/>
  <c r="I505" i="1" s="1"/>
  <c r="G434" i="1"/>
  <c r="G33" i="1"/>
  <c r="G7" i="1"/>
  <c r="F513" i="1" s="1"/>
  <c r="G4" i="1"/>
  <c r="A1" i="1"/>
  <c r="F537" i="1" l="1"/>
  <c r="G504" i="1"/>
  <c r="G538" i="1" l="1"/>
</calcChain>
</file>

<file path=xl/sharedStrings.xml><?xml version="1.0" encoding="utf-8"?>
<sst xmlns="http://schemas.openxmlformats.org/spreadsheetml/2006/main" count="2508" uniqueCount="880">
  <si>
    <t>Integración:</t>
  </si>
  <si>
    <t>PLANTACIONES EN PROCESO</t>
  </si>
  <si>
    <t>Fecha</t>
  </si>
  <si>
    <t xml:space="preserve">Cifras Expresadas En Quetzales </t>
  </si>
  <si>
    <t>Fecha+A6:D1A6:D15</t>
  </si>
  <si>
    <t>Documento</t>
  </si>
  <si>
    <t>CUENTA</t>
  </si>
  <si>
    <t>Nombre</t>
  </si>
  <si>
    <t>Descripción</t>
  </si>
  <si>
    <t>Cosecha</t>
  </si>
  <si>
    <t>Valor En Libros</t>
  </si>
  <si>
    <t>ALMACIGOS Y PLANTACIONES</t>
  </si>
  <si>
    <t>Danilandia</t>
  </si>
  <si>
    <t>Valorización de cultivos según avalúo de fecha 2021</t>
  </si>
  <si>
    <t>2025-2026</t>
  </si>
  <si>
    <t>1A35E-4030877510</t>
  </si>
  <si>
    <t>MANTENIMIENTO DE VEHICULO</t>
  </si>
  <si>
    <t>NANCY MARIBELL OLIVA PORTILLO</t>
  </si>
  <si>
    <t>Juego de cables y cinta aislante</t>
  </si>
  <si>
    <t>524C8-3555869879</t>
  </si>
  <si>
    <t>DISTRIBUIDORA LA CENTRAL, S.A.</t>
  </si>
  <si>
    <t>2 paneles de 12/24v</t>
  </si>
  <si>
    <t>NT-2504001</t>
  </si>
  <si>
    <t>ADMINISTRACION DE FINCAS</t>
  </si>
  <si>
    <t>MARCO ANTONIO SOLANO</t>
  </si>
  <si>
    <t>Planilla abril 2025</t>
  </si>
  <si>
    <t>ERICK HUMBERTO CAAL MAX</t>
  </si>
  <si>
    <t>MANTENIMIENTO DE FINCA</t>
  </si>
  <si>
    <t>Planilla</t>
  </si>
  <si>
    <t>Planilla Abril 2025</t>
  </si>
  <si>
    <t>BENEFICIO</t>
  </si>
  <si>
    <t>Erick Humberto Caal</t>
  </si>
  <si>
    <t>Traslado de fondos por trabajos de soldadura</t>
  </si>
  <si>
    <t>BAPAQ-1240330448</t>
  </si>
  <si>
    <t>COMBUSTIBLES Y LUBRICANTES</t>
  </si>
  <si>
    <t>CORPORACION SEGURA, S.A.</t>
  </si>
  <si>
    <t>16.134 galones de diesel para finca</t>
  </si>
  <si>
    <t>IDP</t>
  </si>
  <si>
    <t>26E05-2283684233</t>
  </si>
  <si>
    <t>OTROS INSUMOS</t>
  </si>
  <si>
    <t>GIEZI ISAI REVOLORIO AJU</t>
  </si>
  <si>
    <t>Cilindros de gas para estufa y gladiola en finca</t>
  </si>
  <si>
    <t>554AF-2754691377</t>
  </si>
  <si>
    <t>VIATICOS ES</t>
  </si>
  <si>
    <t>UNISUPER, S.A.</t>
  </si>
  <si>
    <t>Alimentación por visita de Eduardo Sampaio en Finca</t>
  </si>
  <si>
    <t>A84D2-288769717</t>
  </si>
  <si>
    <t>UNO GUATEMALA, S.A.</t>
  </si>
  <si>
    <t>Movimientos varios</t>
  </si>
  <si>
    <t>FA5B9-3243394190</t>
  </si>
  <si>
    <t>CORPORACION CONESCO, S.A.</t>
  </si>
  <si>
    <t>Alimentación visita de Eduardo Sampaio en Finca</t>
  </si>
  <si>
    <t>7EA60-1706183694</t>
  </si>
  <si>
    <t xml:space="preserve">TRANSPORTE </t>
  </si>
  <si>
    <t>MEDITERRANEAN SHIPPING COMPANY GUATEMALA, S.A.</t>
  </si>
  <si>
    <t>Flete terrestre exp ICH Escalation Surcharge</t>
  </si>
  <si>
    <t>9684C-1767655355</t>
  </si>
  <si>
    <t>CERTIFICADOS Y PERMISOS</t>
  </si>
  <si>
    <t>ASOCIACION NACIONAL DEL CAFE</t>
  </si>
  <si>
    <t>Certificado 4211 por Anacafé</t>
  </si>
  <si>
    <t>20E8E-1165445591</t>
  </si>
  <si>
    <t>INVERSIONES CIELO DORADO, S.A.</t>
  </si>
  <si>
    <t>Parqueo reunión con socios</t>
  </si>
  <si>
    <t>6CFDE-4092348703</t>
  </si>
  <si>
    <t>DESARROLLO CUPRESSUS, S.A.</t>
  </si>
  <si>
    <t>Parqueo visita Eduardo Sampaio</t>
  </si>
  <si>
    <t>AA22A-2408861024</t>
  </si>
  <si>
    <t>ESPACIO MODERNO GT, S.A.</t>
  </si>
  <si>
    <t>Alimentación visita Eduardo Sampaio a Finca</t>
  </si>
  <si>
    <t>NT-2504003</t>
  </si>
  <si>
    <t>PLANTACIONES EN PROCESO (AJUSTE)</t>
  </si>
  <si>
    <t>Plantaciones en proceso (ajuste)</t>
  </si>
  <si>
    <t>B8FA1-3191361438</t>
  </si>
  <si>
    <t>NELSSON JOSE MORALES DUBON</t>
  </si>
  <si>
    <t>Transporte aéreo de Guatemala a Retalhuleu</t>
  </si>
  <si>
    <t>NT-2505006</t>
  </si>
  <si>
    <t>Planilla mayo 2025</t>
  </si>
  <si>
    <t>Planilla Mayo 2025</t>
  </si>
  <si>
    <t>1260A-1489521214</t>
  </si>
  <si>
    <t>LUIS ARIMANY</t>
  </si>
  <si>
    <t>20.4688 galones de combustible regular</t>
  </si>
  <si>
    <t>BAF5F7E6-3837609285</t>
  </si>
  <si>
    <t>2 galones de lubricante Ursa</t>
  </si>
  <si>
    <t>Valorización de cultivos según avalúo de fecha 2025</t>
  </si>
  <si>
    <t>315E0-3839181913</t>
  </si>
  <si>
    <t>JORGE ADOLFO ROLDAN MARTINEZ</t>
  </si>
  <si>
    <t>36.8077 galones de combustible diesel para uso en finca Dani</t>
  </si>
  <si>
    <t>9F42D-3074519181</t>
  </si>
  <si>
    <t>123.27694 galones de combustible regular para uso en finca</t>
  </si>
  <si>
    <t>BA183-2768781620</t>
  </si>
  <si>
    <t>4 listos de aceite Havoline 2T para uso en finca</t>
  </si>
  <si>
    <t>6D139-271467759</t>
  </si>
  <si>
    <t>2 cilindros de gas de 25 libras para uso en finca</t>
  </si>
  <si>
    <t>46655-1179274622</t>
  </si>
  <si>
    <t>25.9151 galones de combustible regular para uso en finca</t>
  </si>
  <si>
    <t>21109-2655014188</t>
  </si>
  <si>
    <t>GASOLINERA ELIAS, S.A.</t>
  </si>
  <si>
    <t>Combustible diesel Luis Arimany visita a Finca Danilandia</t>
  </si>
  <si>
    <t>C89B7-5000049</t>
  </si>
  <si>
    <t>VIATICOS FINCA</t>
  </si>
  <si>
    <t>Pollo Piconcito, S. A.</t>
  </si>
  <si>
    <t>Alimentación Luis Arimany viaje a Finca Danilandia</t>
  </si>
  <si>
    <t>NT-2506003</t>
  </si>
  <si>
    <t>Planilla junio 2025</t>
  </si>
  <si>
    <t>Planilla Junio 2025</t>
  </si>
  <si>
    <t>38170DF0-2160543736</t>
  </si>
  <si>
    <t>QUÍMICOS, HERBICIDAS, INSECTICIDAS Y FUNGICIDAS</t>
  </si>
  <si>
    <t>BRENDA SIOMARA HERNANDEZ SAMAYOA DE ZAMORA</t>
  </si>
  <si>
    <t>Herbicidas paraquat aleman 20sl y hortalizas sobre</t>
  </si>
  <si>
    <t>1CDD2E17-0553601260</t>
  </si>
  <si>
    <t>ALVARO ALBERTO LOPEZ GARCIA</t>
  </si>
  <si>
    <t>Lubricantes Castrol para motor de gladiola en finca</t>
  </si>
  <si>
    <t>2FAD260E-3627172364</t>
  </si>
  <si>
    <t>JORGE BENEDICTO RECINOS SANCHEZ</t>
  </si>
  <si>
    <t>3 galones de lubricante Ursa 40 para uso en finca</t>
  </si>
  <si>
    <t>C1D743CA-0314068798</t>
  </si>
  <si>
    <t>22.3857 galones de combustible regular para uso en finca</t>
  </si>
  <si>
    <t>8EF007A1-3974254181</t>
  </si>
  <si>
    <t>JOSE FLORENCIO ROLDAN MEJIA</t>
  </si>
  <si>
    <t>Materiales de carpintería para uso en la finca</t>
  </si>
  <si>
    <t>NT-2507003</t>
  </si>
  <si>
    <t>CARMELO MARROQUIN SALAZAR</t>
  </si>
  <si>
    <t>Químicos, Herbicidas, Insecticidas y Fungicidas</t>
  </si>
  <si>
    <t>JOSE ALEXANDER NAVAS MARTINEZ</t>
  </si>
  <si>
    <t>FERNANDO ADELDER GUAMUSH PEREZ</t>
  </si>
  <si>
    <t>SERVICIO DE SEGURIDAD EN FINCA</t>
  </si>
  <si>
    <t>HENRY RANDOLFO HERNANDEZ SOLANO</t>
  </si>
  <si>
    <t>Servicio de seguridad finca</t>
  </si>
  <si>
    <t>GILDABERTO SOLANO ARENAS</t>
  </si>
  <si>
    <t>(MO) Administración de finca</t>
  </si>
  <si>
    <t>SANDRA LORENA NAVAS CHAJON</t>
  </si>
  <si>
    <t>Planilla Julio 2025</t>
  </si>
  <si>
    <t>LIMPIAS Y TRABAJOS VARIOS</t>
  </si>
  <si>
    <t>A0DE4E38-3472902559</t>
  </si>
  <si>
    <t>DISAGRO DE GUATEMALA, S.A.</t>
  </si>
  <si>
    <t>Magnun, Disa Wet, Pantek</t>
  </si>
  <si>
    <t>98E0FC58-4131733862</t>
  </si>
  <si>
    <t>Funigicida para finca</t>
  </si>
  <si>
    <t>54699669-0888491539</t>
  </si>
  <si>
    <t>EL RINCON DE LA FINCA, S.A.</t>
  </si>
  <si>
    <t>Viáticos alimentación visita Eduardo Sampaio</t>
  </si>
  <si>
    <t>369D99DE-2580628151</t>
  </si>
  <si>
    <t>INDUSTRIA DE HAMBURGUESAS, S.A.</t>
  </si>
  <si>
    <t>Viáticos Luis Arimany visitta Eduardo Sampaio</t>
  </si>
  <si>
    <t>DB29BDE7-0656363188</t>
  </si>
  <si>
    <t>POLLO CAMPERO, S.A.</t>
  </si>
  <si>
    <t>Viáticos Luis Arimany visita Eduardo Sampaio</t>
  </si>
  <si>
    <t>15EE4B8C-2249281264</t>
  </si>
  <si>
    <t>TCG FINANZAS, S.A.</t>
  </si>
  <si>
    <t>Servicios de nómina julio 2025</t>
  </si>
  <si>
    <t>D7B7D811-4099949385</t>
  </si>
  <si>
    <t>Gastos adminitrativos julio 2025</t>
  </si>
  <si>
    <t>64B46C6D-0566511061</t>
  </si>
  <si>
    <t>48.27808 galones de combustible regular para uso en finca</t>
  </si>
  <si>
    <t>17721ABD-2865319700</t>
  </si>
  <si>
    <t>CANTATA, S.A.</t>
  </si>
  <si>
    <t>2D7D11DD-2937408179</t>
  </si>
  <si>
    <t>Compra de lubricantes para finca</t>
  </si>
  <si>
    <t>7057FC37-2265992236</t>
  </si>
  <si>
    <t>MANTENIMIENTO DE INSTALACIONES</t>
  </si>
  <si>
    <t>JOSE DAVID TOBAR CASTRO</t>
  </si>
  <si>
    <t>Reparación de calentador de paso a gas propano en finca</t>
  </si>
  <si>
    <t>CE-000023</t>
  </si>
  <si>
    <t>Anticipo para mecánico, aceitera y calentador</t>
  </si>
  <si>
    <t>CE-000024</t>
  </si>
  <si>
    <t>Anticipo para viajes de fertilizantes a la finca</t>
  </si>
  <si>
    <t>091F90D8-3988932213</t>
  </si>
  <si>
    <t>Viaticos visita Eduardo Sampaio</t>
  </si>
  <si>
    <t>3288912C-2608023770</t>
  </si>
  <si>
    <t>OPERADORA CULINARIA, S.A.</t>
  </si>
  <si>
    <t>A318F87B-2895463182</t>
  </si>
  <si>
    <t>HOTEL CAMINO REAL, S.A.</t>
  </si>
  <si>
    <t>Hospedaje y alimentación de Edusardo Sampaio</t>
  </si>
  <si>
    <t>0006-002025</t>
  </si>
  <si>
    <t>HONORARIOS ES</t>
  </si>
  <si>
    <t>EDUARDO SAMPAIO</t>
  </si>
  <si>
    <t>Honorarios profesionales por estudio de finca y estrategia</t>
  </si>
  <si>
    <t>D38A6BE6-1110592896</t>
  </si>
  <si>
    <t>INVERSIONES BNB, S.A.</t>
  </si>
  <si>
    <t>Viaticos de alimentacion correspondiente al mes de agosto 2025</t>
  </si>
  <si>
    <t>2D1CFC86-0826098587</t>
  </si>
  <si>
    <t>Novex, S.A.</t>
  </si>
  <si>
    <t>Materiales para mantenimiento de casa patronal</t>
  </si>
  <si>
    <t>8B2D6B43-3316531888</t>
  </si>
  <si>
    <t>ABONO, YESO Y FERTILIZANTES</t>
  </si>
  <si>
    <t>BIOSKA, S.A.</t>
  </si>
  <si>
    <t>Abono para cultivo de café cosecha 2025 - 2026</t>
  </si>
  <si>
    <t>B3579E39-4023404168</t>
  </si>
  <si>
    <t>Pago de flete por traslado de sacos de abono hacia la finca</t>
  </si>
  <si>
    <t>CE-000083</t>
  </si>
  <si>
    <t>Octavio Rafael Herrera Perez</t>
  </si>
  <si>
    <t>Viaticos hospedaje airbnb y boleto aereo Eduardo</t>
  </si>
  <si>
    <t>CE-000084</t>
  </si>
  <si>
    <t>Viaticos hotel Biltmore y Hotel Clarion</t>
  </si>
  <si>
    <t>CE-000085</t>
  </si>
  <si>
    <t>Viaticos hoteles Luis</t>
  </si>
  <si>
    <t>CE-000086</t>
  </si>
  <si>
    <t>Viaticos tren florencia</t>
  </si>
  <si>
    <t>CE-000087</t>
  </si>
  <si>
    <t>Viaticos pasaje Florencia</t>
  </si>
  <si>
    <t>CE-000088</t>
  </si>
  <si>
    <t>GRUPO KIVÚ, S.A.</t>
  </si>
  <si>
    <t>Pasaje Luis Arimany Guate a Madrid</t>
  </si>
  <si>
    <t>CE-000089</t>
  </si>
  <si>
    <t>Vuaticos de Luis Arimany vaije a Europa</t>
  </si>
  <si>
    <t>7DAC7DE3-3398191564</t>
  </si>
  <si>
    <t>Reintegro de gasto por compra de plywood para la finca</t>
  </si>
  <si>
    <t>82BCC0B4-1321420419</t>
  </si>
  <si>
    <t>CARLOS MANUEL PEREZ CARRANZA</t>
  </si>
  <si>
    <t>Pago de flete por traslado de sacos de planta mantra</t>
  </si>
  <si>
    <t>0558AAC5-2654487154</t>
  </si>
  <si>
    <t>TEUTON, S.A.</t>
  </si>
  <si>
    <t>200 sacos de 45KG de yeso Teuton</t>
  </si>
  <si>
    <t>C590A008-3481355934</t>
  </si>
  <si>
    <t>NT-2508001</t>
  </si>
  <si>
    <t>NT-2508002</t>
  </si>
  <si>
    <t>ABNER ADELINO CHIGUICHON NAVAS</t>
  </si>
  <si>
    <t>Planilla Agosto 2025</t>
  </si>
  <si>
    <t>NT-2509001</t>
  </si>
  <si>
    <t>MAYORDOMOS Y CAPORALES</t>
  </si>
  <si>
    <t>Gidalberto Solano Arenas</t>
  </si>
  <si>
    <t>Mayordomos y caporales</t>
  </si>
  <si>
    <t>71BA5A96-1643593786</t>
  </si>
  <si>
    <t>PRONE PROMOCIONES Y NEGOCIOS, S.A.</t>
  </si>
  <si>
    <t>Viaticos correspondientes al mes de agosto 2025</t>
  </si>
  <si>
    <t>EB4E6570-3483389863</t>
  </si>
  <si>
    <t>ROLANDO CORDERO CORONADO</t>
  </si>
  <si>
    <t>Compra de accesorios para reparacion en casa patronal</t>
  </si>
  <si>
    <t>BBF9B7F4-1277640905</t>
  </si>
  <si>
    <t>LUIS ARIMANY MONZON</t>
  </si>
  <si>
    <t>Servicios prestados en administración de finca julio 2025</t>
  </si>
  <si>
    <t>2DBF3668-1022052466</t>
  </si>
  <si>
    <t>C855682F-2820489809</t>
  </si>
  <si>
    <t xml:space="preserve">Viaticos por visista a finca Danilandia  correspondiente al </t>
  </si>
  <si>
    <t>3BC47FA0-2308654491</t>
  </si>
  <si>
    <t>ROBERTO GONZALEZ MENENDEZ</t>
  </si>
  <si>
    <t>Compra de accesorios para mantenimiento de vehiculos</t>
  </si>
  <si>
    <t>55FE9A41-1267942839</t>
  </si>
  <si>
    <t>0000-000002</t>
  </si>
  <si>
    <t>1FD23B59 0907037610</t>
  </si>
  <si>
    <t xml:space="preserve">Compra de combustible </t>
  </si>
  <si>
    <t>6C6EAE8D-3379187053</t>
  </si>
  <si>
    <t>Por compra de litro de aceite por mantenimiento de vehiculo</t>
  </si>
  <si>
    <t>E619ED04-4127149688</t>
  </si>
  <si>
    <t>Por viaticos de visita a finca del departamento de finanzas</t>
  </si>
  <si>
    <t>E7A10C 1-0532121077</t>
  </si>
  <si>
    <t>DESCUBRE TU CEPA, SOCIEDAD ANONIMA</t>
  </si>
  <si>
    <t>Por compra de alimentos / viaticos correspondiente al 02 de agosto 2025</t>
  </si>
  <si>
    <t>F32EDEB3-1520913219</t>
  </si>
  <si>
    <t>Compra de insumo para mantenimiento de fincas</t>
  </si>
  <si>
    <t>24AC3B33-3274262965</t>
  </si>
  <si>
    <t>Compra de repuestos para vehiculos (Q 700)</t>
  </si>
  <si>
    <t>D7A5C878-2112964743</t>
  </si>
  <si>
    <t>Grupo Solid (Guatemala), S. A.</t>
  </si>
  <si>
    <t>Compra de pintura y suministros para el beneficio del cafe</t>
  </si>
  <si>
    <t>2D80277A-1588742268</t>
  </si>
  <si>
    <t>Registro contable de compra de Fungicida para la finca</t>
  </si>
  <si>
    <t>4C1F69C7-3221703314</t>
  </si>
  <si>
    <t>Compra de fertilizantes 200 Quintales  fact. incluye flete</t>
  </si>
  <si>
    <t>69FA8CFE-1526419337</t>
  </si>
  <si>
    <t>CE-000092</t>
  </si>
  <si>
    <t xml:space="preserve">pasaje a luis Arimany Madrid a GT </t>
  </si>
  <si>
    <t>CE-000103</t>
  </si>
  <si>
    <t>pago de flete de mulita  por traslado de fertilizante</t>
  </si>
  <si>
    <t>DC048B95-1931430075</t>
  </si>
  <si>
    <t>REYNA ONICE VASQUEZ ELIAS</t>
  </si>
  <si>
    <t>servicio de flete traslado de yeso de bodega mantra para fin</t>
  </si>
  <si>
    <t>AEC13F2E-4119284539</t>
  </si>
  <si>
    <t>Por reparacion de vehiculo</t>
  </si>
  <si>
    <t>5BC4A9CC-2691779837</t>
  </si>
  <si>
    <t>Por compra de herramientas para mantenimiento de casa patronal y bodega</t>
  </si>
  <si>
    <t>529F208B-4223615843</t>
  </si>
  <si>
    <t>MANTENIMIENTO MOBILIARIO Y EQUIPO</t>
  </si>
  <si>
    <t>Reparacion de unidad de refrigeracion de gas propano base y retoque de pintura</t>
  </si>
  <si>
    <t>896C936B-0661996476</t>
  </si>
  <si>
    <t>Compra de Gasolina regular para uso en finca</t>
  </si>
  <si>
    <t>12875199-0354635037</t>
  </si>
  <si>
    <t>GRUPO CAMPEON, S.A.</t>
  </si>
  <si>
    <t>Almuerzo visita unex y Jose Herrera</t>
  </si>
  <si>
    <t>C70715CE-0915947810</t>
  </si>
  <si>
    <t>Registro contable de la compra de yeso 400 sacos</t>
  </si>
  <si>
    <t>12AE09E8-4210052251</t>
  </si>
  <si>
    <t>Por compra de repuestos parare paracion de vehiculos</t>
  </si>
  <si>
    <t>Planilla Septiembre 2025</t>
  </si>
  <si>
    <t>Planilla Septiembre  2025</t>
  </si>
  <si>
    <t>Planilla Octubre  2025</t>
  </si>
  <si>
    <t>CA644C5B-0871386422</t>
  </si>
  <si>
    <t>Compra de accesorios electricos para  instalacion de paneles</t>
  </si>
  <si>
    <t>CFE6FF69-0110744640</t>
  </si>
  <si>
    <t>Compra de accesorios electricos para instalacion de paneles en finca</t>
  </si>
  <si>
    <t>DBBD4FB0-2814398245</t>
  </si>
  <si>
    <t>Honorarios profesionales del mes agosto 2025</t>
  </si>
  <si>
    <t>OB841311-1690911698</t>
  </si>
  <si>
    <t>Honorarios profesionales del mes de septiembre 2025</t>
  </si>
  <si>
    <t>FF398DD0-1349732078</t>
  </si>
  <si>
    <t>Registro contable de la compra de 46.225 galones de gasolina</t>
  </si>
  <si>
    <t>70B5AB70-3140307888</t>
  </si>
  <si>
    <t>Servicio de flete traslado de yeso de bodegas mantra a Fina Danilandia</t>
  </si>
  <si>
    <t>9E48A908-2392539515</t>
  </si>
  <si>
    <t>2C6057E8-3813164220</t>
  </si>
  <si>
    <t>Compra de 200 sacos de yeso</t>
  </si>
  <si>
    <t>400 sacos de 45KG de yeso Teuton</t>
  </si>
  <si>
    <t>080E48C8-0890261130</t>
  </si>
  <si>
    <t>MEJORAS AL BENEFICIO</t>
  </si>
  <si>
    <t>Casa de Materiales, S. A.</t>
  </si>
  <si>
    <t>Compra de materiales para el beneficio</t>
  </si>
  <si>
    <t>E2C6EE1D-2751876728</t>
  </si>
  <si>
    <t>ESPORANGIO, SOCIEDAD ANONIMA</t>
  </si>
  <si>
    <t>Compra de Fungicida Amistar Xtra para cultivo en finca</t>
  </si>
  <si>
    <t>F9F34081-2864205790</t>
  </si>
  <si>
    <t>Compra de fertilizante para la finca</t>
  </si>
  <si>
    <t>69512C04-0259999183</t>
  </si>
  <si>
    <t>Gasto de flete por emergencia de atencion a empleado compra de diesel 9.626 Gls</t>
  </si>
  <si>
    <t>FD995863-3140830169</t>
  </si>
  <si>
    <t>COMERCIAL EL ANGEL, SOCIEDAD ANONIMA</t>
  </si>
  <si>
    <t>Compra de accesorios para mantenimiento de casa patronal</t>
  </si>
  <si>
    <t>E0FFB513-3091287245</t>
  </si>
  <si>
    <t>Compra de materiales para mejoras en el beneficio</t>
  </si>
  <si>
    <t>9BF8FDE4-2338147057</t>
  </si>
  <si>
    <t>Compra de 45.557 galones de gasolina regular para usos varios en la finca</t>
  </si>
  <si>
    <t>D15AFFE1-0006186198</t>
  </si>
  <si>
    <t>Factura que respalda el gasto por reparacion de freno de vehiculo</t>
  </si>
  <si>
    <t>6E997C4A-1794985051</t>
  </si>
  <si>
    <t>SERVIMATERIALES LOS ALTOS. S.A.</t>
  </si>
  <si>
    <t>Compra de plancha metalica para mejoras en el beneficio de café</t>
  </si>
  <si>
    <t>4EC674DC-1315917037</t>
  </si>
  <si>
    <t>FERRETERIA EL HERRERO, S.A.</t>
  </si>
  <si>
    <t>compra de materiales para antenimiento de pila en la casa</t>
  </si>
  <si>
    <t>Planilla Octubre 2025</t>
  </si>
  <si>
    <t>NT-2510001</t>
  </si>
  <si>
    <t>(MO) CORTE DE CAFÉ</t>
  </si>
  <si>
    <t>0000-000001</t>
  </si>
  <si>
    <t>PLANILLA</t>
  </si>
  <si>
    <t>Por siembra de frijol, banano  y mantenimiento en finca genera</t>
  </si>
  <si>
    <t>629C8E73-0884687476</t>
  </si>
  <si>
    <t>Compra de materiales para reparacion de pila en casa patronal</t>
  </si>
  <si>
    <t>5EF518A9-0756698064</t>
  </si>
  <si>
    <t>JORGE LUIS MENDOZA MELGAR</t>
  </si>
  <si>
    <t>Flete para transporte de materiales de construccion y de yeso</t>
  </si>
  <si>
    <t>3252016C-2779333281</t>
  </si>
  <si>
    <t>60A56776-4294397831</t>
  </si>
  <si>
    <t>OTTONIÉL  PÉREZ GREGORIO</t>
  </si>
  <si>
    <t>Flete para traslado de materilaes trabajos en beneficio</t>
  </si>
  <si>
    <t>C0196ED5-1262504963</t>
  </si>
  <si>
    <t>FERROMAX, S. A.</t>
  </si>
  <si>
    <t>Compra de lamina para el beneficio</t>
  </si>
  <si>
    <t>D3052BEB-1870807213</t>
  </si>
  <si>
    <t>Compra de 32.082 gls de regular para uso varios en finca</t>
  </si>
  <si>
    <t>C92FC41E-1806320133</t>
  </si>
  <si>
    <t>Honorarios profesionales correspondiente al mes de octubre 2025</t>
  </si>
  <si>
    <t>00D3E68C-3138666982</t>
  </si>
  <si>
    <t>Progarden, sociedad anonima</t>
  </si>
  <si>
    <t>Compra de una bomba de motor para aplicar Fungicida en finca</t>
  </si>
  <si>
    <t>403263C5-0087418734</t>
  </si>
  <si>
    <t>Flete por movilizacion de lamina hacia el Beneficio</t>
  </si>
  <si>
    <t>0008-000008</t>
  </si>
  <si>
    <t>compra de 4 galones de combustible, no se emitio factura, se compro en tienfa de pueblito</t>
  </si>
  <si>
    <t>92DA8339-3406382325</t>
  </si>
  <si>
    <t>OIL¨S MK, S.A.</t>
  </si>
  <si>
    <t>Compra de 2.2822 Gls de combustible por visita administrativa a finca</t>
  </si>
  <si>
    <t>B8C2E79A-3916513600</t>
  </si>
  <si>
    <t>RESORTES DE LEON, S.A.</t>
  </si>
  <si>
    <t>Reparacion y compra de repuestos de vehiculo toyota de finca danilandia</t>
  </si>
  <si>
    <t>C451C377-0980239283</t>
  </si>
  <si>
    <t>AUTO REPUESTOS KAR´S, S.A.</t>
  </si>
  <si>
    <t xml:space="preserve">compra de repuestos  para carro toyota de finca </t>
  </si>
  <si>
    <t>70BCF7A2-0713116720</t>
  </si>
  <si>
    <t>RAMIRO EFRAÍN COLINDREZ HERNANDEZ</t>
  </si>
  <si>
    <t>Compra de materiales para remodelacion del beneficio</t>
  </si>
  <si>
    <t>5CFBA519-4257827420</t>
  </si>
  <si>
    <t>COMERCIALIZADORA OM, S.A.</t>
  </si>
  <si>
    <t>Por reparacion de Bushing de muleta del pick-up</t>
  </si>
  <si>
    <t>01A40B3E-1537950195</t>
  </si>
  <si>
    <t xml:space="preserve">Compra de cadena para reparacion de vehiculo de la finca </t>
  </si>
  <si>
    <t>A2E90FB0-2259174897</t>
  </si>
  <si>
    <t>MARÍA DEL ROSARIO SON MONZON</t>
  </si>
  <si>
    <t>Fabricacion de tapones para remodelacion del beneficio</t>
  </si>
  <si>
    <t>A3AC24A1-0362562271</t>
  </si>
  <si>
    <t>MIRNA ELIZABETH ALAVAREZ POLANCO</t>
  </si>
  <si>
    <t>Compra de repuestos tren delantero de un 3vz para reparacion vehiculo de finca</t>
  </si>
  <si>
    <t>66FE6B2A-2910668041</t>
  </si>
  <si>
    <t>SANTOS TELESFORO SIMON PEREZ</t>
  </si>
  <si>
    <t>Servicio de rectificacion de pecho de vehiculo de 4 palacios a 5.5 mm</t>
  </si>
  <si>
    <t>5A83B9F8-0444090689</t>
  </si>
  <si>
    <t>8519F5A3-1470450573</t>
  </si>
  <si>
    <t>Nuevos Almacenes, S.A.</t>
  </si>
  <si>
    <t>Compra de tuvos PVC para remodelacion del beneficio</t>
  </si>
  <si>
    <t>FD33125B-1485914178</t>
  </si>
  <si>
    <t>compra de materiales para trabajos en el beneficio</t>
  </si>
  <si>
    <t>Planilla Noviembre 2025</t>
  </si>
  <si>
    <t>Planilla Novimbre 2025</t>
  </si>
  <si>
    <t>Planilla Noviembre  2025</t>
  </si>
  <si>
    <t>Planilla noviembre  2025</t>
  </si>
  <si>
    <t>6F2337B5-3847113352</t>
  </si>
  <si>
    <t>compra de 98.78169 galones de gasolina regular para trabajos en la finca</t>
  </si>
  <si>
    <t>438DB1E0-1607025138</t>
  </si>
  <si>
    <t>Compra de grasa para aplicar a todo tipo de motores en la finca</t>
  </si>
  <si>
    <t>278C1E7F-1257655219</t>
  </si>
  <si>
    <t>Compra de materiales para el beneficio y calentador y luces para la casa  patronal</t>
  </si>
  <si>
    <t>800C134A-2732541341</t>
  </si>
  <si>
    <t>Importadora Hidraulica Dubon, S.A.</t>
  </si>
  <si>
    <t>Compra de motor guardiola para uso en el beneficio</t>
  </si>
  <si>
    <t>DCD94197-2315929554</t>
  </si>
  <si>
    <t>Compra de electrodo y viga angular para el beneficio</t>
  </si>
  <si>
    <t>F2B8E94E-1403210385</t>
  </si>
  <si>
    <t>Pricesmart (Guatemala), S.A.</t>
  </si>
  <si>
    <t xml:space="preserve">Compra de alimentacion  para el personal de seguridad de la finca </t>
  </si>
  <si>
    <t>FFFAED3E-4205531099</t>
  </si>
  <si>
    <t>Viaticos para seguridad de finca</t>
  </si>
  <si>
    <t>F8B552AE-0598229829</t>
  </si>
  <si>
    <t>Promotora Internacional El Triangulo, S.A.</t>
  </si>
  <si>
    <t>Compra de 14.99 Galones de diesel para viaje a la Finca</t>
  </si>
  <si>
    <t>9987B005-0238170951</t>
  </si>
  <si>
    <t>VITATRAC, S.A.</t>
  </si>
  <si>
    <t>Reparacion y mantenimiento pick-up Mazda azul</t>
  </si>
  <si>
    <t>8DE52150-1343570978</t>
  </si>
  <si>
    <t>Compra de accesorios electricos para reparacion de cuarto de guardias en finca</t>
  </si>
  <si>
    <t>8121DC00-1241662192</t>
  </si>
  <si>
    <t>Compra de 15.329 galones de Diesel para viaje a la finca</t>
  </si>
  <si>
    <t>3E16D6D7-4199172244</t>
  </si>
  <si>
    <t>Compra de accesorios de instalacion de tuberia en el beneficio</t>
  </si>
  <si>
    <t>42CFB4AF-0733695338</t>
  </si>
  <si>
    <t>Compra de 13.527 galones de diesel para traslado de cafe a la finca</t>
  </si>
  <si>
    <t>9911CCC1-0816464355</t>
  </si>
  <si>
    <t>7195A7A3-0000000000</t>
  </si>
  <si>
    <t>Agroinversiones de San Juan Acul, S.A.</t>
  </si>
  <si>
    <t>Lavado de vehiculo Hilux de Luis Arimany</t>
  </si>
  <si>
    <t>69FCDA3B-1810581608</t>
  </si>
  <si>
    <t>LLANTAS Y SERVICIOS, S.A.</t>
  </si>
  <si>
    <t xml:space="preserve">Reparacion de llanta y compra de accesorios para vehiculo de la finca </t>
  </si>
  <si>
    <t>4CB8CB60-0574377723</t>
  </si>
  <si>
    <t>IMPORTADORA Y EXPORTADORA INTELIGENTE, S.A.</t>
  </si>
  <si>
    <t>Compra de 14.56 Gls de diesel para viaje a finca</t>
  </si>
  <si>
    <t>8D4DA786-3982181101</t>
  </si>
  <si>
    <t>Rolando Cordero Coronado</t>
  </si>
  <si>
    <t>Tubos de brea para faja, uso en la finca</t>
  </si>
  <si>
    <t>7EBF984E-0612844040</t>
  </si>
  <si>
    <t>Honorarios profesionales correspondiente al mes de noviembre 2025</t>
  </si>
  <si>
    <t>9A34FBB7-0083764579</t>
  </si>
  <si>
    <t>Leonel Enrique Valladares Linares</t>
  </si>
  <si>
    <t>Pago por flete para traslado de paneles solares a finca Danilandia</t>
  </si>
  <si>
    <t>36FD3484-2679063694</t>
  </si>
  <si>
    <t>LEONEL ENRIQUE VALLADARES LINARES</t>
  </si>
  <si>
    <t>flete de materiales para contruccion en el beneficio</t>
  </si>
  <si>
    <t>6BD1C7A6-1309295095</t>
  </si>
  <si>
    <t>Reparacion y mantenimiento de vehiculo compra de candelas y aceite</t>
  </si>
  <si>
    <t>86CFB33F-2376353919</t>
  </si>
  <si>
    <t>Reparacion y mantenimiento de vehiculo compra de candelas y bombas</t>
  </si>
  <si>
    <t>054B7722-2472165759</t>
  </si>
  <si>
    <t>Compra de pintura anticorrosivo azul para el beneficio fac. 26/11/2025</t>
  </si>
  <si>
    <t>31D1573C-0225789224</t>
  </si>
  <si>
    <t>CONSTRUCIONES BARBERENA, S.A.</t>
  </si>
  <si>
    <t>compra de tuvos pvc para el beneficio fac. 24/11/2025</t>
  </si>
  <si>
    <t>35AA6150-1072515592</t>
  </si>
  <si>
    <t>HECTOR ESTUARDO OVANDO SALAZAR</t>
  </si>
  <si>
    <t>Fajas pulpero pinalense, beneficio fac- 19/11/2025</t>
  </si>
  <si>
    <t>CCD49ED7-0078268106</t>
  </si>
  <si>
    <t>Compra de laminas para el benficio Fac. 24/11/2025</t>
  </si>
  <si>
    <t>DF758459-1403994732</t>
  </si>
  <si>
    <t>LESLY LETICIA VARGAS LOPEZ DE MORALES</t>
  </si>
  <si>
    <t>compra de codo pde drenaje para el beneficio fac. 19/11/2025</t>
  </si>
  <si>
    <t>E4AE9F57-3137161418</t>
  </si>
  <si>
    <t>CORPORACION COMERCIAL ORELLANA GARCIA, S.A.</t>
  </si>
  <si>
    <t>compra de materiales para el beneficio y cuadernos para administracion fac. 25/11/2025</t>
  </si>
  <si>
    <t>05884416-1763265528</t>
  </si>
  <si>
    <t>PABLO GERARDO CASTELLANOS RIZZO</t>
  </si>
  <si>
    <t>compra de Helice para tacoma toyota rojo fact. 10/11/2025</t>
  </si>
  <si>
    <t>1812-002025</t>
  </si>
  <si>
    <t>Por soldadura de palangana de Pick Up</t>
  </si>
  <si>
    <t>1919-630110613</t>
  </si>
  <si>
    <t>servicio de resortaje para toyota V6</t>
  </si>
  <si>
    <t>223CE294-0014630913</t>
  </si>
  <si>
    <t>Reparacion y mantenimiento toyota Rojo Fac- 05/11/2025</t>
  </si>
  <si>
    <t>9F687E8A-2698069913</t>
  </si>
  <si>
    <t>Compra de Kit para Pinchazo tubeles para pick up Hilux fac. 25/11/2025</t>
  </si>
  <si>
    <t>AC894E2F-2572960980</t>
  </si>
  <si>
    <t>Servicio realizado a Pick -Up  toyota  fac. 29/11/2025</t>
  </si>
  <si>
    <t>62ECE4A7-1268793388</t>
  </si>
  <si>
    <t>DISKAT, S.A.</t>
  </si>
  <si>
    <t>Soldadora maquina para uso en finca  fac- 30/11/2025</t>
  </si>
  <si>
    <t>B959AD3B-1519140875</t>
  </si>
  <si>
    <t>Rollo de pita rinoceronte para multiusos fac. 25/11/2025</t>
  </si>
  <si>
    <t>3B679BD7-1811237496</t>
  </si>
  <si>
    <t>ALIMENTOS A&amp; L, S.A.</t>
  </si>
  <si>
    <t>Compra de alimentos de Eduardo Sampaio por visita a finca</t>
  </si>
  <si>
    <t>8C8C293D-1691634975</t>
  </si>
  <si>
    <t>TRES PIZZAS, S.A.</t>
  </si>
  <si>
    <t>viaticos por visita de Eduardo Sampaio</t>
  </si>
  <si>
    <t>9800-000004</t>
  </si>
  <si>
    <t>Compra de pasaje  visista Eduardo Sampaio el 28/11/2025</t>
  </si>
  <si>
    <t>BBD35F55-0751455445</t>
  </si>
  <si>
    <t>BISTROT CINQ, S.A.</t>
  </si>
  <si>
    <t>Compra de alimentos de Eduardo Sampaio por visita a finca FAC. 29/11/2025</t>
  </si>
  <si>
    <t>F98C846F-1008094445</t>
  </si>
  <si>
    <t>AQ INVERSIONES, S.A.</t>
  </si>
  <si>
    <t>regalo a Eduardo Sampaio por visita a finca fac. 28/11/2025</t>
  </si>
  <si>
    <t>43450A49-1334857526</t>
  </si>
  <si>
    <t>Compra de 14.954 galones de diesel para pick - up mazda azul  para ir a la finca</t>
  </si>
  <si>
    <t>E6D2534E-0803751049</t>
  </si>
  <si>
    <t>Perforacion de poles y fabricacion de cuñero para el beneficio</t>
  </si>
  <si>
    <t>F2D78D4A-4288103974</t>
  </si>
  <si>
    <t>RODYMER, S.A.</t>
  </si>
  <si>
    <t>Compra de faja de hule y lona para el beneficio guardiola y frio</t>
  </si>
  <si>
    <t>26AC74BE-3993651335</t>
  </si>
  <si>
    <t>DELICA, S.A</t>
  </si>
  <si>
    <t>32399530-4040836496</t>
  </si>
  <si>
    <t>ASADOS Y FRITOS, S.A.</t>
  </si>
  <si>
    <t>7640DC67-2735034119</t>
  </si>
  <si>
    <t>Compra de suministros por visita de Eduardo Sampaio a la Finca</t>
  </si>
  <si>
    <t>7D926DF1-0224673949</t>
  </si>
  <si>
    <t>Analisis por muestras de suelo</t>
  </si>
  <si>
    <t>02C06ZD6-1511867743</t>
  </si>
  <si>
    <t>compra de materiales para uso en el beneficio y casa patronal</t>
  </si>
  <si>
    <t>AF83FE0F-3295560710</t>
  </si>
  <si>
    <t>Compra de comida para el personal de seguridad de la finca</t>
  </si>
  <si>
    <t>2973DCF2-3204860235</t>
  </si>
  <si>
    <t>Almuerzo de Willy Escobar y Erick Caal por visista a plantae</t>
  </si>
  <si>
    <t>6C27E73A-2435139216</t>
  </si>
  <si>
    <t>pesa de reloj de 400 libras para uso en la finca</t>
  </si>
  <si>
    <t>AE6A055C-2276216020</t>
  </si>
  <si>
    <t>CORPORACION EL ZAPOTAL, S.A.</t>
  </si>
  <si>
    <t>Compra de almueros para Eduardo Sampaio por visista a finca</t>
  </si>
  <si>
    <t>AFDACA45-0617959321</t>
  </si>
  <si>
    <t>GRUPO DE INVERSIONES SAN JULIAN, S.A.</t>
  </si>
  <si>
    <t>Compra de 18.21 galones de diesel para traslado de Eduardo Sampaio</t>
  </si>
  <si>
    <t>DB546764-0910444211</t>
  </si>
  <si>
    <t>Compra de grapa para faja #35 uso en el beneficio</t>
  </si>
  <si>
    <t>EDDB8B34-1148143276</t>
  </si>
  <si>
    <t>Compra de adaptador y codo liso para uso en el beneficio</t>
  </si>
  <si>
    <t>523AAA34-0575488511</t>
  </si>
  <si>
    <t>JOSEFA LUX SIGUANTAY DE ZAPETA</t>
  </si>
  <si>
    <t>Compra de llantas para el pick-up rojo</t>
  </si>
  <si>
    <t>98DF0699-3833285395</t>
  </si>
  <si>
    <t>Compra de alimentos Eduardo Sampaio por visita a finca</t>
  </si>
  <si>
    <t>3F3F4580-3557901431</t>
  </si>
  <si>
    <t>por servicio de parqueo de Eduardo Sampaio en edifico Optima</t>
  </si>
  <si>
    <t>A5DOC814-0708396798</t>
  </si>
  <si>
    <t>GOURMAND, S.A.</t>
  </si>
  <si>
    <t>FBDC41EA-0008012514</t>
  </si>
  <si>
    <t>PETROFIM, S.A.</t>
  </si>
  <si>
    <t>compra de combustible para pick up azul para uso en finca</t>
  </si>
  <si>
    <t>EBCECDA2-0283461731</t>
  </si>
  <si>
    <t>BELLUNO, S.A.</t>
  </si>
  <si>
    <t>Compra de viaticos para Willy Escobar</t>
  </si>
  <si>
    <t>2F9B2D5C-3143057814</t>
  </si>
  <si>
    <t>compra de alimentos para guardia de seguridad de la finca</t>
  </si>
  <si>
    <t>49011CA2-1489717827</t>
  </si>
  <si>
    <t>compra de bebida visita CHN a finca</t>
  </si>
  <si>
    <t>692B1B3C-2451197084</t>
  </si>
  <si>
    <t>Reparacion y mantenimiento de vehiculo Pick-up color azul cambio de bujias</t>
  </si>
  <si>
    <t>6713DC16-3342093807</t>
  </si>
  <si>
    <t>MARIA LUISA SANCHEZ DE PAZ DE MUÑOZ</t>
  </si>
  <si>
    <t>Compra de Sikalatex para el beneficio</t>
  </si>
  <si>
    <t>RECI-000010</t>
  </si>
  <si>
    <t>JOSEFINA HERNANDEZ PÉREZ</t>
  </si>
  <si>
    <t>pago realizado a contratista para corte de cafe</t>
  </si>
  <si>
    <t>RECI-003002</t>
  </si>
  <si>
    <t>VICTOR ISRAEL SANCHEZ SANTOS</t>
  </si>
  <si>
    <t>servicio de reparacion de candelas y Starter de vehiculo</t>
  </si>
  <si>
    <t>GIDALBERTO SOLANO ARENAS</t>
  </si>
  <si>
    <t>Planilla Diciembre 2025</t>
  </si>
  <si>
    <t>NT-2512005</t>
  </si>
  <si>
    <t>Consumidor Final</t>
  </si>
  <si>
    <t>Planilla Diciembre  2025</t>
  </si>
  <si>
    <t>NT-2512004</t>
  </si>
  <si>
    <t>Registro de planilla del mes de diciembre 2025</t>
  </si>
  <si>
    <t>71F8CA60-3749594068</t>
  </si>
  <si>
    <t>2958A734-1236813373</t>
  </si>
  <si>
    <t>AEROPETROL, S.A.</t>
  </si>
  <si>
    <t xml:space="preserve">Compra de combustible para Pick-up Mazda y Motocicleta  por viaje de oficina a finca </t>
  </si>
  <si>
    <t>A45BF18A-1561674346</t>
  </si>
  <si>
    <t>compra de viaticos para seguridad de finca</t>
  </si>
  <si>
    <t>RECI-000001</t>
  </si>
  <si>
    <t>GASTOS DE CUADRILLA</t>
  </si>
  <si>
    <t>Compra de maiz y frijol para cuadrilla</t>
  </si>
  <si>
    <t>AD9EBD71-1744195244</t>
  </si>
  <si>
    <t>compra de 65.85446 galones de gasolina regular para uso en finca</t>
  </si>
  <si>
    <t>E3F0F744-0663177120</t>
  </si>
  <si>
    <t xml:space="preserve">compra de 49.39084 galones de gasolina regular para uso en finca </t>
  </si>
  <si>
    <t>EED26356-0457657847</t>
  </si>
  <si>
    <t>Compra de materiales para trabajos en el beneficio</t>
  </si>
  <si>
    <t>RECI-000004</t>
  </si>
  <si>
    <t>Compra de 4 quintales de frijol por Q. 550.00 cada quintal</t>
  </si>
  <si>
    <t>RECI-000003</t>
  </si>
  <si>
    <t>Compra de 20 quintales de maiz por Q.170.00 cada quintal</t>
  </si>
  <si>
    <t>RECI-000002</t>
  </si>
  <si>
    <t>Compra de pasaje de cuadrilla a finca danilandia</t>
  </si>
  <si>
    <t>1712-002025</t>
  </si>
  <si>
    <t>Compra de accesorios pvc para el beneficio</t>
  </si>
  <si>
    <t>003D27A3-1253392592</t>
  </si>
  <si>
    <t>Compra de 11.325 galones de diesel para viaje a finca</t>
  </si>
  <si>
    <t>F15B6643-2262646968</t>
  </si>
  <si>
    <t>Compra de Fajas para el beneficio</t>
  </si>
  <si>
    <t>9FC75859-2679327811</t>
  </si>
  <si>
    <t>compra de accesorios  y filtro de gasolina</t>
  </si>
  <si>
    <t>RECI-000005</t>
  </si>
  <si>
    <t>Viaje de Guatemala para Antigua y de Antigua a Guatemala</t>
  </si>
  <si>
    <t>RECI-000006</t>
  </si>
  <si>
    <t>Pago de Up Grade a Clase Ejecutiva de Eduardo Sampaio</t>
  </si>
  <si>
    <t>RECI-000009</t>
  </si>
  <si>
    <t>ILFIDO ENRIQUE CALDERON</t>
  </si>
  <si>
    <t>10 cartones de huevo para cuadrilla y guardia de seguridad</t>
  </si>
  <si>
    <t>AB0F4DA8-3877062640</t>
  </si>
  <si>
    <t>Honorarios profesionales correspondiente al mes de diciembre 2025</t>
  </si>
  <si>
    <t>26190170-3915598092</t>
  </si>
  <si>
    <t>compra de 25.19 galones combustible para pick up mazda</t>
  </si>
  <si>
    <t>95F68634-2732543585</t>
  </si>
  <si>
    <t>servicio de transporte de materiales para el beneficio</t>
  </si>
  <si>
    <t>D228A24E-0491015888</t>
  </si>
  <si>
    <t>compra de materiales para el beneficio para el pulpero y guardiola</t>
  </si>
  <si>
    <t>C7F244A9-3128443006</t>
  </si>
  <si>
    <t>compra de alimentos para seguridad</t>
  </si>
  <si>
    <t>2212-22122025</t>
  </si>
  <si>
    <t>WALTER FRANKLIN PARADA CRUZ</t>
  </si>
  <si>
    <t>Compra de fajas para el beneficio y una pacga de cilicon</t>
  </si>
  <si>
    <t>D0E95237-33254446209</t>
  </si>
  <si>
    <t>Willy Escobar</t>
  </si>
  <si>
    <t xml:space="preserve">Servicios profesionales del mes de noviembre y diciembre </t>
  </si>
  <si>
    <t>C4C737C4-0031638192</t>
  </si>
  <si>
    <t>compra de 3.8506 galones de diesel para pick-up azul</t>
  </si>
  <si>
    <t>D1AD5CB3-1264077686</t>
  </si>
  <si>
    <t>1524-566384</t>
  </si>
  <si>
    <t>Reparación y mantenimiento de vehiculo pick up toyota (no hubo facturacion)</t>
  </si>
  <si>
    <t>1097-125259</t>
  </si>
  <si>
    <t>BANRURAL</t>
  </si>
  <si>
    <t xml:space="preserve"> 6 certificaciones de Finca Danilandia, 2 de san Emiliano y 1 de brisas del pacifico</t>
  </si>
  <si>
    <t>INVO-000003</t>
  </si>
  <si>
    <t>Servicios Profesionales por tercera visita de Eduardo Sampaio</t>
  </si>
  <si>
    <t>9A99FB12-2544782683</t>
  </si>
  <si>
    <t>CASA DE MATERIALES, S. A.</t>
  </si>
  <si>
    <t>compra de materiales para el beneficio</t>
  </si>
  <si>
    <t>C6F5900B-0529940612</t>
  </si>
  <si>
    <t>Viaticos por ir a dejar cafe pergamino a beneficio coyote</t>
  </si>
  <si>
    <t>DA311967-1138970472</t>
  </si>
  <si>
    <t>viaticos por ir a dejar cafe pergamino a beneficio coyote</t>
  </si>
  <si>
    <t>CA13E7A7-4047981951</t>
  </si>
  <si>
    <t>Compra de 51.7777 galones de gasolina regular para uso en finca</t>
  </si>
  <si>
    <t>0901-002026</t>
  </si>
  <si>
    <t>Compra de canastos de 25 lbs, pegamento tagit, cal y accesorios para corte de café</t>
  </si>
  <si>
    <t>19F76715-2282442511</t>
  </si>
  <si>
    <t>LUIS RODOLFO GOMEZ GIRON</t>
  </si>
  <si>
    <t>Por mantenimiento de chapiadoras y motosierras  de la finca</t>
  </si>
  <si>
    <t>CC9EBEA9-0525421766</t>
  </si>
  <si>
    <t>Compra de 9.054 galones de diesel combustible pick up azul</t>
  </si>
  <si>
    <t>55744237-0722487974</t>
  </si>
  <si>
    <t>compra de viaticos a Guardia de seguridad</t>
  </si>
  <si>
    <t>AFDBCE1B-1606241799</t>
  </si>
  <si>
    <t>compra de viaticos para personal de seguridad de finca</t>
  </si>
  <si>
    <t>E0082CFD-1426607269</t>
  </si>
  <si>
    <t>JOSUÉ ANTONIO VELA ZET</t>
  </si>
  <si>
    <t>Calzado y ajuste de cojinetes de trilladora del beneficio</t>
  </si>
  <si>
    <t>NT-2601002</t>
  </si>
  <si>
    <t>registro de planilla de costo  enero 2026</t>
  </si>
  <si>
    <t>ALICIA YANETH MORALES SOLANO</t>
  </si>
  <si>
    <t>KEYLIN YANETH ALVAREZ</t>
  </si>
  <si>
    <t>EDGAR ROLANDO NAVAS CHACON</t>
  </si>
  <si>
    <t>CE-000289</t>
  </si>
  <si>
    <t>Pago de liquidacion de Erick Caal al 31/12/2025</t>
  </si>
  <si>
    <t>AC6DE5A1-2453949974</t>
  </si>
  <si>
    <t>Compra de accesorios electricos para la cuadrilla de corte</t>
  </si>
  <si>
    <t>2F4E1C36-2813611165</t>
  </si>
  <si>
    <t>579847DF-2315075588</t>
  </si>
  <si>
    <t>compra de alimentacion para equipo de seguridad en finca</t>
  </si>
  <si>
    <t>A65A54B6-1363365788</t>
  </si>
  <si>
    <t>compra  de alimentos para seguridad de finca</t>
  </si>
  <si>
    <t>5307D9C0-4165551105</t>
  </si>
  <si>
    <t>compra de un generador de energia  para uso de cuadrilla</t>
  </si>
  <si>
    <t>CE912F43-0212550037</t>
  </si>
  <si>
    <t>Compra de accesorios para casa patronal y materiales electricos para cuadrilla</t>
  </si>
  <si>
    <t>5C5F942B-2363969259</t>
  </si>
  <si>
    <t>OTROS ADMINISTRATIVOS</t>
  </si>
  <si>
    <t>compra de 2 cilindros de gas para uso en casa patronal</t>
  </si>
  <si>
    <t>EAE1473E-1607353850</t>
  </si>
  <si>
    <t xml:space="preserve">Honorariios Profesionales correspondiente al mes </t>
  </si>
  <si>
    <t>25CE4BB9-2276806343</t>
  </si>
  <si>
    <t xml:space="preserve">Compra de 6.22974 galones de gasolina diesel para uso en finca </t>
  </si>
  <si>
    <t>55DC7AC0-2571386911</t>
  </si>
  <si>
    <t xml:space="preserve">Compra de 45.02884 galones de gasolina regular para uso en finca </t>
  </si>
  <si>
    <t>3BCAEE9D-2842119996</t>
  </si>
  <si>
    <t>compra de faja Superbelt B84 para motor pulpero del beneficio humedo</t>
  </si>
  <si>
    <t>0005-000017</t>
  </si>
  <si>
    <t>LUIS ANDRES CASTELLANO RODAS</t>
  </si>
  <si>
    <t>Compra de accesorios para cocina para cuadrilla</t>
  </si>
  <si>
    <t>1AEFD084-3374663051</t>
  </si>
  <si>
    <t>PRICESMART (GUATEMALA), S.A.</t>
  </si>
  <si>
    <t>compra de alimentacion para guardias de seguridad finca</t>
  </si>
  <si>
    <t>07D86D1D-1225608621</t>
  </si>
  <si>
    <t>Alimentacion guardias de seguridad de finca</t>
  </si>
  <si>
    <t>B6520004-4239411160</t>
  </si>
  <si>
    <t>compra de alimentacion para el equipo de seguridad de finca</t>
  </si>
  <si>
    <t>RECI-000007</t>
  </si>
  <si>
    <t>compra de hojas y engrapadora para uso en finca</t>
  </si>
  <si>
    <t>RECI-000008</t>
  </si>
  <si>
    <t>pago de transporte de cuadrilla segundo grupo</t>
  </si>
  <si>
    <t>2801-002026</t>
  </si>
  <si>
    <t>silicon de alta temperatura para reparacion.</t>
  </si>
  <si>
    <t>A5B22150-3109965059</t>
  </si>
  <si>
    <t>MAINCO, S.A.</t>
  </si>
  <si>
    <t>compra de termometro para guardiola</t>
  </si>
  <si>
    <t>RECI-000011</t>
  </si>
  <si>
    <t>Compra de maiz y frijol para la cuadrilla de corte de cafe</t>
  </si>
  <si>
    <t>A34D4B3B-3529067923</t>
  </si>
  <si>
    <t>servicios profesionales de la segunda quincena del mes de enero 2026</t>
  </si>
  <si>
    <t>RECI-000012</t>
  </si>
  <si>
    <t>liquidacion de caja chica del 31-12-2026</t>
  </si>
  <si>
    <t>NT-2602001</t>
  </si>
  <si>
    <t>Cuadrilla 1 Cosecha 2025 - 2026</t>
  </si>
  <si>
    <t>Costo de cuadrilla 1 Elias Choc corte de café febrero</t>
  </si>
  <si>
    <t>982D68FF-0862145090</t>
  </si>
  <si>
    <t>PROGARDEN, SOCIEDAD ANONIMA</t>
  </si>
  <si>
    <t>Compra de una motosierra y accesorios para uso en finca</t>
  </si>
  <si>
    <t>297825C0-0041369653</t>
  </si>
  <si>
    <t>LUIS FERNANDO , MOSCOSO REYES</t>
  </si>
  <si>
    <t>Compra de maquina cosedora de sacos, agujas e hilos</t>
  </si>
  <si>
    <t>ABDB5F7D-1527333000</t>
  </si>
  <si>
    <t>DOLLARCITY GUATEMALA, S.A.</t>
  </si>
  <si>
    <t>compra de cloro y accesorios de manguera para finca</t>
  </si>
  <si>
    <t>C1DC9378-0321539173</t>
  </si>
  <si>
    <t>Alimentos Corporativos Coralsa, S.A.</t>
  </si>
  <si>
    <t>Alimentacion guardia de seguridad y administrador general viaje de finca</t>
  </si>
  <si>
    <t>E85DF59A-3073591432</t>
  </si>
  <si>
    <t>compra de alimentos para guardia de seguridad de finca</t>
  </si>
  <si>
    <t>3F9F6EA7-1219775828</t>
  </si>
  <si>
    <t>compra de materiales para la cosina de la casa</t>
  </si>
  <si>
    <t>C3B6FE21-3246017103</t>
  </si>
  <si>
    <t>Viaje de cafe pergamino a beneficio el coyote</t>
  </si>
  <si>
    <t>D3A7C9D9-0534335451</t>
  </si>
  <si>
    <t>Compra de Lazo y lubricante para la finca</t>
  </si>
  <si>
    <t>4406415D-4141828358</t>
  </si>
  <si>
    <t>alimentos e insumos para el equipo de seguridad de finca</t>
  </si>
  <si>
    <t>0902-002026</t>
  </si>
  <si>
    <t>compra de limay 1 epoxi para la finca</t>
  </si>
  <si>
    <t>NT-2602003</t>
  </si>
  <si>
    <t>Cuadrilla 2 cosecha 2025-2026</t>
  </si>
  <si>
    <t>Costo de la segunda cuadrilla de corte de café (Augusto Choc)</t>
  </si>
  <si>
    <t>78F47ACD-1704149193</t>
  </si>
  <si>
    <t>servicios profesionales del mes de febrero 2026</t>
  </si>
  <si>
    <t>NT-2602004</t>
  </si>
  <si>
    <t>Registro de planilla del 15 de enero al 12 de febrero 2026</t>
  </si>
  <si>
    <t>2307-407889510</t>
  </si>
  <si>
    <t>Pago de boleto de vuelo de Sao Paulo a Guatemala Eduardo Sampaio</t>
  </si>
  <si>
    <t>3F5C725A-31024148869</t>
  </si>
  <si>
    <t>CARLOS ESTUARDO COOSEMANS RUEDA</t>
  </si>
  <si>
    <t>compra de 10.22 galones de diesel para pick up mahindra para la finca</t>
  </si>
  <si>
    <t>E8B9769F-1602438452</t>
  </si>
  <si>
    <t>ALAIA, SOCIEDAD ANONIMA</t>
  </si>
  <si>
    <t>Compra de 12.372 galones de diesel para Pick up azul</t>
  </si>
  <si>
    <t>7276BCA9-3552659490</t>
  </si>
  <si>
    <t>ICOFFEE SOLUTIONS, S.A.</t>
  </si>
  <si>
    <t>Compra de filtros de cafe marca chemex 6 tazas</t>
  </si>
  <si>
    <t>733C3A4C-1939229624</t>
  </si>
  <si>
    <t xml:space="preserve">compra de hilo para la maquina de coser sacos </t>
  </si>
  <si>
    <t>28D4AD5E-3853140751</t>
  </si>
  <si>
    <t>Compra de alimentacion para el personal de seguridad</t>
  </si>
  <si>
    <t>600D4E7D-4150150143</t>
  </si>
  <si>
    <t>Compra de 10.764 galones de diesel para Pick up azul</t>
  </si>
  <si>
    <t>3C7F37D3-0464537396</t>
  </si>
  <si>
    <t>Papa Pollo, S.A.</t>
  </si>
  <si>
    <t>viaticos seguridad traslado a beneficio la joya</t>
  </si>
  <si>
    <t>81E3782D-0058018485</t>
  </si>
  <si>
    <t>Compra de 11.25286 galones de gasolina regular para uso en finca</t>
  </si>
  <si>
    <t>FB6C0E50-0142230463</t>
  </si>
  <si>
    <t>Compra de 39.9033 galones de gasolina regular para uso en finca</t>
  </si>
  <si>
    <t>77856D99-3014083945</t>
  </si>
  <si>
    <t>PLANTAE, S.A.</t>
  </si>
  <si>
    <t>Plantulas de cafe injertado diferentes variedades</t>
  </si>
  <si>
    <t>CF82EB0E-3379579739</t>
  </si>
  <si>
    <t>Viaje de cafe pergamino a beneficio La Joya</t>
  </si>
  <si>
    <t>81981CC2-0457985640</t>
  </si>
  <si>
    <t>LILBEL ARELY LORENZANA RANOS DE MEJIA</t>
  </si>
  <si>
    <t xml:space="preserve">alimentacion visita a beneficio/finca aurora </t>
  </si>
  <si>
    <t>426D6BBC-3906553852</t>
  </si>
  <si>
    <t>Compra de alientacion de Eduardo Sampaio por visita</t>
  </si>
  <si>
    <t>071FA767-3252111144</t>
  </si>
  <si>
    <t>compra de 3 cilindros de gas para uso en casa patronal</t>
  </si>
  <si>
    <t>B7AF24B6-3753003048</t>
  </si>
  <si>
    <t>EL ESPARTANO, S.A.</t>
  </si>
  <si>
    <t>Compra de almuerzo y cena por visita de Eduardo Sampaio</t>
  </si>
  <si>
    <t>6CD53DB4-3025226515</t>
  </si>
  <si>
    <t>Compra de alimentos para el quipo de seguridad de la finca</t>
  </si>
  <si>
    <t>8AA28F42-3283177176</t>
  </si>
  <si>
    <t>SEGUROS ENVIO DE CAFÉ</t>
  </si>
  <si>
    <t>EMPRESA DE SEGURIDAD EL ROBLE, S.A.</t>
  </si>
  <si>
    <t>servicio de custodio por traslado de cafe de Finca Danilandia  a Beneficio la Joya</t>
  </si>
  <si>
    <t>F73F0D43-3947643707</t>
  </si>
  <si>
    <t>D533FE83-2319862609</t>
  </si>
  <si>
    <t>Combustible por visita a esquipulas de Eduardo Sampaio</t>
  </si>
  <si>
    <t>428124E9-0062275834</t>
  </si>
  <si>
    <t>almuerzo visita vivero plantae</t>
  </si>
  <si>
    <t>D8F76CF7-3271508913</t>
  </si>
  <si>
    <t>F.P.K. SERVICIOS, S.A.</t>
  </si>
  <si>
    <t>Compra de llanta por visita de Italianos</t>
  </si>
  <si>
    <t>17037E06-1525893806</t>
  </si>
  <si>
    <t>VALLE DORADO, S.A.</t>
  </si>
  <si>
    <t xml:space="preserve">Hospedaje gira Eduardo Sampaio / Luis Castellanos </t>
  </si>
  <si>
    <t>A66C1D25-3897249067</t>
  </si>
  <si>
    <t xml:space="preserve">Alimentacion gira Eduardo Sampaio / Luis Castellanos </t>
  </si>
  <si>
    <t>D35F976D-2885436463</t>
  </si>
  <si>
    <t>almuerzo visita san Jeronimo con Eduardo Sampaio</t>
  </si>
  <si>
    <t>888F3C48-1809729397</t>
  </si>
  <si>
    <t>CORPORACION LA PERLA, S.A.</t>
  </si>
  <si>
    <t xml:space="preserve"> Diesel vehiculo Luis Castellano gira Eduardo Sampaio</t>
  </si>
  <si>
    <t>A9A9451A-1523665936</t>
  </si>
  <si>
    <t>LML OPERADORA COMERCIAL DE SERVICIOS DE ESQUIPULAS, S.A.</t>
  </si>
  <si>
    <t>viaticos Eduardo Sampaio viaje a Esquipulas</t>
  </si>
  <si>
    <t>41E7740C-1683833676</t>
  </si>
  <si>
    <t>Alimentacion gira Eduardo Sampaio / Luis Castellanos</t>
  </si>
  <si>
    <t>19C64AD0-2956805462</t>
  </si>
  <si>
    <t>2802-002026</t>
  </si>
  <si>
    <t>viaticos Eduardo Sampaio viaje a Esquipulas (no hay Factura)</t>
  </si>
  <si>
    <t>7207-16201097315</t>
  </si>
  <si>
    <t>CLARION SUITES GUATEMALA CITY</t>
  </si>
  <si>
    <t>Por pago de habitacion en Clarion Suites Zona 10 de Eduardo Sampaio</t>
  </si>
  <si>
    <t>A79DCCF1-0199460172</t>
  </si>
  <si>
    <t>Almuerzo  visita Santo Simon a finca Danilandia Fac. 19/02/2026</t>
  </si>
  <si>
    <t>CE-000387</t>
  </si>
  <si>
    <t>Mejoras al beneficio</t>
  </si>
  <si>
    <t>2026-2027</t>
  </si>
  <si>
    <t>FCBFF394-2933015341</t>
  </si>
  <si>
    <t>Diesel Mahindra Por operaciones locales</t>
  </si>
  <si>
    <t>Compra de 12.63 galones de Diesel por gira con Eduardo Sampaio</t>
  </si>
  <si>
    <t>6A2EADA9-0000276068</t>
  </si>
  <si>
    <t>ENERGIA SAN LUCAS, S.A.</t>
  </si>
  <si>
    <t>194AD71A-3303752752</t>
  </si>
  <si>
    <t>Alimentacion por visita a finca  Argentina y Chile</t>
  </si>
  <si>
    <t>745929FA-3464513271</t>
  </si>
  <si>
    <t>Viaticos por visita a cafe por parte de los chilenos</t>
  </si>
  <si>
    <t>3B5D4413-1252871974</t>
  </si>
  <si>
    <t>Alimentacion para guardias de seguridad finca</t>
  </si>
  <si>
    <t>16824F8D-1709590368</t>
  </si>
  <si>
    <t>1714-993788</t>
  </si>
  <si>
    <t>Servicios Profesionales por cuarta visita de Eduardo Sampaio</t>
  </si>
  <si>
    <t>8D0E5347-1663192899</t>
  </si>
  <si>
    <t>Disel para Pick Up Mahindra por envio de cafe al beneficio</t>
  </si>
  <si>
    <t>6DDCF58A-1604337783</t>
  </si>
  <si>
    <t>Franquicia de Limpieza, Servicio y Calidad, S. A.</t>
  </si>
  <si>
    <t>Alimentacion de Equipo de seguridad por traslado de cafe al beneficio</t>
  </si>
  <si>
    <t>A8ECC94A-2455782814</t>
  </si>
  <si>
    <t>Aseguradora General, S.A.</t>
  </si>
  <si>
    <t>seguro por traslado de cafe de finca Danilandia a Beneficio la Joya</t>
  </si>
  <si>
    <t>F0B00B28-4251665755</t>
  </si>
  <si>
    <t>74DD2A11-2666283804</t>
  </si>
  <si>
    <t>servicios profesionales del mes de marzo 2026</t>
  </si>
  <si>
    <t>7584189D-2561822357</t>
  </si>
  <si>
    <t>Compra de alimentacion para el quipo de seguridad y escobas para uso en finca</t>
  </si>
  <si>
    <t>A275BF96-1670005074</t>
  </si>
  <si>
    <t>NT-2603001</t>
  </si>
  <si>
    <t>PLANILLA DEL 13/2/2026 AL 12/3/2026</t>
  </si>
  <si>
    <t>CUADRILLAS</t>
  </si>
  <si>
    <t>Transportes y gastos de cuadrillas</t>
  </si>
  <si>
    <t>3C66CE80-0072762158</t>
  </si>
  <si>
    <t>Compra de 13.63512 galones de gasolina regular para uso en finca</t>
  </si>
  <si>
    <t>C8EF3DA3-0327215979</t>
  </si>
  <si>
    <t>Compra de 27.95638 galones de gasolina Diesel para uso en finca</t>
  </si>
  <si>
    <t>9EB04838-0256986194</t>
  </si>
  <si>
    <t>Compra de motosierra 58 con barra y cadena Husky serie PTY 2025058000819</t>
  </si>
  <si>
    <t>21365574-2136557446</t>
  </si>
  <si>
    <t>Viaje de cafe pergamino a beneficio la Joya 222 qq</t>
  </si>
  <si>
    <t>ED320868-2162180499</t>
  </si>
  <si>
    <t>Servicio y reparacion de dos chapiadoras marca oleo</t>
  </si>
  <si>
    <t>4474EF5F-3571796424</t>
  </si>
  <si>
    <t>Compra de 10.00718 galones de gasolina Diesel para uso en Pick Up</t>
  </si>
  <si>
    <t>731ECDAF-2811907594</t>
  </si>
  <si>
    <t>Compra de 25.4 galones de gasolina regular para uso en motosierras</t>
  </si>
  <si>
    <t>EE2A3A84-1117278030</t>
  </si>
  <si>
    <t>Compra de 4 litros de aceiter para uso en motosierras</t>
  </si>
  <si>
    <t>7CBF0D88-1483558177</t>
  </si>
  <si>
    <t xml:space="preserve">Honorarios Profesionales correspondiente al mes </t>
  </si>
  <si>
    <t>BF98E731-0872170872</t>
  </si>
  <si>
    <t>servicios profesionales del mes de marzo 2026 (kilometraje)</t>
  </si>
  <si>
    <t>WILLY ESCOBAR</t>
  </si>
  <si>
    <t>Seguridad en finca de enero a marzo 2026</t>
  </si>
  <si>
    <t>PROVISION</t>
  </si>
  <si>
    <t>COSTO COSECHA</t>
  </si>
  <si>
    <t>Provión de costo cosecha</t>
  </si>
  <si>
    <t>COSTO COSECHA 2026 2027</t>
  </si>
  <si>
    <t>Provión de costo cosecha 2026-2027</t>
  </si>
  <si>
    <t>TOTAL PLANTACIONES EN PROCESO</t>
  </si>
  <si>
    <t>AVALÚOS A PROPIEDADES</t>
  </si>
  <si>
    <t>TOTAL DE PLANTACIONES 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</si>
</sst>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Q&quot;#,##0.00;[Red]\-&quot;Q&quot;#,##0.00"/>
    <numFmt numFmtId="44" formatCode="_-&quot;Q&quot;* #,##0.00_-;\-&quot;Q&quot;* #,##0.00_-;_-&quot;Q&quot;* &quot;-&quot;??_-;_-@_-"/>
    <numFmt numFmtId="43" formatCode="_-* #,##0.00_-;\-* #,##0.00_-;_-* &quot;-&quot;??_-;_-@_-"/>
    <numFmt numFmtId="164" formatCode="d/mm/yyyy;@"/>
    <numFmt numFmtId="165" formatCode="_(* #,##0.00_);_(* \(#,##0.00\);_(* &quot;-&quot;??_);_(@_)"/>
    <numFmt numFmtId="166" formatCode="#,##0.000000"/>
    <numFmt numFmtId="167" formatCode="dd/mm/yyyy;@"/>
    <numFmt numFmtId="168" formatCode="_-&quot;Q&quot;* #,##0.000_-;\-&quot;Q&quot;* #,##0.000_-;_-&quot;Q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1"/>
      <color rgb="FFEFD29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3"/>
      <name val="Arial"/>
      <family val="2"/>
    </font>
    <font>
      <b/>
      <sz val="15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1326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744C1E"/>
      </left>
      <right style="thin">
        <color rgb="FF744C1E"/>
      </right>
      <top style="thin">
        <color rgb="FF744C1E"/>
      </top>
      <bottom style="thin">
        <color rgb="FF744C1E"/>
      </bottom>
      <diagonal/>
    </border>
    <border>
      <left style="thin">
        <color rgb="FF744C1E"/>
      </left>
      <right/>
      <top style="thin">
        <color rgb="FF744C1E"/>
      </top>
      <bottom style="thin">
        <color rgb="FF744C1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44C1E"/>
      </right>
      <top style="thin">
        <color rgb="FF744C1E"/>
      </top>
      <bottom style="thin">
        <color rgb="FF744C1E"/>
      </bottom>
      <diagonal/>
    </border>
    <border>
      <left style="thin">
        <color rgb="FF744C1E"/>
      </left>
      <right style="thin">
        <color rgb="FF744C1E"/>
      </right>
      <top style="thin">
        <color rgb="FF744C1E"/>
      </top>
      <bottom/>
      <diagonal/>
    </border>
    <border>
      <left/>
      <right/>
      <top style="thin">
        <color rgb="FF744C1E"/>
      </top>
      <bottom style="double">
        <color rgb="FF744C1E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</cellStyleXfs>
  <cellXfs count="68">
    <xf numFmtId="0" fontId="0" fillId="0" borderId="0" xfId="0"/>
    <xf numFmtId="37" fontId="3" fillId="0" borderId="0" xfId="2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5" fillId="0" borderId="0" xfId="3" applyFont="1"/>
    <xf numFmtId="0" fontId="6" fillId="0" borderId="0" xfId="2" applyFont="1"/>
    <xf numFmtId="0" fontId="6" fillId="0" borderId="0" xfId="2" applyFont="1" applyAlignment="1">
      <alignment horizontal="left"/>
    </xf>
    <xf numFmtId="0" fontId="5" fillId="0" borderId="0" xfId="3" applyFont="1" applyAlignment="1">
      <alignment horizontal="left"/>
    </xf>
    <xf numFmtId="0" fontId="3" fillId="0" borderId="0" xfId="2" applyFont="1" applyAlignment="1">
      <alignment horizontal="center"/>
    </xf>
    <xf numFmtId="15" fontId="3" fillId="0" borderId="0" xfId="2" applyNumberFormat="1" applyFont="1" applyAlignment="1">
      <alignment horizont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8" fillId="0" borderId="0" xfId="3" applyFont="1"/>
    <xf numFmtId="164" fontId="9" fillId="0" borderId="1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/>
    </xf>
    <xf numFmtId="165" fontId="9" fillId="0" borderId="1" xfId="1" applyFont="1" applyFill="1" applyBorder="1" applyAlignment="1">
      <alignment horizontal="center" vertical="center"/>
    </xf>
    <xf numFmtId="0" fontId="9" fillId="0" borderId="0" xfId="3" applyFont="1"/>
    <xf numFmtId="165" fontId="9" fillId="0" borderId="0" xfId="3" applyNumberFormat="1" applyFont="1"/>
    <xf numFmtId="14" fontId="9" fillId="0" borderId="0" xfId="3" applyNumberFormat="1" applyFont="1"/>
    <xf numFmtId="1" fontId="9" fillId="0" borderId="2" xfId="2" applyNumberFormat="1" applyFont="1" applyBorder="1" applyAlignment="1">
      <alignment horizontal="center" vertical="center" wrapText="1"/>
    </xf>
    <xf numFmtId="0" fontId="9" fillId="0" borderId="3" xfId="3" applyFont="1" applyBorder="1" applyAlignment="1">
      <alignment horizontal="left"/>
    </xf>
    <xf numFmtId="166" fontId="9" fillId="0" borderId="4" xfId="2" applyNumberFormat="1" applyFont="1" applyBorder="1" applyAlignment="1">
      <alignment horizontal="left" vertical="center"/>
    </xf>
    <xf numFmtId="165" fontId="9" fillId="0" borderId="5" xfId="1" applyFont="1" applyFill="1" applyBorder="1" applyAlignment="1">
      <alignment horizontal="center" vertical="center"/>
    </xf>
    <xf numFmtId="165" fontId="10" fillId="0" borderId="5" xfId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 wrapText="1"/>
    </xf>
    <xf numFmtId="164" fontId="9" fillId="0" borderId="1" xfId="2" applyNumberFormat="1" applyFont="1" applyBorder="1" applyAlignment="1">
      <alignment horizontal="left" vertical="center"/>
    </xf>
    <xf numFmtId="0" fontId="9" fillId="3" borderId="0" xfId="3" applyFont="1" applyFill="1"/>
    <xf numFmtId="0" fontId="9" fillId="0" borderId="1" xfId="3" applyFont="1" applyBorder="1" applyAlignment="1">
      <alignment horizontal="left"/>
    </xf>
    <xf numFmtId="166" fontId="9" fillId="0" borderId="1" xfId="2" applyNumberFormat="1" applyFont="1" applyBorder="1" applyAlignment="1">
      <alignment horizontal="left" vertical="center"/>
    </xf>
    <xf numFmtId="1" fontId="9" fillId="0" borderId="1" xfId="2" applyNumberFormat="1" applyFont="1" applyBorder="1" applyAlignment="1">
      <alignment horizontal="center" vertical="center" wrapText="1"/>
    </xf>
    <xf numFmtId="0" fontId="9" fillId="3" borderId="1" xfId="2" applyFont="1" applyFill="1" applyBorder="1" applyAlignment="1">
      <alignment horizontal="left" vertical="center"/>
    </xf>
    <xf numFmtId="167" fontId="9" fillId="0" borderId="1" xfId="4" applyNumberFormat="1" applyFont="1" applyBorder="1" applyAlignment="1">
      <alignment horizontal="center"/>
    </xf>
    <xf numFmtId="0" fontId="9" fillId="0" borderId="1" xfId="4" applyFont="1" applyBorder="1" applyAlignment="1">
      <alignment horizontal="left"/>
    </xf>
    <xf numFmtId="0" fontId="9" fillId="0" borderId="1" xfId="4" applyFont="1" applyBorder="1"/>
    <xf numFmtId="0" fontId="9" fillId="0" borderId="1" xfId="4" applyFont="1" applyBorder="1" applyAlignment="1">
      <alignment horizontal="left" wrapText="1"/>
    </xf>
    <xf numFmtId="165" fontId="9" fillId="0" borderId="1" xfId="1" applyFont="1" applyFill="1" applyBorder="1" applyAlignment="1">
      <alignment horizontal="right"/>
    </xf>
    <xf numFmtId="0" fontId="9" fillId="0" borderId="0" xfId="2" applyFont="1" applyAlignment="1">
      <alignment horizontal="left" vertical="center"/>
    </xf>
    <xf numFmtId="165" fontId="9" fillId="0" borderId="0" xfId="1" applyFont="1" applyFill="1"/>
    <xf numFmtId="165" fontId="10" fillId="0" borderId="1" xfId="1" applyFont="1" applyFill="1" applyBorder="1" applyAlignment="1">
      <alignment horizontal="center" vertical="center"/>
    </xf>
    <xf numFmtId="0" fontId="9" fillId="0" borderId="1" xfId="3" applyFont="1" applyBorder="1"/>
    <xf numFmtId="0" fontId="4" fillId="0" borderId="1" xfId="3" applyBorder="1"/>
    <xf numFmtId="164" fontId="9" fillId="3" borderId="1" xfId="2" applyNumberFormat="1" applyFont="1" applyFill="1" applyBorder="1" applyAlignment="1">
      <alignment horizontal="left" vertical="center"/>
    </xf>
    <xf numFmtId="0" fontId="5" fillId="0" borderId="1" xfId="3" applyFont="1" applyBorder="1" applyAlignment="1">
      <alignment horizontal="left"/>
    </xf>
    <xf numFmtId="0" fontId="9" fillId="0" borderId="1" xfId="2" applyFont="1" applyBorder="1" applyAlignment="1">
      <alignment horizontal="center" vertical="center" wrapText="1"/>
    </xf>
    <xf numFmtId="165" fontId="9" fillId="0" borderId="1" xfId="1" applyFont="1" applyBorder="1" applyAlignment="1">
      <alignment horizontal="center" vertical="center"/>
    </xf>
    <xf numFmtId="164" fontId="9" fillId="0" borderId="0" xfId="2" applyNumberFormat="1" applyFont="1" applyAlignment="1">
      <alignment horizontal="center" vertical="center" wrapText="1"/>
    </xf>
    <xf numFmtId="0" fontId="9" fillId="0" borderId="0" xfId="3" applyFont="1" applyAlignment="1">
      <alignment horizontal="left"/>
    </xf>
    <xf numFmtId="165" fontId="9" fillId="0" borderId="0" xfId="1" applyFont="1" applyFill="1" applyBorder="1" applyAlignment="1">
      <alignment horizontal="center" vertical="center"/>
    </xf>
    <xf numFmtId="0" fontId="3" fillId="0" borderId="0" xfId="3" applyFont="1" applyAlignment="1">
      <alignment horizontal="left"/>
    </xf>
    <xf numFmtId="0" fontId="3" fillId="0" borderId="0" xfId="3" applyFont="1"/>
    <xf numFmtId="44" fontId="11" fillId="0" borderId="6" xfId="1" applyNumberFormat="1" applyFont="1" applyBorder="1" applyAlignment="1">
      <alignment horizontal="center" vertical="center"/>
    </xf>
    <xf numFmtId="164" fontId="9" fillId="0" borderId="0" xfId="2" applyNumberFormat="1" applyFont="1" applyAlignment="1">
      <alignment horizontal="left" vertical="center"/>
    </xf>
    <xf numFmtId="166" fontId="9" fillId="0" borderId="0" xfId="2" applyNumberFormat="1" applyFont="1" applyAlignment="1">
      <alignment horizontal="left" vertical="center"/>
    </xf>
    <xf numFmtId="4" fontId="5" fillId="0" borderId="0" xfId="3" applyNumberFormat="1" applyFont="1"/>
    <xf numFmtId="165" fontId="3" fillId="0" borderId="0" xfId="1" applyFont="1"/>
    <xf numFmtId="165" fontId="3" fillId="0" borderId="0" xfId="3" applyNumberFormat="1" applyFont="1"/>
    <xf numFmtId="8" fontId="5" fillId="0" borderId="0" xfId="3" applyNumberFormat="1" applyFont="1"/>
    <xf numFmtId="164" fontId="9" fillId="0" borderId="1" xfId="2" applyNumberFormat="1" applyFont="1" applyBorder="1" applyAlignment="1">
      <alignment horizontal="left" vertical="center" wrapText="1" indent="1"/>
    </xf>
    <xf numFmtId="44" fontId="9" fillId="0" borderId="1" xfId="2" applyNumberFormat="1" applyFont="1" applyBorder="1" applyAlignment="1">
      <alignment horizontal="left" vertical="center" wrapText="1" indent="1"/>
    </xf>
    <xf numFmtId="165" fontId="5" fillId="0" borderId="0" xfId="1" applyFont="1"/>
    <xf numFmtId="168" fontId="5" fillId="0" borderId="0" xfId="1" applyNumberFormat="1" applyFont="1"/>
    <xf numFmtId="164" fontId="9" fillId="0" borderId="1" xfId="2" applyNumberFormat="1" applyFont="1" applyBorder="1" applyAlignment="1">
      <alignment horizontal="left" vertical="center" indent="1"/>
    </xf>
    <xf numFmtId="164" fontId="8" fillId="0" borderId="1" xfId="2" applyNumberFormat="1" applyFont="1" applyBorder="1" applyAlignment="1">
      <alignment horizontal="center" vertical="center" wrapText="1"/>
    </xf>
    <xf numFmtId="44" fontId="8" fillId="0" borderId="1" xfId="2" applyNumberFormat="1" applyFont="1" applyBorder="1" applyAlignment="1">
      <alignment horizontal="left" vertical="center" wrapText="1" indent="1"/>
    </xf>
    <xf numFmtId="44" fontId="12" fillId="0" borderId="0" xfId="3" applyNumberFormat="1" applyFont="1"/>
    <xf numFmtId="43" fontId="5" fillId="0" borderId="0" xfId="3" applyNumberFormat="1" applyFont="1"/>
  </cellXfs>
  <cellStyles count="5">
    <cellStyle name="Millares" xfId="1" builtinId="3"/>
    <cellStyle name="Normal" xfId="0" builtinId="0"/>
    <cellStyle name="Normal 2" xfId="3" xr:uid="{46FC260E-A2FB-4CF3-B81D-E661487A6FE4}"/>
    <cellStyle name="Normal 3" xfId="4" xr:uid="{EDBF267A-A5E3-4D89-8CE3-3157BCEE0BC5}"/>
    <cellStyle name="Normal_Xl0000144" xfId="2" xr:uid="{106CCBEB-18C0-47CE-A20F-3039A504F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cg22-my.sharepoint.com/personal/leonel_molina_grupoorion_com_gt/Documents/Escritorio/PAPELES%20DE%20TRABAJO%20JG/Proyecto%20Finca%20-%20L.%20Arimany/Estados%20Financieros%20Danilandia/03.26%20F.%20Danilandia%20y%20Anexos,%20S.A.%20EF%20certificados.xlsx" TargetMode="External"/><Relationship Id="rId2" Type="http://schemas.microsoft.com/office/2019/04/relationships/externalLinkLongPath" Target="/personal/leonel_molina_grupoorion_com_gt/Documents/Escritorio/PAPELES%20DE%20TRABAJO%20JG/Proyecto%20Finca%20-%20L.%20Arimany/Estados%20Financieros%20Danilandia/03.26%20F.%20Danilandia%20y%20Anexos,%20S.A.%20EF%20certificados.xlsx?FB155694" TargetMode="External"/><Relationship Id="rId1" Type="http://schemas.openxmlformats.org/officeDocument/2006/relationships/externalLinkPath" Target="file:///\\FB155694\03.26%20F.%20Danilandia%20y%20Anexos,%20S.A.%20EF%20certificados.xlsx" TargetMode="External"/><Relationship Id="rId4" Type="http://schemas.openxmlformats.org/officeDocument/2006/relationships/externalLinkPath" Target="../../../leonel_molina_grupoorion_com_gt/Documents/Escritorio/PAPELES%20DE%20TRABAJO%20JG/Proyecto%20Finca%20-%20L.%20Arimany/Estados%20Financieros%20Danilandia/03.26%20F.%20Danilandia%20y%20Anexos,%20S.A.%20EF%20certific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docs\Documents%20and%20Settings\Victor%20Rodriguez\Escritorio\GYT%20GUATEPRENDA%20ESPECI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mg.PWC\Mis%20documentos\Manuel%20Gallardo\programa%20rev\NEWTELMEX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INTEGRADO%20COMOSA\EXTRA\Abril\INTEGRACIONES%20AB2000%20EXTRACONT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poracioncfe-my.sharepoint.com/personal/jegarcia_grupocfe_com/Documents/Contabilidad/Impuestos/Home%20Office/Sara%20Yanes/ANUAL/2022/4.%20CFE%20OUTSOURCING/machot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mg.PWC\Mis%20documentos\Manuel%20Gallardo\programa%20rev\sALDO_dIC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cta3\c\Mis%20documentos\MSOffice\Mis%20documentos\pre-t99\CIF'S01MAY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rabanales\Documents\02%20AUDITORIAS\AKTIVA\Aktiva%20(Moa)\2009\Papeles%20de%20Trabajo\30-Junio-2009\BAXTER%202003\FORECAST%202003\Forecast%20x%20line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mg.PWC\Mis%20documentos\Manuel%20Gallardo\programa%20rev\Mis%20documentos\PricewaterhouseCoopers\gRUPOcmOTRIZ\a&#209;O_2002\sEPTIEMBRE_2002\hOJA_SEP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rabanales\Documents\02%20AUDITORIAS\AKTIVA\Aktiva%20(Moa)\2009\Papeles%20de%20Trabajo\30-Junio-2009\Mis%20documentos\CONTA2003\08-Agosto03\Administraci&#243;n\Gastos%20Acum%20Agosto-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CONTA-1999\12-dic99\MAYO99\windows\TEMP\WINDOWS\TEMP\CONMAY\CONT.XLW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rabanales\Documents\02%20AUDITORIAS\AKTIVA\Aktiva%20(Moa)\2009\Papeles%20de%20Trabajo\30-Junio-2009\COSTOS\Costo2002%20Corrida%20Definitiva%20%206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lavempresarial.sharepoint.com\Users\cmejia\AppData\Local\Microsoft\Windows\Temporary%20Internet%20Files\Content.IE5\8MPJMZZ9\INTEGRACIONES%20DE%20TATAKI_05-201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uarios\Audit7\Drodisa\Drodisa%2030Junio2004\varios\Cuentas%20Por%20Cobrar\Cuadre%20Diario%20Cuenta%20Corrien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insta-e317a2\CORPORACION%20CLASE\ABRIL-2009\Gerencia\Planillas%20Abril-09%20Administraci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est\AppData\Roaming\Microsoft\Excel\Users\PC1\Desktop\AUDITORIAS%202012\INVERSIONESMASDEL%202012\2.-%20PT&#180;S\PT%20E.R.%20Inversiones%20Masdel%20al%2031-12-201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lavempresarial-my.sharepoint.com\Users\Yamilet%20Garcia\Downloads\31-03-2023%20Resumen%20Apartamentos%20Boulevard%20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a\C\TEMP\Corporaci&#243;n%20COST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rabanales\Documents\02%20AUDITORIAS\AKTIVA\Aktiva%20(Moa)\2009\Papeles%20de%20Trabajo\30-Junio-2009\users\CostBx\B2004\Unidades\Budget%202004_Exportaciones%20Fin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poracioncfe-my.sharepoint.com/personal/jegarcia_grupocfe_com/Documents/Contabilidad/Impuestos/Home%20Office/Sara%20Yanes/ANUAL/2022/4.%20CFE%20OUTSOURCING/side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cta3\c\Mis%20documentos\SERCOM%2006%20VERSION%20TELMEX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file:///W:\WINDOWS\Profiles\Vinicio\Desktop\Papeles%20de%20Trabajo\Plantas%20Tropical,%20S.%20de%20R.%20L.%20de%20C.V\Documents%20and%20Settings\dell\Mis%20documentos\Mis%20documentos\HOJAS%20ELECTRONICAS\DIAZ%20REYES%20&amp;%20ASOCIADOS\ROTOPRIN,%20S.%20A\CONTA%20JUNIO%202004%20FINANCIERA.xls?797AA001" TargetMode="External"/><Relationship Id="rId1" Type="http://schemas.openxmlformats.org/officeDocument/2006/relationships/externalLinkPath" Target="file:///\\797AA001\CONTA%20JUNIO%202004%20FINANCIER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rabanales\Documents\02%20AUDITORIAS\AKTIVA\Aktiva%20(Moa)\2009\Papeles%20de%20Trabajo\30-Junio-2009\Documents%20and%20Settings\godoyj1\Escritorio\SUPSEL\FILES%2005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ALCULO%20DE%20COMISIONES%20A&#209;O%2020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.rabanales\Documents\02%20AUDITORIAS\AKTIVA\Aktiva%20(Moa)\2009\Papeles%20de%20Trabajo\30-Junio-2009\Documents%20and%20Settings\gventas\Mis%20documentos\MESES\DIC-03\COSTOS%2008%20FINAL%20CIERRE%20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mg.PWC\Mis%20documentos\Manuel%20Gallardo\programa%20rev\Mis%20documentos\PricewaterhouseCoopers\gRUPOcmOTRIZ\a&#209;O_2002\dICIEMBRE_2002\hOJA_DIC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clavempresarial-my.sharepoint.com\Users\uder\Desktop\GRUPO%20TCG\06%20SANTA%20ELISA,%20S.A\20-03-2023%20Resumen%20Apartamentos%20Casa%20Elisa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mg.PWC\Mis%20documentos\Manuel%20Gallardo\programa%20rev\INGRESOS04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arátula"/>
      <sheetName val="BG01221"/>
      <sheetName val="BG01224"/>
      <sheetName val="BG0226"/>
      <sheetName val="ER"/>
      <sheetName val="Hoja L Inventario"/>
      <sheetName val="GASTO REP Y MANT"/>
      <sheetName val="GASTO REP Y MANT INS"/>
      <sheetName val="GASTO HONORARIOS (2)"/>
      <sheetName val="GASTO VIATICOS"/>
      <sheetName val="OTROS GASTOS"/>
      <sheetName val="INVENTARIOS"/>
      <sheetName val="HT"/>
      <sheetName val="FLUJO DE EFECTIVO"/>
      <sheetName val="ECP"/>
      <sheetName val="ESTADO PATRIMONIAL"/>
      <sheetName val="BANCOS"/>
      <sheetName val="CLIENTES"/>
      <sheetName val="DEUDORES"/>
      <sheetName val="CUENTAS COMERCIALES"/>
      <sheetName val="IMPUESTOS POR COBRAR"/>
      <sheetName val="O. CTAS X C"/>
      <sheetName val="GASTOS CP"/>
      <sheetName val="Hoja2"/>
      <sheetName val="PROP. PLANTA Y EQ"/>
      <sheetName val="CAPITALIZACIÓN"/>
      <sheetName val="ACTIVO PRODUCTIVO"/>
      <sheetName val="CARBÓN"/>
      <sheetName val="PLANILLA PAGADA"/>
      <sheetName val="GASTOS DE CONSTITUCION"/>
      <sheetName val="INVENTARIO DE CAFÉ"/>
      <sheetName val="ANTICIPOS Y AVANCES"/>
      <sheetName val="PROVEEDORES"/>
      <sheetName val="ANTICIPO CLIENTES"/>
      <sheetName val="IMPUESTOS POR PAGAR"/>
      <sheetName val="Hoja1"/>
      <sheetName val="SUELDOS-PRESTACIONES LABORALES"/>
      <sheetName val="CUENTAS POR PAGAR RELACIONADA"/>
      <sheetName val="CUENTAS POR PAGAR TERCEROS"/>
      <sheetName val="CUENTA POR PAGAR "/>
      <sheetName val="PRESTAMO BANCARIO"/>
      <sheetName val="LARGO PLAZO"/>
      <sheetName val="OTRAS CTAS X PAGAR"/>
      <sheetName val="PTMO. BANCARIO"/>
      <sheetName val="CAPITAL"/>
      <sheetName val="APORTES X CAPITALIZAR"/>
      <sheetName val="SUPERAVIT REV ACTIVOS"/>
      <sheetName val="Partidas ventas Intercoffee"/>
      <sheetName val="GA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E4">
            <v>46112</v>
          </cell>
        </row>
      </sheetData>
      <sheetData sheetId="17">
        <row r="1">
          <cell r="A1" t="str">
            <v>FINCA DANILANDIA Y ANEXOS, S.A.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EEDORES"/>
      <sheetName val="Hoja1"/>
      <sheetName val="IMPRESION G&amp;T CONT"/>
      <sheetName val="FORMATO DE VOUCHER"/>
      <sheetName val="Hoja2"/>
      <sheetName val="RECIBO"/>
      <sheetName val="Hoja3"/>
      <sheetName val="Sheet1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con"/>
      <sheetName val="rescon40"/>
      <sheetName val="cronograma"/>
      <sheetName val="CONS-GS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-0400"/>
      <sheetName val="BAL-0400"/>
      <sheetName val="RES-ABRI"/>
      <sheetName val="Caja y Bancos"/>
      <sheetName val="Imp. x Cob."/>
      <sheetName val="Ant. Prov."/>
      <sheetName val="Doc.x Cob."/>
      <sheetName val="Ctas x Liquid."/>
      <sheetName val="Comp. Casas"/>
      <sheetName val="Otras CxC"/>
      <sheetName val="Invent."/>
      <sheetName val="Alm. Y Bodegas"/>
      <sheetName val="Inversiones"/>
      <sheetName val="Prop.Plnta Y Eq."/>
      <sheetName val="Cargos Diferidos"/>
      <sheetName val="Otros Activos"/>
      <sheetName val="Imp. X Pagar"/>
      <sheetName val="Ant. Recibidos"/>
      <sheetName val="Gtos. Acumulados"/>
      <sheetName val="Otros en Gastos Acumulados"/>
      <sheetName val="Ingresos x Aplic"/>
      <sheetName val="Ret x Pagar"/>
      <sheetName val="CxP Proveedores"/>
      <sheetName val="Otras CxPagar"/>
      <sheetName val="OBLIGACIONES"/>
      <sheetName val="OTROS PASIVOS"/>
      <sheetName val="HONORARIOS P."/>
      <sheetName val="SERVICIOS PRESTADOS"/>
      <sheetName val="GASTOS DIVERSOS"/>
      <sheetName val="INTERES PREST"/>
      <sheetName val="Productos Financieros"/>
      <sheetName val="Funcionario y Empl"/>
    </sheetNames>
    <sheetDataSet>
      <sheetData sheetId="0" refreshError="1">
        <row r="607">
          <cell r="A607" t="str">
            <v xml:space="preserve">                           C O M O S A   G &amp; T</v>
          </cell>
        </row>
        <row r="608">
          <cell r="A608" t="str">
            <v xml:space="preserve">                     INTEGRACION DE CUENTAS POR LIQUIDAR</v>
          </cell>
        </row>
        <row r="609">
          <cell r="A609" t="str">
            <v xml:space="preserve">                                  30-04-2000</v>
          </cell>
        </row>
        <row r="610">
          <cell r="A610" t="str">
            <v xml:space="preserve">                          ( EN QUETZALES 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ámetros"/>
      <sheetName val="Programas"/>
      <sheetName val="OPEN-CLOSE"/>
      <sheetName val="Salida"/>
      <sheetName val="machote"/>
      <sheetName val="AA-2-1-2"/>
      <sheetName val="machote.xls"/>
    </sheetNames>
    <definedNames>
      <definedName name="BotDiagCancel"/>
      <definedName name="BotDiag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"/>
      <sheetName val="RESUMEN"/>
      <sheetName val="SOLAIRE"/>
      <sheetName val="VICA"/>
      <sheetName val="CORPORACION"/>
      <sheetName val="ALINSA"/>
    </sheetNames>
    <sheetDataSet>
      <sheetData sheetId="0" refreshError="1"/>
      <sheetData sheetId="1" refreshError="1"/>
      <sheetData sheetId="2" refreshError="1">
        <row r="4">
          <cell r="A4" t="str">
            <v xml:space="preserve"> Cuenta</v>
          </cell>
          <cell r="B4" t="str">
            <v>Descripción de la Cuenta</v>
          </cell>
          <cell r="C4">
            <v>37591</v>
          </cell>
          <cell r="D4" t="str">
            <v>aa</v>
          </cell>
          <cell r="E4" t="str">
            <v>bb</v>
          </cell>
          <cell r="F4" t="str">
            <v>cc</v>
          </cell>
          <cell r="G4" t="str">
            <v>dd</v>
          </cell>
          <cell r="H4" t="str">
            <v>ee</v>
          </cell>
        </row>
        <row r="5">
          <cell r="A5" t="str">
            <v>11110001</v>
          </cell>
          <cell r="B5" t="str">
            <v>CAJA GENERAL GUATEMALA Z. 12</v>
          </cell>
          <cell r="C5">
            <v>29271.62</v>
          </cell>
        </row>
        <row r="6">
          <cell r="A6" t="str">
            <v>11110002</v>
          </cell>
          <cell r="B6" t="str">
            <v>CAJAS CHICAS</v>
          </cell>
          <cell r="C6">
            <v>34700</v>
          </cell>
        </row>
        <row r="7">
          <cell r="A7" t="str">
            <v>11110029</v>
          </cell>
          <cell r="B7" t="str">
            <v>CAJA GENERAL TECULUTAN</v>
          </cell>
          <cell r="C7">
            <v>0</v>
          </cell>
        </row>
        <row r="8">
          <cell r="A8" t="str">
            <v>11110030</v>
          </cell>
          <cell r="B8" t="str">
            <v>CAJA GENERAL QUETZALTENANGO</v>
          </cell>
          <cell r="C8">
            <v>103486.54</v>
          </cell>
        </row>
        <row r="9">
          <cell r="A9" t="str">
            <v>11110031</v>
          </cell>
          <cell r="B9" t="str">
            <v>CAJA GENERAL RETALHULEU</v>
          </cell>
          <cell r="C9">
            <v>11681.33</v>
          </cell>
        </row>
        <row r="10">
          <cell r="A10" t="str">
            <v>11110032</v>
          </cell>
          <cell r="B10" t="str">
            <v>CAJA GENERAL PUERTO BARRIOS</v>
          </cell>
          <cell r="C10">
            <v>0</v>
          </cell>
        </row>
        <row r="11">
          <cell r="A11" t="str">
            <v>11110035</v>
          </cell>
          <cell r="B11" t="str">
            <v>CAJA GENERAL MARISCAL ZONA 11</v>
          </cell>
          <cell r="C11">
            <v>40674.53</v>
          </cell>
        </row>
        <row r="12">
          <cell r="A12" t="str">
            <v>11110091</v>
          </cell>
          <cell r="B12" t="str">
            <v>CAJA EN DOLARES</v>
          </cell>
          <cell r="C12">
            <v>810</v>
          </cell>
        </row>
        <row r="13">
          <cell r="A13" t="str">
            <v>11110099</v>
          </cell>
          <cell r="B13" t="str">
            <v>DIFERENCIAL CAJA EN DOLARES</v>
          </cell>
          <cell r="C13">
            <v>5475.6</v>
          </cell>
        </row>
        <row r="14">
          <cell r="A14" t="str">
            <v>11120001</v>
          </cell>
          <cell r="B14" t="str">
            <v>DOLARES SOUTH BANK</v>
          </cell>
          <cell r="C14">
            <v>276.39</v>
          </cell>
        </row>
        <row r="15">
          <cell r="A15" t="str">
            <v>11120002</v>
          </cell>
          <cell r="B15" t="str">
            <v>BANCO DEL CAFE, S.A.</v>
          </cell>
          <cell r="C15">
            <v>414473.1</v>
          </cell>
        </row>
        <row r="16">
          <cell r="A16" t="str">
            <v>11120004</v>
          </cell>
          <cell r="B16" t="str">
            <v>BANCO CUSCATLAN $</v>
          </cell>
          <cell r="C16">
            <v>95735.88</v>
          </cell>
        </row>
        <row r="17">
          <cell r="A17" t="str">
            <v>11120005</v>
          </cell>
          <cell r="B17" t="str">
            <v>BANCO CUSCATLAN EL SALVADOR</v>
          </cell>
          <cell r="C17">
            <v>2841.5</v>
          </cell>
        </row>
        <row r="18">
          <cell r="A18" t="str">
            <v>11120007</v>
          </cell>
          <cell r="B18" t="str">
            <v>BCO. INDUSTRIAL,S.A.</v>
          </cell>
          <cell r="C18">
            <v>607074.82999999996</v>
          </cell>
        </row>
        <row r="19">
          <cell r="A19" t="str">
            <v>11120008</v>
          </cell>
          <cell r="B19" t="str">
            <v>BANCO REFORMADOR S.A.</v>
          </cell>
          <cell r="C19">
            <v>555887.01</v>
          </cell>
        </row>
        <row r="20">
          <cell r="A20" t="str">
            <v>11120009</v>
          </cell>
          <cell r="B20" t="str">
            <v>BANCO CUSCATLAN</v>
          </cell>
          <cell r="C20">
            <v>4967.0200000000004</v>
          </cell>
        </row>
        <row r="21">
          <cell r="A21" t="str">
            <v>11120012</v>
          </cell>
          <cell r="B21" t="str">
            <v>REFORMADOR  -FND AHORRO EMPL-</v>
          </cell>
          <cell r="C21">
            <v>16626.53</v>
          </cell>
        </row>
        <row r="22">
          <cell r="A22" t="str">
            <v>11120013</v>
          </cell>
          <cell r="B22" t="str">
            <v>DIFERENCIAL CAMBIARIO</v>
          </cell>
          <cell r="C22">
            <v>668251.49</v>
          </cell>
        </row>
        <row r="23">
          <cell r="A23" t="str">
            <v>11210001</v>
          </cell>
          <cell r="B23" t="str">
            <v>CLIENTES</v>
          </cell>
          <cell r="C23">
            <v>3983206.61</v>
          </cell>
        </row>
        <row r="24">
          <cell r="A24" t="str">
            <v>11210002</v>
          </cell>
          <cell r="B24" t="str">
            <v>CHEQUES RECHAZADOS</v>
          </cell>
          <cell r="C24">
            <v>136586.15</v>
          </cell>
        </row>
        <row r="25">
          <cell r="A25" t="str">
            <v>11220001</v>
          </cell>
          <cell r="B25" t="str">
            <v>PROVISION  CTAS. INCOBRABLES</v>
          </cell>
          <cell r="C25">
            <v>-514195.92</v>
          </cell>
        </row>
        <row r="26">
          <cell r="A26" t="str">
            <v>11240001</v>
          </cell>
          <cell r="B26" t="str">
            <v>GASTOS POR LIQUIDAR</v>
          </cell>
          <cell r="C26">
            <v>85470.31</v>
          </cell>
        </row>
        <row r="27">
          <cell r="A27" t="str">
            <v>11240021</v>
          </cell>
          <cell r="B27" t="str">
            <v>SEGUROS</v>
          </cell>
          <cell r="C27">
            <v>10179.879999999999</v>
          </cell>
        </row>
        <row r="28">
          <cell r="A28" t="str">
            <v>11240066</v>
          </cell>
          <cell r="B28" t="str">
            <v>LIC. PABLO PORRES</v>
          </cell>
          <cell r="C28">
            <v>16790</v>
          </cell>
        </row>
        <row r="29">
          <cell r="A29" t="str">
            <v>11260001</v>
          </cell>
          <cell r="B29" t="str">
            <v>FONDO PRESTAMO EMPLEADOS</v>
          </cell>
          <cell r="C29">
            <v>199298.47</v>
          </cell>
        </row>
        <row r="30">
          <cell r="A30" t="str">
            <v>11270001</v>
          </cell>
          <cell r="B30" t="str">
            <v>CTAS X COBRAR AFILIADAS QUETZALES</v>
          </cell>
          <cell r="C30">
            <v>347000</v>
          </cell>
        </row>
        <row r="31">
          <cell r="A31" t="str">
            <v>11270002</v>
          </cell>
          <cell r="B31" t="str">
            <v>CTAS X COBRAR AFILIADAS DOLARES</v>
          </cell>
          <cell r="C31">
            <v>396638.54</v>
          </cell>
        </row>
        <row r="32">
          <cell r="A32" t="str">
            <v>11270051</v>
          </cell>
          <cell r="B32" t="str">
            <v>GLAXO INTERTRADE LTD. $</v>
          </cell>
          <cell r="C32">
            <v>0</v>
          </cell>
        </row>
        <row r="33">
          <cell r="A33" t="str">
            <v>11270099</v>
          </cell>
          <cell r="B33" t="str">
            <v>DIFERENCIAL CAMBIARIO</v>
          </cell>
          <cell r="C33">
            <v>2681274.9500000002</v>
          </cell>
        </row>
        <row r="34">
          <cell r="A34" t="str">
            <v>11410001</v>
          </cell>
          <cell r="B34" t="str">
            <v>IVA DEL MES COMPRAS LOCALES</v>
          </cell>
          <cell r="C34">
            <v>0</v>
          </cell>
        </row>
        <row r="35">
          <cell r="A35" t="str">
            <v>11410002</v>
          </cell>
          <cell r="B35" t="str">
            <v>IVA CAJA CHICA</v>
          </cell>
          <cell r="C35">
            <v>0</v>
          </cell>
        </row>
        <row r="36">
          <cell r="A36" t="str">
            <v>11410003</v>
          </cell>
          <cell r="B36" t="str">
            <v>IVA DEL MES IMPORTACIONES</v>
          </cell>
          <cell r="C36">
            <v>0</v>
          </cell>
        </row>
        <row r="37">
          <cell r="A37" t="str">
            <v>11410005</v>
          </cell>
          <cell r="B37" t="str">
            <v>CREDITO FISCAL POR LIQUIDAR</v>
          </cell>
          <cell r="C37">
            <v>0</v>
          </cell>
        </row>
        <row r="38">
          <cell r="A38" t="str">
            <v>11420007</v>
          </cell>
          <cell r="B38" t="str">
            <v>PAGO TRIMESTRAL I.S.R. AÑO 2001 Y 2002</v>
          </cell>
          <cell r="C38">
            <v>679848.31</v>
          </cell>
        </row>
        <row r="39">
          <cell r="A39" t="str">
            <v>11420008</v>
          </cell>
          <cell r="B39" t="str">
            <v>I.E.M.A. PAGADO AÑO 2002</v>
          </cell>
          <cell r="C39">
            <v>896954.51</v>
          </cell>
        </row>
        <row r="40">
          <cell r="A40" t="str">
            <v>11510002</v>
          </cell>
          <cell r="B40" t="str">
            <v>BODEGA CENTRAL PETAPA</v>
          </cell>
          <cell r="C40">
            <v>4800631.8899999997</v>
          </cell>
        </row>
        <row r="41">
          <cell r="A41" t="str">
            <v>11520001</v>
          </cell>
          <cell r="B41" t="str">
            <v>MARISCAL ZONA 11</v>
          </cell>
          <cell r="C41">
            <v>700813.62</v>
          </cell>
        </row>
        <row r="42">
          <cell r="A42" t="str">
            <v>11530001</v>
          </cell>
          <cell r="B42" t="str">
            <v>INVENTARIO TECULUTAN</v>
          </cell>
          <cell r="C42">
            <v>612252.71</v>
          </cell>
        </row>
        <row r="43">
          <cell r="A43" t="str">
            <v>11540001</v>
          </cell>
          <cell r="B43" t="str">
            <v>INVENTARIO QUETZALTENANGO</v>
          </cell>
          <cell r="C43">
            <v>381476.6</v>
          </cell>
        </row>
        <row r="44">
          <cell r="A44" t="str">
            <v>11550001</v>
          </cell>
          <cell r="B44" t="str">
            <v>INVENTARIO RETALHULEU</v>
          </cell>
          <cell r="C44">
            <v>682186.47</v>
          </cell>
        </row>
        <row r="45">
          <cell r="A45" t="str">
            <v>11560001</v>
          </cell>
          <cell r="B45" t="str">
            <v>INVENTARIO PUERTO BARRIOS</v>
          </cell>
          <cell r="C45">
            <v>402862.28</v>
          </cell>
        </row>
        <row r="46">
          <cell r="A46" t="str">
            <v>11570001</v>
          </cell>
          <cell r="B46" t="str">
            <v>INVENTARIO JUTIAPA</v>
          </cell>
          <cell r="C46">
            <v>0</v>
          </cell>
        </row>
        <row r="47">
          <cell r="A47" t="str">
            <v>11710001</v>
          </cell>
          <cell r="B47" t="str">
            <v>COMPRAS LOCALES</v>
          </cell>
          <cell r="C47">
            <v>52795.9</v>
          </cell>
        </row>
        <row r="48">
          <cell r="A48" t="str">
            <v>11710002</v>
          </cell>
          <cell r="B48" t="str">
            <v>TRAMITES Y DERECHOS</v>
          </cell>
          <cell r="C48">
            <v>0</v>
          </cell>
        </row>
        <row r="49">
          <cell r="A49" t="str">
            <v>11710003</v>
          </cell>
          <cell r="B49" t="str">
            <v>MERCADERIA EN TRANSITO</v>
          </cell>
          <cell r="C49">
            <v>3497.96</v>
          </cell>
        </row>
        <row r="50">
          <cell r="A50" t="str">
            <v>11710004</v>
          </cell>
          <cell r="B50" t="str">
            <v>MATERIALES ENVIADOS  A PROCESAR</v>
          </cell>
          <cell r="C50">
            <v>30733.7</v>
          </cell>
        </row>
        <row r="51">
          <cell r="A51" t="str">
            <v>11710005</v>
          </cell>
          <cell r="B51" t="str">
            <v>MATERIALES EN TALLER</v>
          </cell>
          <cell r="C51">
            <v>0</v>
          </cell>
        </row>
        <row r="52">
          <cell r="A52" t="str">
            <v>11710006</v>
          </cell>
          <cell r="B52" t="str">
            <v>INVENTARIO (AJ)</v>
          </cell>
          <cell r="C52">
            <v>0</v>
          </cell>
        </row>
        <row r="53">
          <cell r="A53" t="str">
            <v>11710008</v>
          </cell>
          <cell r="B53" t="str">
            <v>PINTURA PARA ALUMINIO</v>
          </cell>
          <cell r="C53">
            <v>0</v>
          </cell>
        </row>
        <row r="54">
          <cell r="A54" t="str">
            <v>11710009</v>
          </cell>
          <cell r="B54" t="str">
            <v>DESPERDICIO DE VIDRIO</v>
          </cell>
          <cell r="C54">
            <v>0</v>
          </cell>
        </row>
        <row r="55">
          <cell r="A55" t="str">
            <v>11710099</v>
          </cell>
          <cell r="B55" t="str">
            <v>DIFERENCIAL CAMBIARIO</v>
          </cell>
          <cell r="C55">
            <v>23646.21</v>
          </cell>
        </row>
        <row r="56">
          <cell r="A56" t="str">
            <v>11810002</v>
          </cell>
          <cell r="B56" t="str">
            <v>SEGURO DE VEHICULOS</v>
          </cell>
          <cell r="C56">
            <v>0</v>
          </cell>
        </row>
        <row r="57">
          <cell r="A57" t="str">
            <v>11810003</v>
          </cell>
          <cell r="B57" t="str">
            <v>SEGURO CONTRA INCENDIOS Y VALORES</v>
          </cell>
          <cell r="C57">
            <v>56443.65</v>
          </cell>
        </row>
        <row r="58">
          <cell r="A58" t="str">
            <v>11820003</v>
          </cell>
          <cell r="B58" t="str">
            <v>FORMULARIOS MOORE &amp; STANDARD</v>
          </cell>
          <cell r="C58">
            <v>0</v>
          </cell>
        </row>
        <row r="59">
          <cell r="A59" t="str">
            <v>11820013</v>
          </cell>
          <cell r="B59" t="str">
            <v>GASTOS ANTICIPADOS VARIOS</v>
          </cell>
          <cell r="C59">
            <v>29945.5</v>
          </cell>
        </row>
        <row r="60">
          <cell r="A60" t="str">
            <v>11830001</v>
          </cell>
          <cell r="B60" t="str">
            <v>DEPOSITOS EN GARANTIA DE ALQUILERES</v>
          </cell>
          <cell r="C60">
            <v>59964.56</v>
          </cell>
        </row>
        <row r="61">
          <cell r="A61" t="str">
            <v>11840001</v>
          </cell>
          <cell r="B61" t="str">
            <v>INVERSIONES VIDRIOS DE CENTROAMERICA S.A</v>
          </cell>
          <cell r="C61">
            <v>4999900</v>
          </cell>
        </row>
        <row r="62">
          <cell r="A62" t="str">
            <v>22110020</v>
          </cell>
          <cell r="B62" t="str">
            <v>EDIFICIOS E INSTALACIONES</v>
          </cell>
          <cell r="C62">
            <v>513957.52</v>
          </cell>
        </row>
        <row r="63">
          <cell r="A63" t="str">
            <v>22110022</v>
          </cell>
          <cell r="B63" t="str">
            <v>EDIFICIOS E INST. PTO. BARRIOS</v>
          </cell>
          <cell r="C63">
            <v>2755.18</v>
          </cell>
        </row>
        <row r="64">
          <cell r="A64" t="str">
            <v>22110030</v>
          </cell>
          <cell r="B64" t="str">
            <v>MAQUINARIA Y EQUIPO</v>
          </cell>
          <cell r="C64">
            <v>713884.36</v>
          </cell>
        </row>
        <row r="65">
          <cell r="A65" t="str">
            <v>22110031</v>
          </cell>
          <cell r="B65" t="str">
            <v>MAQ. Y EQUIPO TECULUTAN</v>
          </cell>
          <cell r="C65">
            <v>61806.1</v>
          </cell>
        </row>
        <row r="66">
          <cell r="A66" t="str">
            <v>22110032</v>
          </cell>
          <cell r="B66" t="str">
            <v>MAQ. Y EQUIPO RETALHULEU</v>
          </cell>
          <cell r="C66">
            <v>10200</v>
          </cell>
        </row>
        <row r="67">
          <cell r="A67" t="str">
            <v>22110033</v>
          </cell>
          <cell r="B67" t="str">
            <v>MAQ. Y EQUIPO QUETZALTENANGO</v>
          </cell>
          <cell r="C67">
            <v>69753.91</v>
          </cell>
        </row>
        <row r="68">
          <cell r="A68" t="str">
            <v>22110040</v>
          </cell>
          <cell r="B68" t="str">
            <v>VEHICULOS</v>
          </cell>
          <cell r="C68">
            <v>1717863.72</v>
          </cell>
        </row>
        <row r="69">
          <cell r="A69" t="str">
            <v>22110041</v>
          </cell>
          <cell r="B69" t="str">
            <v>VEHICULOS RETALHULEU</v>
          </cell>
          <cell r="C69">
            <v>10032.709999999999</v>
          </cell>
        </row>
        <row r="70">
          <cell r="A70" t="str">
            <v>22110042</v>
          </cell>
          <cell r="B70" t="str">
            <v>VEHICULOS VENTAS</v>
          </cell>
          <cell r="C70">
            <v>111871</v>
          </cell>
        </row>
        <row r="71">
          <cell r="A71" t="str">
            <v>22110043</v>
          </cell>
          <cell r="B71" t="str">
            <v>VEHICULOS QUETZALTENANGO</v>
          </cell>
          <cell r="C71">
            <v>66423.649999999994</v>
          </cell>
        </row>
        <row r="72">
          <cell r="A72" t="str">
            <v>22110044</v>
          </cell>
          <cell r="B72" t="str">
            <v>VEHICULOS PTO. BARRIOS</v>
          </cell>
          <cell r="C72">
            <v>9908.41</v>
          </cell>
        </row>
        <row r="73">
          <cell r="A73" t="str">
            <v>22110050</v>
          </cell>
          <cell r="B73" t="str">
            <v>HERRAMIENTAS</v>
          </cell>
          <cell r="C73">
            <v>3242.46</v>
          </cell>
        </row>
        <row r="74">
          <cell r="A74" t="str">
            <v>22110060</v>
          </cell>
          <cell r="B74" t="str">
            <v>MOBILIARIO Y EQUIPO DE OFICINA</v>
          </cell>
          <cell r="C74">
            <v>624731.89</v>
          </cell>
        </row>
        <row r="75">
          <cell r="A75" t="str">
            <v>22110070</v>
          </cell>
          <cell r="B75" t="str">
            <v>MOBILIARIO Y EQUIPO DE BODEGA</v>
          </cell>
          <cell r="C75">
            <v>110194.06</v>
          </cell>
        </row>
        <row r="76">
          <cell r="A76" t="str">
            <v>22110071</v>
          </cell>
          <cell r="B76" t="str">
            <v>MOB. Y EQUIPO DE TECULUTAN</v>
          </cell>
          <cell r="C76">
            <v>45579.94</v>
          </cell>
        </row>
        <row r="77">
          <cell r="A77" t="str">
            <v>22110072</v>
          </cell>
          <cell r="B77" t="str">
            <v>MOB. Y EQ. DE QUETZALTENANGO</v>
          </cell>
          <cell r="C77">
            <v>21209.81</v>
          </cell>
        </row>
        <row r="78">
          <cell r="A78" t="str">
            <v>22110073</v>
          </cell>
          <cell r="B78" t="str">
            <v>MOB. Y EQ. BOD. PTO. BARRIOS</v>
          </cell>
          <cell r="C78">
            <v>57557.58</v>
          </cell>
        </row>
        <row r="79">
          <cell r="A79" t="str">
            <v>22110074</v>
          </cell>
          <cell r="B79" t="str">
            <v>MOBILIARIO EQUIPO RETALHULEU</v>
          </cell>
          <cell r="C79">
            <v>21101.52</v>
          </cell>
        </row>
        <row r="80">
          <cell r="A80" t="str">
            <v>22110075</v>
          </cell>
          <cell r="B80" t="str">
            <v>MOBILIARIO Y EQUIPO JUTIAPA</v>
          </cell>
          <cell r="C80">
            <v>3818.18</v>
          </cell>
        </row>
        <row r="81">
          <cell r="A81" t="str">
            <v>22110076</v>
          </cell>
          <cell r="B81" t="str">
            <v>MOBILIARIO Y EQUIPO PETEN</v>
          </cell>
          <cell r="C81">
            <v>419.64</v>
          </cell>
        </row>
        <row r="82">
          <cell r="A82" t="str">
            <v>22110080</v>
          </cell>
          <cell r="B82" t="str">
            <v>EQUIPO DE COMPUTACION</v>
          </cell>
          <cell r="C82">
            <v>773299.3</v>
          </cell>
        </row>
        <row r="83">
          <cell r="A83" t="str">
            <v>22110081</v>
          </cell>
          <cell r="B83" t="str">
            <v>EQUIPO DE COMPUTO RETALHULEU</v>
          </cell>
          <cell r="C83">
            <v>4341.07</v>
          </cell>
        </row>
        <row r="84">
          <cell r="A84" t="str">
            <v>22110082</v>
          </cell>
          <cell r="B84" t="str">
            <v>EQUIPO DE COMPUTO XELA</v>
          </cell>
          <cell r="C84">
            <v>3300.89</v>
          </cell>
        </row>
        <row r="85">
          <cell r="A85" t="str">
            <v>22110091</v>
          </cell>
          <cell r="B85" t="str">
            <v>EQUIPO DE COMPUTACION DE BODEG</v>
          </cell>
          <cell r="C85">
            <v>2500</v>
          </cell>
        </row>
        <row r="86">
          <cell r="A86" t="str">
            <v>22110093</v>
          </cell>
          <cell r="B86" t="str">
            <v>GERENCIA DE SISTEMAS CORPORATIVOS</v>
          </cell>
          <cell r="C86">
            <v>99782.12</v>
          </cell>
        </row>
        <row r="87">
          <cell r="A87" t="str">
            <v>22111101</v>
          </cell>
          <cell r="B87" t="str">
            <v>MAQUINARIA Y EQUIPO (FABRICA)</v>
          </cell>
          <cell r="C87">
            <v>6097800</v>
          </cell>
        </row>
        <row r="88">
          <cell r="A88" t="str">
            <v>22111111</v>
          </cell>
          <cell r="B88" t="str">
            <v>MOBILIARIO Y EQUIPO (FABRICA)</v>
          </cell>
          <cell r="C88">
            <v>14500</v>
          </cell>
        </row>
        <row r="89">
          <cell r="A89" t="str">
            <v>22111121</v>
          </cell>
          <cell r="B89" t="str">
            <v>EQUIPO DE COMPUTACION (FABRICA)</v>
          </cell>
          <cell r="C89">
            <v>14400</v>
          </cell>
        </row>
        <row r="90">
          <cell r="A90" t="str">
            <v>22111131</v>
          </cell>
          <cell r="B90" t="str">
            <v>ALINES O DADOS P/MAQ. R.L. BEST (FABRICA</v>
          </cell>
          <cell r="C90">
            <v>1166800</v>
          </cell>
        </row>
        <row r="91">
          <cell r="A91" t="str">
            <v>22111141</v>
          </cell>
          <cell r="B91" t="str">
            <v>ALINES O DADOS P/MAQ. LOEWY (FABRICA)</v>
          </cell>
          <cell r="C91">
            <v>206500</v>
          </cell>
        </row>
        <row r="92">
          <cell r="A92" t="str">
            <v>22210020</v>
          </cell>
          <cell r="B92" t="str">
            <v>EDIFICIOS</v>
          </cell>
          <cell r="C92">
            <v>-154503.43</v>
          </cell>
        </row>
        <row r="93">
          <cell r="A93" t="str">
            <v>22210030</v>
          </cell>
          <cell r="B93" t="str">
            <v>MAQUINARIA Y EQUIPO</v>
          </cell>
          <cell r="C93">
            <v>-738446.48</v>
          </cell>
        </row>
        <row r="94">
          <cell r="A94" t="str">
            <v>22210040</v>
          </cell>
          <cell r="B94" t="str">
            <v>VEHICULOS</v>
          </cell>
          <cell r="C94">
            <v>-1667101.88</v>
          </cell>
        </row>
        <row r="95">
          <cell r="A95" t="str">
            <v>22210050</v>
          </cell>
          <cell r="B95" t="str">
            <v>HERRAMIENTAS</v>
          </cell>
          <cell r="C95">
            <v>-3242.46</v>
          </cell>
        </row>
        <row r="96">
          <cell r="A96" t="str">
            <v>22210060</v>
          </cell>
          <cell r="B96" t="str">
            <v>MOBILIARIO Y EQUIPO DE OFICINA</v>
          </cell>
          <cell r="C96">
            <v>-716589.62</v>
          </cell>
        </row>
        <row r="97">
          <cell r="A97" t="str">
            <v>22210080</v>
          </cell>
          <cell r="B97" t="str">
            <v>EQUIPO DE COMPUTACION</v>
          </cell>
          <cell r="C97">
            <v>-626175.18000000005</v>
          </cell>
        </row>
        <row r="98">
          <cell r="A98" t="str">
            <v>33120001</v>
          </cell>
          <cell r="B98" t="str">
            <v>CUENTAS POR PAGAR EXTRANJERAS.</v>
          </cell>
          <cell r="C98">
            <v>104542.81</v>
          </cell>
        </row>
        <row r="99">
          <cell r="A99" t="str">
            <v>33120099</v>
          </cell>
          <cell r="B99" t="str">
            <v>DIFERENCIAL CAMBIARIO</v>
          </cell>
          <cell r="C99">
            <v>706709.4</v>
          </cell>
        </row>
        <row r="100">
          <cell r="A100" t="str">
            <v>33130001</v>
          </cell>
          <cell r="B100" t="str">
            <v>AGUINALDOS</v>
          </cell>
          <cell r="C100">
            <v>0</v>
          </cell>
        </row>
        <row r="101">
          <cell r="A101" t="str">
            <v>33130002</v>
          </cell>
          <cell r="B101" t="str">
            <v>BONO 14 DECRETO 42-92</v>
          </cell>
          <cell r="C101">
            <v>124662.54</v>
          </cell>
        </row>
        <row r="102">
          <cell r="A102" t="str">
            <v>33130003</v>
          </cell>
          <cell r="B102" t="str">
            <v>VACACIONES Y BONO VACACIONAL</v>
          </cell>
          <cell r="C102">
            <v>0</v>
          </cell>
        </row>
        <row r="103">
          <cell r="A103" t="str">
            <v>33130004</v>
          </cell>
          <cell r="B103" t="str">
            <v>INDEMNIZACIONES</v>
          </cell>
          <cell r="C103">
            <v>14282.94</v>
          </cell>
        </row>
        <row r="104">
          <cell r="A104" t="str">
            <v>33140001</v>
          </cell>
          <cell r="B104" t="str">
            <v>CUENTAS POR PAGAR LOCALES</v>
          </cell>
          <cell r="C104">
            <v>320639.18</v>
          </cell>
        </row>
        <row r="105">
          <cell r="A105" t="str">
            <v>33140002</v>
          </cell>
          <cell r="B105" t="str">
            <v>FONDO AHORRO EMPLEADOS</v>
          </cell>
          <cell r="C105">
            <v>170329.71</v>
          </cell>
        </row>
        <row r="106">
          <cell r="A106" t="str">
            <v>33140003</v>
          </cell>
          <cell r="B106" t="str">
            <v>I.G.S.S.</v>
          </cell>
          <cell r="C106">
            <v>34327.29</v>
          </cell>
        </row>
        <row r="107">
          <cell r="A107" t="str">
            <v>33140004</v>
          </cell>
          <cell r="B107" t="str">
            <v>RETENCIONES I.S.R. FAC ESPECIALES</v>
          </cell>
          <cell r="C107">
            <v>6057.38</v>
          </cell>
        </row>
        <row r="108">
          <cell r="A108" t="str">
            <v>33140005</v>
          </cell>
          <cell r="B108" t="str">
            <v>IVA S/FACT. ESPECIALES</v>
          </cell>
          <cell r="C108">
            <v>9394.89</v>
          </cell>
        </row>
        <row r="109">
          <cell r="A109" t="str">
            <v>33140006</v>
          </cell>
          <cell r="B109" t="str">
            <v>RETENCION I.S.R.</v>
          </cell>
          <cell r="C109">
            <v>7007.13</v>
          </cell>
        </row>
        <row r="110">
          <cell r="A110" t="str">
            <v>33140007</v>
          </cell>
          <cell r="B110" t="str">
            <v>INTERESES PRESTAMO EMPLEADOS</v>
          </cell>
          <cell r="C110">
            <v>21498.25</v>
          </cell>
        </row>
        <row r="111">
          <cell r="A111" t="str">
            <v>33140008</v>
          </cell>
          <cell r="B111" t="str">
            <v>MANTENIMIENTO POR PAGAR</v>
          </cell>
          <cell r="C111">
            <v>6632.27</v>
          </cell>
        </row>
        <row r="112">
          <cell r="A112" t="str">
            <v>33140009</v>
          </cell>
          <cell r="B112" t="str">
            <v>RETENCION 10% S/PRODUCTOS FINANCIEROS</v>
          </cell>
          <cell r="C112">
            <v>11084.93</v>
          </cell>
        </row>
        <row r="113">
          <cell r="A113" t="str">
            <v>33140010</v>
          </cell>
          <cell r="B113" t="str">
            <v>DIETAS RICARDO POMA</v>
          </cell>
          <cell r="C113">
            <v>123054.18</v>
          </cell>
        </row>
        <row r="114">
          <cell r="A114" t="str">
            <v>33140011</v>
          </cell>
          <cell r="B114" t="str">
            <v>BANCO DE LOS TRABAJADORES S.A.</v>
          </cell>
          <cell r="C114">
            <v>1067.72</v>
          </cell>
        </row>
        <row r="115">
          <cell r="A115" t="str">
            <v>33140012</v>
          </cell>
          <cell r="B115" t="str">
            <v>MANO DE OBRA (OBRAS)</v>
          </cell>
          <cell r="C115">
            <v>0</v>
          </cell>
        </row>
        <row r="116">
          <cell r="A116" t="str">
            <v>33140016</v>
          </cell>
          <cell r="B116" t="str">
            <v>SUELDOS POR PAGAR</v>
          </cell>
          <cell r="C116">
            <v>0</v>
          </cell>
        </row>
        <row r="117">
          <cell r="A117" t="str">
            <v>33140024</v>
          </cell>
          <cell r="B117" t="str">
            <v>OTRAS CUENTAS POR PAGAR</v>
          </cell>
          <cell r="C117">
            <v>48404.36</v>
          </cell>
        </row>
        <row r="118">
          <cell r="A118" t="str">
            <v>33140026</v>
          </cell>
          <cell r="B118" t="str">
            <v>ALQUILERES POR PAGAR</v>
          </cell>
          <cell r="C118">
            <v>10300.14</v>
          </cell>
        </row>
        <row r="119">
          <cell r="A119" t="str">
            <v>33140028</v>
          </cell>
          <cell r="B119" t="str">
            <v>PROVISION MANO DE OBRA JAMBA</v>
          </cell>
          <cell r="C119">
            <v>0</v>
          </cell>
        </row>
        <row r="120">
          <cell r="A120" t="str">
            <v>33140032</v>
          </cell>
          <cell r="B120" t="str">
            <v>DESCTO POR APLICAR A PROVEEDORES</v>
          </cell>
          <cell r="C120">
            <v>0</v>
          </cell>
        </row>
        <row r="121">
          <cell r="A121" t="str">
            <v>33140045</v>
          </cell>
          <cell r="B121" t="str">
            <v>FESTEJOS NAVIDEÑOS</v>
          </cell>
          <cell r="C121">
            <v>7265.28</v>
          </cell>
        </row>
        <row r="122">
          <cell r="A122" t="str">
            <v>33140074</v>
          </cell>
          <cell r="B122" t="str">
            <v>CHEQUES EN CIRCULACION</v>
          </cell>
          <cell r="C122">
            <v>0</v>
          </cell>
        </row>
        <row r="123">
          <cell r="A123" t="str">
            <v>33140115</v>
          </cell>
          <cell r="B123" t="str">
            <v>AUDITORIA EXTERNA</v>
          </cell>
          <cell r="C123">
            <v>17460</v>
          </cell>
        </row>
        <row r="124">
          <cell r="A124" t="str">
            <v>33140116</v>
          </cell>
          <cell r="B124" t="str">
            <v>AUDITORIA CORPORATIVA</v>
          </cell>
          <cell r="C124">
            <v>0</v>
          </cell>
        </row>
        <row r="125">
          <cell r="A125" t="str">
            <v>33140254</v>
          </cell>
          <cell r="B125" t="str">
            <v>GUANTES Y UNIFORMES</v>
          </cell>
          <cell r="C125">
            <v>0</v>
          </cell>
        </row>
        <row r="126">
          <cell r="A126" t="str">
            <v>33140261</v>
          </cell>
          <cell r="B126" t="str">
            <v>COSTOS POR APLICAR</v>
          </cell>
          <cell r="C126">
            <v>198997.64</v>
          </cell>
        </row>
        <row r="127">
          <cell r="A127" t="str">
            <v>33150001</v>
          </cell>
          <cell r="B127" t="str">
            <v>CUENTAS X PAGAR AFILIADAS.</v>
          </cell>
          <cell r="C127">
            <v>4735349.49</v>
          </cell>
        </row>
        <row r="128">
          <cell r="A128" t="str">
            <v>33150002</v>
          </cell>
          <cell r="B128" t="str">
            <v>CUENTAS POR PAGAR AFILIADAS DOLARES</v>
          </cell>
          <cell r="C128">
            <v>1617966.6</v>
          </cell>
        </row>
        <row r="129">
          <cell r="A129" t="str">
            <v>33150099</v>
          </cell>
          <cell r="B129" t="str">
            <v>DIFERENCIAL CAMBIARIO</v>
          </cell>
          <cell r="C129">
            <v>10937454.210000001</v>
          </cell>
        </row>
        <row r="130">
          <cell r="A130" t="str">
            <v>33160001</v>
          </cell>
          <cell r="B130" t="str">
            <v>ANTICIPOS DE CLIENTES</v>
          </cell>
          <cell r="C130">
            <v>272276.84000000003</v>
          </cell>
        </row>
        <row r="131">
          <cell r="A131" t="str">
            <v>33220001</v>
          </cell>
          <cell r="B131" t="str">
            <v>IVA DEBITO</v>
          </cell>
          <cell r="C131">
            <v>396677.26</v>
          </cell>
        </row>
        <row r="132">
          <cell r="A132" t="str">
            <v>44110001</v>
          </cell>
          <cell r="B132" t="str">
            <v>CAPITAL PAGADO</v>
          </cell>
          <cell r="C132">
            <v>17005000</v>
          </cell>
        </row>
        <row r="133">
          <cell r="A133" t="str">
            <v>44210001</v>
          </cell>
          <cell r="B133" t="str">
            <v>RESERVA LEGAL</v>
          </cell>
          <cell r="C133">
            <v>319830.36</v>
          </cell>
        </row>
        <row r="134">
          <cell r="A134" t="str">
            <v>44310002</v>
          </cell>
          <cell r="B134" t="str">
            <v>UTILIDADES RETENIDAS</v>
          </cell>
          <cell r="C134">
            <v>1983344.59</v>
          </cell>
        </row>
        <row r="135">
          <cell r="A135" t="str">
            <v>44310003</v>
          </cell>
          <cell r="B135" t="str">
            <v>UTILIDADES ACUMULADAS</v>
          </cell>
          <cell r="C135">
            <v>1327534.72</v>
          </cell>
        </row>
        <row r="136">
          <cell r="A136" t="str">
            <v>44310004</v>
          </cell>
          <cell r="B136" t="str">
            <v>UTILIDAD PERDIDA 1996</v>
          </cell>
          <cell r="C136">
            <v>-3314612.48</v>
          </cell>
        </row>
        <row r="137">
          <cell r="A137" t="str">
            <v>44310006</v>
          </cell>
          <cell r="B137" t="str">
            <v>UTILIDADES DEL EJERCICIO 1999</v>
          </cell>
          <cell r="C137">
            <v>1552877.04</v>
          </cell>
        </row>
        <row r="138">
          <cell r="A138" t="str">
            <v>44310007</v>
          </cell>
          <cell r="B138" t="str">
            <v>UTILIDADES DEL EJERCICIO 2000</v>
          </cell>
          <cell r="C138">
            <v>-1632910.28</v>
          </cell>
        </row>
        <row r="139">
          <cell r="A139" t="str">
            <v>44310008</v>
          </cell>
          <cell r="B139" t="str">
            <v>PERDIDA DEL EJERCICIO 2001</v>
          </cell>
          <cell r="C139">
            <v>-4260418.79</v>
          </cell>
        </row>
        <row r="140">
          <cell r="A140" t="str">
            <v>55110001</v>
          </cell>
          <cell r="B140" t="str">
            <v>VENTAS LOCALES</v>
          </cell>
          <cell r="C140">
            <v>10090308.689999999</v>
          </cell>
        </row>
        <row r="141">
          <cell r="A141" t="str">
            <v>55110002</v>
          </cell>
          <cell r="B141" t="str">
            <v>VENTAS OBRAS</v>
          </cell>
          <cell r="C141">
            <v>430787.11</v>
          </cell>
        </row>
        <row r="142">
          <cell r="A142" t="str">
            <v>55110003</v>
          </cell>
          <cell r="B142" t="str">
            <v>VENTAS ESPECIALES</v>
          </cell>
          <cell r="C142">
            <v>4169087.81</v>
          </cell>
        </row>
        <row r="143">
          <cell r="A143" t="str">
            <v>55120001</v>
          </cell>
          <cell r="B143" t="str">
            <v>VENTAS TECULUTAN</v>
          </cell>
          <cell r="C143">
            <v>6566606.1200000001</v>
          </cell>
        </row>
        <row r="144">
          <cell r="A144" t="str">
            <v>55130001</v>
          </cell>
          <cell r="B144" t="str">
            <v>VENTAS QUETZALTENANGO</v>
          </cell>
          <cell r="C144">
            <v>5043390.18</v>
          </cell>
        </row>
        <row r="145">
          <cell r="A145" t="str">
            <v>55140001</v>
          </cell>
          <cell r="B145" t="str">
            <v>VENTAS RETALHULEU</v>
          </cell>
          <cell r="C145">
            <v>3587508.77</v>
          </cell>
        </row>
        <row r="146">
          <cell r="A146" t="str">
            <v>55150001</v>
          </cell>
          <cell r="B146" t="str">
            <v>VENTAS MARISCAL ZONA 11</v>
          </cell>
          <cell r="C146">
            <v>5664915.29</v>
          </cell>
        </row>
        <row r="147">
          <cell r="A147" t="str">
            <v>55160001</v>
          </cell>
          <cell r="B147" t="str">
            <v>VENTAS PTO.BARRIOS</v>
          </cell>
          <cell r="C147">
            <v>2821278.94</v>
          </cell>
        </row>
        <row r="148">
          <cell r="A148" t="str">
            <v>55170001</v>
          </cell>
          <cell r="B148" t="str">
            <v>VENTAS PETEN</v>
          </cell>
          <cell r="C148">
            <v>835612.87</v>
          </cell>
        </row>
        <row r="149">
          <cell r="A149" t="str">
            <v>55190001</v>
          </cell>
          <cell r="B149" t="str">
            <v>VENTAS JUTIAPA</v>
          </cell>
          <cell r="C149">
            <v>1145035.1000000001</v>
          </cell>
        </row>
        <row r="150">
          <cell r="A150" t="str">
            <v>55640001</v>
          </cell>
          <cell r="B150" t="str">
            <v>VENTAS VARIAS</v>
          </cell>
          <cell r="C150">
            <v>679675.27</v>
          </cell>
        </row>
        <row r="151">
          <cell r="A151" t="str">
            <v>55650001</v>
          </cell>
          <cell r="B151" t="str">
            <v>INTERESES PRODUCTO</v>
          </cell>
          <cell r="C151">
            <v>47080.97</v>
          </cell>
        </row>
        <row r="152">
          <cell r="A152" t="str">
            <v>55650014</v>
          </cell>
          <cell r="B152" t="str">
            <v>COBRO POR CHEQUES RECHAZADOS</v>
          </cell>
          <cell r="C152">
            <v>0</v>
          </cell>
        </row>
        <row r="153">
          <cell r="A153" t="str">
            <v>55650015</v>
          </cell>
          <cell r="B153" t="str">
            <v>INGRESOS VARIOS</v>
          </cell>
          <cell r="C153">
            <v>17405.43</v>
          </cell>
        </row>
        <row r="154">
          <cell r="A154" t="str">
            <v>66110001</v>
          </cell>
          <cell r="B154" t="str">
            <v>COSTO DE VENTAS ZONA 12</v>
          </cell>
          <cell r="C154">
            <v>8801512.4600000009</v>
          </cell>
        </row>
        <row r="155">
          <cell r="A155" t="str">
            <v>66110002</v>
          </cell>
          <cell r="B155" t="str">
            <v>COSTO DE VENTAS TECULUTAN</v>
          </cell>
          <cell r="C155">
            <v>4915845.46</v>
          </cell>
        </row>
        <row r="156">
          <cell r="A156" t="str">
            <v>66110003</v>
          </cell>
          <cell r="B156" t="str">
            <v>COSTO DE VENTAS QUETZALTENANGO</v>
          </cell>
          <cell r="C156">
            <v>3649902.88</v>
          </cell>
        </row>
        <row r="157">
          <cell r="A157" t="str">
            <v>66110004</v>
          </cell>
          <cell r="B157" t="str">
            <v>COSTO DE VENTAS RETALHULEU</v>
          </cell>
          <cell r="C157">
            <v>2467577.59</v>
          </cell>
        </row>
        <row r="158">
          <cell r="A158" t="str">
            <v>66110005</v>
          </cell>
          <cell r="B158" t="str">
            <v>COSTO DE VENTAS OBRAS</v>
          </cell>
          <cell r="C158">
            <v>1942633.67</v>
          </cell>
        </row>
        <row r="159">
          <cell r="A159" t="str">
            <v>66110006</v>
          </cell>
          <cell r="B159" t="str">
            <v>COSTO DE VENTAS PTO.BARRIOS</v>
          </cell>
          <cell r="C159">
            <v>2124539.2200000002</v>
          </cell>
        </row>
        <row r="160">
          <cell r="A160" t="str">
            <v>66110008</v>
          </cell>
          <cell r="B160" t="str">
            <v>COSTO DE VENTAS JUTIAPA</v>
          </cell>
          <cell r="C160">
            <v>876102.98</v>
          </cell>
        </row>
        <row r="161">
          <cell r="A161" t="str">
            <v>66110009</v>
          </cell>
          <cell r="B161" t="str">
            <v>COSTO DE VENTAS MARISCAL</v>
          </cell>
          <cell r="C161">
            <v>4086950.83</v>
          </cell>
        </row>
        <row r="162">
          <cell r="A162" t="str">
            <v>66110013</v>
          </cell>
          <cell r="B162" t="str">
            <v>COSTO DE VENTAS PETEN</v>
          </cell>
          <cell r="C162">
            <v>668089.77</v>
          </cell>
        </row>
        <row r="163">
          <cell r="A163" t="str">
            <v>66510001</v>
          </cell>
          <cell r="B163" t="str">
            <v>SUELDOS</v>
          </cell>
          <cell r="C163">
            <v>72435.820000000007</v>
          </cell>
        </row>
        <row r="164">
          <cell r="A164" t="str">
            <v>66510002</v>
          </cell>
          <cell r="B164" t="str">
            <v>HORAS EXTRAS</v>
          </cell>
          <cell r="C164">
            <v>21699.26</v>
          </cell>
        </row>
        <row r="165">
          <cell r="A165" t="str">
            <v>66510004</v>
          </cell>
          <cell r="B165" t="str">
            <v>AGUINALDOS</v>
          </cell>
          <cell r="C165">
            <v>7661.15</v>
          </cell>
        </row>
        <row r="166">
          <cell r="A166" t="str">
            <v>66510005</v>
          </cell>
          <cell r="B166" t="str">
            <v>VACACIONES</v>
          </cell>
          <cell r="C166">
            <v>7661.15</v>
          </cell>
        </row>
        <row r="167">
          <cell r="A167" t="str">
            <v>66510006</v>
          </cell>
          <cell r="B167" t="str">
            <v>INDEMNIZACIONES</v>
          </cell>
          <cell r="C167">
            <v>7661.15</v>
          </cell>
        </row>
        <row r="168">
          <cell r="A168" t="str">
            <v>66510007</v>
          </cell>
          <cell r="B168" t="str">
            <v>BONO 14 DEC. 42-92</v>
          </cell>
          <cell r="C168">
            <v>8736.15</v>
          </cell>
        </row>
        <row r="169">
          <cell r="A169" t="str">
            <v>66510008</v>
          </cell>
          <cell r="B169" t="str">
            <v>BONO INCENTIVO</v>
          </cell>
          <cell r="C169">
            <v>20045.34</v>
          </cell>
        </row>
        <row r="170">
          <cell r="A170" t="str">
            <v>66510010</v>
          </cell>
          <cell r="B170" t="str">
            <v>SEGURO SOCIAL (I.G.S.S.)</v>
          </cell>
          <cell r="C170">
            <v>11783.41</v>
          </cell>
        </row>
        <row r="171">
          <cell r="A171" t="str">
            <v>66510011</v>
          </cell>
          <cell r="B171" t="str">
            <v>SEGURO DE VIDA Y GTOS. MEDICOS</v>
          </cell>
          <cell r="C171">
            <v>1011.16</v>
          </cell>
        </row>
        <row r="172">
          <cell r="A172" t="str">
            <v>66510015</v>
          </cell>
          <cell r="B172" t="str">
            <v>FESTEJOS NAVIDEÑOS</v>
          </cell>
          <cell r="C172">
            <v>1755.01</v>
          </cell>
        </row>
        <row r="173">
          <cell r="A173" t="str">
            <v>66510019</v>
          </cell>
          <cell r="B173" t="str">
            <v>SEGUROS</v>
          </cell>
          <cell r="C173">
            <v>95.39</v>
          </cell>
        </row>
        <row r="174">
          <cell r="A174" t="str">
            <v>66510021</v>
          </cell>
          <cell r="B174" t="str">
            <v>VIATICOS Y GASTOS DE VIAJE</v>
          </cell>
          <cell r="C174">
            <v>9370.7099999999991</v>
          </cell>
        </row>
        <row r="175">
          <cell r="A175" t="str">
            <v>66510028</v>
          </cell>
          <cell r="B175" t="str">
            <v>MANTENIMIENTO INTALACIONES</v>
          </cell>
          <cell r="C175">
            <v>133.93</v>
          </cell>
        </row>
        <row r="176">
          <cell r="A176" t="str">
            <v>66510029</v>
          </cell>
          <cell r="B176" t="str">
            <v>MANTENIMIENTO MAQ. Y EQUIPO</v>
          </cell>
          <cell r="C176">
            <v>11931.21</v>
          </cell>
        </row>
        <row r="177">
          <cell r="A177" t="str">
            <v>66510032</v>
          </cell>
          <cell r="B177" t="str">
            <v>HERRAMIENTAS UTILIZADAS</v>
          </cell>
          <cell r="C177">
            <v>20.89</v>
          </cell>
        </row>
        <row r="178">
          <cell r="A178" t="str">
            <v>66510098</v>
          </cell>
          <cell r="B178" t="str">
            <v>PROVISION COSTO DE FABRICACION</v>
          </cell>
          <cell r="C178">
            <v>-182001.73</v>
          </cell>
        </row>
        <row r="179">
          <cell r="A179" t="str">
            <v>77110001</v>
          </cell>
          <cell r="B179" t="str">
            <v>SUELDOS</v>
          </cell>
          <cell r="C179">
            <v>264688.19</v>
          </cell>
        </row>
        <row r="180">
          <cell r="A180" t="str">
            <v>77110002</v>
          </cell>
          <cell r="B180" t="str">
            <v>HORAS EXTRAS</v>
          </cell>
          <cell r="C180">
            <v>13413.34</v>
          </cell>
        </row>
        <row r="181">
          <cell r="A181" t="str">
            <v>77110003</v>
          </cell>
          <cell r="B181" t="str">
            <v>COMISIONES S/VENTAS</v>
          </cell>
          <cell r="C181">
            <v>156953.32999999999</v>
          </cell>
        </row>
        <row r="182">
          <cell r="A182" t="str">
            <v>77110004</v>
          </cell>
          <cell r="B182" t="str">
            <v>AGUINALDOS</v>
          </cell>
          <cell r="C182">
            <v>37570.019999999997</v>
          </cell>
        </row>
        <row r="183">
          <cell r="A183" t="str">
            <v>77110005</v>
          </cell>
          <cell r="B183" t="str">
            <v>VACACIONES</v>
          </cell>
          <cell r="C183">
            <v>35614.35</v>
          </cell>
        </row>
        <row r="184">
          <cell r="A184" t="str">
            <v>77110006</v>
          </cell>
          <cell r="B184" t="str">
            <v>INDEMNIZACIONES</v>
          </cell>
          <cell r="C184">
            <v>35099.699999999997</v>
          </cell>
        </row>
        <row r="185">
          <cell r="A185" t="str">
            <v>77110007</v>
          </cell>
          <cell r="B185" t="str">
            <v>BONO 14 DEC. 42-92</v>
          </cell>
          <cell r="C185">
            <v>41999.7</v>
          </cell>
        </row>
        <row r="186">
          <cell r="A186" t="str">
            <v>77110008</v>
          </cell>
          <cell r="B186" t="str">
            <v>BONO INCENTIVO</v>
          </cell>
          <cell r="C186">
            <v>39474.03</v>
          </cell>
        </row>
        <row r="187">
          <cell r="A187" t="str">
            <v>77110010</v>
          </cell>
          <cell r="B187" t="str">
            <v>SEGURO SOCIAL (I.G.S.S.)</v>
          </cell>
          <cell r="C187">
            <v>55214.28</v>
          </cell>
        </row>
        <row r="188">
          <cell r="A188" t="str">
            <v>77110011</v>
          </cell>
          <cell r="B188" t="str">
            <v>SEGURO DE VIDA Y GTOS. MEDICOS</v>
          </cell>
          <cell r="C188">
            <v>21836.720000000001</v>
          </cell>
        </row>
        <row r="189">
          <cell r="A189" t="str">
            <v>77110012</v>
          </cell>
          <cell r="B189" t="str">
            <v>HONORARIOS PROFESIONALES</v>
          </cell>
          <cell r="C189">
            <v>18449.16</v>
          </cell>
        </row>
        <row r="190">
          <cell r="A190" t="str">
            <v>77110013</v>
          </cell>
          <cell r="B190" t="str">
            <v>CAPACITACION TECNICA</v>
          </cell>
          <cell r="C190">
            <v>813.75</v>
          </cell>
        </row>
        <row r="191">
          <cell r="A191" t="str">
            <v>77110014</v>
          </cell>
          <cell r="B191" t="str">
            <v>ATENCIONES AL PERSONAL</v>
          </cell>
          <cell r="C191">
            <v>38323.24</v>
          </cell>
        </row>
        <row r="192">
          <cell r="A192" t="str">
            <v>77110015</v>
          </cell>
          <cell r="B192" t="str">
            <v>FESTEJOS NAVIDEÑOS</v>
          </cell>
          <cell r="C192">
            <v>8040.71</v>
          </cell>
        </row>
        <row r="193">
          <cell r="A193" t="str">
            <v>77110018</v>
          </cell>
          <cell r="B193" t="str">
            <v>VIGILANCIA Y TRANSPORTE DE VALORES</v>
          </cell>
          <cell r="C193">
            <v>9826.89</v>
          </cell>
        </row>
        <row r="194">
          <cell r="A194" t="str">
            <v>77110019</v>
          </cell>
          <cell r="B194" t="str">
            <v>SEGUROS</v>
          </cell>
          <cell r="C194">
            <v>31360.39</v>
          </cell>
        </row>
        <row r="195">
          <cell r="A195" t="str">
            <v>77110020</v>
          </cell>
          <cell r="B195" t="str">
            <v>COMUNICACIONES Y CORREO</v>
          </cell>
          <cell r="C195">
            <v>242829.56</v>
          </cell>
        </row>
        <row r="196">
          <cell r="A196" t="str">
            <v>77110021</v>
          </cell>
          <cell r="B196" t="str">
            <v>VIATICOS Y GTOS. DE VIAJE</v>
          </cell>
          <cell r="C196">
            <v>53702.45</v>
          </cell>
        </row>
        <row r="197">
          <cell r="A197" t="str">
            <v>77110022</v>
          </cell>
          <cell r="B197" t="str">
            <v>ENERGIA ELECTRICA</v>
          </cell>
          <cell r="C197">
            <v>92686.57</v>
          </cell>
        </row>
        <row r="198">
          <cell r="A198" t="str">
            <v>77110023</v>
          </cell>
          <cell r="B198" t="str">
            <v>AGUA POTABLE</v>
          </cell>
          <cell r="C198">
            <v>13387.6</v>
          </cell>
        </row>
        <row r="199">
          <cell r="A199" t="str">
            <v>77110024</v>
          </cell>
          <cell r="B199" t="str">
            <v>PAPELERIA Y UTILES</v>
          </cell>
          <cell r="C199">
            <v>43825.39</v>
          </cell>
        </row>
        <row r="200">
          <cell r="A200" t="str">
            <v>77110025</v>
          </cell>
          <cell r="B200" t="str">
            <v>COMBUSTIBLES Y LUBRICANTES</v>
          </cell>
          <cell r="C200">
            <v>128193.32</v>
          </cell>
        </row>
        <row r="201">
          <cell r="A201" t="str">
            <v>77110026</v>
          </cell>
          <cell r="B201" t="str">
            <v>MATERIALES Y UTILES</v>
          </cell>
          <cell r="C201">
            <v>6938.99</v>
          </cell>
        </row>
        <row r="202">
          <cell r="A202" t="str">
            <v>77110027</v>
          </cell>
          <cell r="B202" t="str">
            <v>MANTENIMIENTO EDIFICIOS</v>
          </cell>
          <cell r="C202">
            <v>9635.35</v>
          </cell>
        </row>
        <row r="203">
          <cell r="A203" t="str">
            <v>77110028</v>
          </cell>
          <cell r="B203" t="str">
            <v>MANTENIMIENTO INSTALACIONES</v>
          </cell>
          <cell r="C203">
            <v>118849.23</v>
          </cell>
        </row>
        <row r="204">
          <cell r="A204" t="str">
            <v>77110029</v>
          </cell>
          <cell r="B204" t="str">
            <v>MANTENIMIENTO MAQ. Y EQUIPO</v>
          </cell>
          <cell r="C204">
            <v>615.71</v>
          </cell>
        </row>
        <row r="205">
          <cell r="A205" t="str">
            <v>77110030</v>
          </cell>
          <cell r="B205" t="str">
            <v>MANTENIMIENTO MOB. Y EQUIPO</v>
          </cell>
          <cell r="C205">
            <v>8998.85</v>
          </cell>
        </row>
        <row r="206">
          <cell r="A206" t="str">
            <v>77110031</v>
          </cell>
          <cell r="B206" t="str">
            <v>MANTENIMIENTO VEHICULOS</v>
          </cell>
          <cell r="C206">
            <v>33458.74</v>
          </cell>
        </row>
        <row r="207">
          <cell r="A207" t="str">
            <v>77110032</v>
          </cell>
          <cell r="B207" t="str">
            <v>HERRAMIENTAS UTILIZADAS</v>
          </cell>
          <cell r="C207">
            <v>195.46</v>
          </cell>
        </row>
        <row r="208">
          <cell r="A208" t="str">
            <v>77110033</v>
          </cell>
          <cell r="B208" t="str">
            <v>DEPRECIACIONES MAQ. Y EQUIPO</v>
          </cell>
          <cell r="C208">
            <v>17206.68</v>
          </cell>
        </row>
        <row r="209">
          <cell r="A209" t="str">
            <v>77110034</v>
          </cell>
          <cell r="B209" t="str">
            <v>DEPRECIACIONES MOB. Y EQUIPO</v>
          </cell>
          <cell r="C209">
            <v>96476.58</v>
          </cell>
        </row>
        <row r="210">
          <cell r="A210" t="str">
            <v>77110035</v>
          </cell>
          <cell r="B210" t="str">
            <v>DEPRECIACION VEHICULOS</v>
          </cell>
          <cell r="C210">
            <v>38898.870000000003</v>
          </cell>
        </row>
        <row r="211">
          <cell r="A211" t="str">
            <v>77110036</v>
          </cell>
          <cell r="B211" t="str">
            <v>DEPRECIACION EDIFICIOS E INS.</v>
          </cell>
          <cell r="C211">
            <v>15894.48</v>
          </cell>
        </row>
        <row r="212">
          <cell r="A212" t="str">
            <v>77110037</v>
          </cell>
          <cell r="B212" t="str">
            <v>ALQUILERES</v>
          </cell>
          <cell r="C212">
            <v>465365.71</v>
          </cell>
        </row>
        <row r="213">
          <cell r="A213" t="str">
            <v>77110039</v>
          </cell>
          <cell r="B213" t="str">
            <v>MUESTRAS VENTAS ZONA 12</v>
          </cell>
          <cell r="C213">
            <v>10.46</v>
          </cell>
        </row>
        <row r="214">
          <cell r="A214" t="str">
            <v>77110041</v>
          </cell>
          <cell r="B214" t="str">
            <v>IMPUESTOS FISCALES Y MUNICIPAL</v>
          </cell>
          <cell r="C214">
            <v>8264.39</v>
          </cell>
        </row>
        <row r="215">
          <cell r="A215" t="str">
            <v>77110042</v>
          </cell>
          <cell r="B215" t="str">
            <v>MULTAS Y RECARGOS</v>
          </cell>
          <cell r="C215">
            <v>375</v>
          </cell>
        </row>
        <row r="216">
          <cell r="A216" t="str">
            <v>77110045</v>
          </cell>
          <cell r="B216" t="str">
            <v>PUBLICIDAD Y PROPAGANDA</v>
          </cell>
          <cell r="C216">
            <v>46556.82</v>
          </cell>
        </row>
        <row r="217">
          <cell r="A217" t="str">
            <v>77110046</v>
          </cell>
          <cell r="B217" t="str">
            <v>SUSCRIPCIONES Y PUBLICACIONES</v>
          </cell>
          <cell r="C217">
            <v>74094.06</v>
          </cell>
        </row>
        <row r="218">
          <cell r="A218" t="str">
            <v>77110048</v>
          </cell>
          <cell r="B218" t="str">
            <v>PARQUEOS</v>
          </cell>
          <cell r="C218">
            <v>515.39</v>
          </cell>
        </row>
        <row r="219">
          <cell r="A219" t="str">
            <v>77110049</v>
          </cell>
          <cell r="B219" t="str">
            <v>DEPREC. VEHICULOS VENDEDORES</v>
          </cell>
          <cell r="C219">
            <v>59790.71</v>
          </cell>
        </row>
        <row r="220">
          <cell r="A220" t="str">
            <v>77110050</v>
          </cell>
          <cell r="B220" t="str">
            <v>OBSEQUIOS NAVIDEÑOS CLIENTES</v>
          </cell>
          <cell r="C220">
            <v>0</v>
          </cell>
        </row>
        <row r="221">
          <cell r="A221" t="str">
            <v>77110051</v>
          </cell>
          <cell r="B221" t="str">
            <v>MATERIAL DE EMPAQUE Y SUMINIST</v>
          </cell>
          <cell r="C221">
            <v>782.07</v>
          </cell>
        </row>
        <row r="222">
          <cell r="A222" t="str">
            <v>77110052</v>
          </cell>
          <cell r="B222" t="str">
            <v>FLETES Y ACARREOS</v>
          </cell>
          <cell r="C222">
            <v>5095.3500000000004</v>
          </cell>
        </row>
        <row r="223">
          <cell r="A223" t="str">
            <v>77110056</v>
          </cell>
          <cell r="B223" t="str">
            <v>GASTOS NO DEDUCIBLES</v>
          </cell>
          <cell r="C223">
            <v>7061.43</v>
          </cell>
        </row>
        <row r="224">
          <cell r="A224" t="str">
            <v>77220001</v>
          </cell>
          <cell r="B224" t="str">
            <v>SUELDOS</v>
          </cell>
          <cell r="C224">
            <v>102360.73</v>
          </cell>
        </row>
        <row r="225">
          <cell r="A225" t="str">
            <v>77220002</v>
          </cell>
          <cell r="B225" t="str">
            <v>HORAS EXTRAS</v>
          </cell>
          <cell r="C225">
            <v>3013.03</v>
          </cell>
        </row>
        <row r="226">
          <cell r="A226" t="str">
            <v>77220003</v>
          </cell>
          <cell r="B226" t="str">
            <v>COMISIONES S/VENTAS</v>
          </cell>
          <cell r="C226">
            <v>82642.759999999995</v>
          </cell>
        </row>
        <row r="227">
          <cell r="A227" t="str">
            <v>77220004</v>
          </cell>
          <cell r="B227" t="str">
            <v>AGUINALDOS</v>
          </cell>
          <cell r="C227">
            <v>15462.36</v>
          </cell>
        </row>
        <row r="228">
          <cell r="A228" t="str">
            <v>77220005</v>
          </cell>
          <cell r="B228" t="str">
            <v>VACACIONES</v>
          </cell>
          <cell r="C228">
            <v>14913.35</v>
          </cell>
        </row>
        <row r="229">
          <cell r="A229" t="str">
            <v>77220006</v>
          </cell>
          <cell r="B229" t="str">
            <v>INDEMNIZACIONES</v>
          </cell>
          <cell r="C229">
            <v>14771.93</v>
          </cell>
        </row>
        <row r="230">
          <cell r="A230" t="str">
            <v>77220007</v>
          </cell>
          <cell r="B230" t="str">
            <v>BONO 14 DEC. 42-92</v>
          </cell>
          <cell r="C230">
            <v>16667.93</v>
          </cell>
        </row>
        <row r="231">
          <cell r="A231" t="str">
            <v>77220008</v>
          </cell>
          <cell r="B231" t="str">
            <v>BONO INCENTIVO</v>
          </cell>
          <cell r="C231">
            <v>26224.12</v>
          </cell>
        </row>
        <row r="232">
          <cell r="A232" t="str">
            <v>77220010</v>
          </cell>
          <cell r="B232" t="str">
            <v>SEGURO SOCIAL (I.G.S.S.)</v>
          </cell>
          <cell r="C232">
            <v>15632.08</v>
          </cell>
        </row>
        <row r="233">
          <cell r="A233" t="str">
            <v>77220011</v>
          </cell>
          <cell r="B233" t="str">
            <v>SEGURO DE VIDA Y GTOS MEDICOS</v>
          </cell>
          <cell r="C233">
            <v>2239.98</v>
          </cell>
        </row>
        <row r="234">
          <cell r="A234" t="str">
            <v>77220012</v>
          </cell>
          <cell r="B234" t="str">
            <v>HONORARIOS PROFESIONALES</v>
          </cell>
          <cell r="C234">
            <v>750</v>
          </cell>
        </row>
        <row r="235">
          <cell r="A235" t="str">
            <v>77220013</v>
          </cell>
          <cell r="B235" t="str">
            <v>CAPACITACION TECNICA</v>
          </cell>
          <cell r="C235">
            <v>303.57</v>
          </cell>
        </row>
        <row r="236">
          <cell r="A236" t="str">
            <v>77220014</v>
          </cell>
          <cell r="B236" t="str">
            <v>ATENCIONES AL PERSONAL</v>
          </cell>
          <cell r="C236">
            <v>1390.27</v>
          </cell>
        </row>
        <row r="237">
          <cell r="A237" t="str">
            <v>77220015</v>
          </cell>
          <cell r="B237" t="str">
            <v>FESTEJOS NAVIDEÑOS</v>
          </cell>
          <cell r="C237">
            <v>3990.95</v>
          </cell>
        </row>
        <row r="238">
          <cell r="A238" t="str">
            <v>77220019</v>
          </cell>
          <cell r="B238" t="str">
            <v>SEGUROS</v>
          </cell>
          <cell r="C238">
            <v>12347.5</v>
          </cell>
        </row>
        <row r="239">
          <cell r="A239" t="str">
            <v>77220020</v>
          </cell>
          <cell r="B239" t="str">
            <v>COMUNICACIONES Y CORREO</v>
          </cell>
          <cell r="C239">
            <v>15875.92</v>
          </cell>
        </row>
        <row r="240">
          <cell r="A240" t="str">
            <v>77220021</v>
          </cell>
          <cell r="B240" t="str">
            <v>VIATICOS Y GTOS. DE VIAJE</v>
          </cell>
          <cell r="C240">
            <v>59585.75</v>
          </cell>
        </row>
        <row r="241">
          <cell r="A241" t="str">
            <v>77220022</v>
          </cell>
          <cell r="B241" t="str">
            <v>ENERGIA ELECTRICA</v>
          </cell>
          <cell r="C241">
            <v>2020.26</v>
          </cell>
        </row>
        <row r="242">
          <cell r="A242" t="str">
            <v>77220024</v>
          </cell>
          <cell r="B242" t="str">
            <v>PAPELERIA Y UTILES</v>
          </cell>
          <cell r="C242">
            <v>5482.98</v>
          </cell>
        </row>
        <row r="243">
          <cell r="A243" t="str">
            <v>77220025</v>
          </cell>
          <cell r="B243" t="str">
            <v>COMBUTIBLES Y LUBRICANTES</v>
          </cell>
          <cell r="C243">
            <v>44428.74</v>
          </cell>
        </row>
        <row r="244">
          <cell r="A244" t="str">
            <v>77220026</v>
          </cell>
          <cell r="B244" t="str">
            <v>MATERIALES Y UTILES DE ASEO</v>
          </cell>
          <cell r="C244">
            <v>274.33999999999997</v>
          </cell>
        </row>
        <row r="245">
          <cell r="A245" t="str">
            <v>77220027</v>
          </cell>
          <cell r="B245" t="str">
            <v>MANTENIMIENTO EDIFICIOS</v>
          </cell>
          <cell r="C245">
            <v>911.53</v>
          </cell>
        </row>
        <row r="246">
          <cell r="A246" t="str">
            <v>77220028</v>
          </cell>
          <cell r="B246" t="str">
            <v>MANTENIMIENTO INTALACIONES</v>
          </cell>
          <cell r="C246">
            <v>4673.47</v>
          </cell>
        </row>
        <row r="247">
          <cell r="A247" t="str">
            <v>77220029</v>
          </cell>
          <cell r="B247" t="str">
            <v>MANTENIMIENTO MAQ. Y EQUIPO</v>
          </cell>
          <cell r="C247">
            <v>562.48</v>
          </cell>
        </row>
        <row r="248">
          <cell r="A248" t="str">
            <v>77220030</v>
          </cell>
          <cell r="B248" t="str">
            <v>MANTENIMIENTO MOB. Y EQUIPO</v>
          </cell>
          <cell r="C248">
            <v>1516.5</v>
          </cell>
        </row>
        <row r="249">
          <cell r="A249" t="str">
            <v>77220031</v>
          </cell>
          <cell r="B249" t="str">
            <v>MANTENIMIENTO VEHICULOS</v>
          </cell>
          <cell r="C249">
            <v>41191.620000000003</v>
          </cell>
        </row>
        <row r="250">
          <cell r="A250" t="str">
            <v>77220032</v>
          </cell>
          <cell r="B250" t="str">
            <v>HERRAMIENTAS UTILIZADAS</v>
          </cell>
          <cell r="C250">
            <v>363.48</v>
          </cell>
        </row>
        <row r="251">
          <cell r="A251" t="str">
            <v>77220033</v>
          </cell>
          <cell r="B251" t="str">
            <v>DEPRECIACION MAQ. Y EQUIPO</v>
          </cell>
          <cell r="C251">
            <v>106.76</v>
          </cell>
        </row>
        <row r="252">
          <cell r="A252" t="str">
            <v>77220034</v>
          </cell>
          <cell r="B252" t="str">
            <v>DEPRECIACION MOB. Y EQUIPO</v>
          </cell>
          <cell r="C252">
            <v>3210.21</v>
          </cell>
        </row>
        <row r="253">
          <cell r="A253" t="str">
            <v>77220035</v>
          </cell>
          <cell r="B253" t="str">
            <v>DEPRECIACION VEHICULOS</v>
          </cell>
          <cell r="C253">
            <v>601.96</v>
          </cell>
        </row>
        <row r="254">
          <cell r="A254" t="str">
            <v>77220036</v>
          </cell>
          <cell r="B254" t="str">
            <v>DEPRECIACION EDIFICIOS E INST.</v>
          </cell>
          <cell r="C254">
            <v>112.44</v>
          </cell>
        </row>
        <row r="255">
          <cell r="A255" t="str">
            <v>77220037</v>
          </cell>
          <cell r="B255" t="str">
            <v>ALQUILERES</v>
          </cell>
          <cell r="C255">
            <v>55274.99</v>
          </cell>
        </row>
        <row r="256">
          <cell r="A256" t="str">
            <v>77220041</v>
          </cell>
          <cell r="B256" t="str">
            <v>IMPUESTOS FISCALES Y MUNICIP.</v>
          </cell>
          <cell r="C256">
            <v>466.96</v>
          </cell>
        </row>
        <row r="257">
          <cell r="A257" t="str">
            <v>77220045</v>
          </cell>
          <cell r="B257" t="str">
            <v>SUSCRIPCIONES Y ANUNCIOS</v>
          </cell>
          <cell r="C257">
            <v>178.57</v>
          </cell>
        </row>
        <row r="258">
          <cell r="A258" t="str">
            <v>77220046</v>
          </cell>
          <cell r="B258" t="str">
            <v>SUSCRPSIONES Y PUBLICACIONES</v>
          </cell>
          <cell r="C258">
            <v>387.5</v>
          </cell>
        </row>
        <row r="259">
          <cell r="A259" t="str">
            <v>77220048</v>
          </cell>
          <cell r="B259" t="str">
            <v>PARQUEOS</v>
          </cell>
          <cell r="C259">
            <v>299.55</v>
          </cell>
        </row>
        <row r="260">
          <cell r="A260" t="str">
            <v>77220049</v>
          </cell>
          <cell r="B260" t="str">
            <v>DEPRECIACION VEHICULOS VENDEDORES</v>
          </cell>
          <cell r="C260">
            <v>8801.4</v>
          </cell>
        </row>
        <row r="261">
          <cell r="A261" t="str">
            <v>77220051</v>
          </cell>
          <cell r="B261" t="str">
            <v>MATERIALE DE EMPAQUE Y SUMINIS</v>
          </cell>
          <cell r="C261">
            <v>901.23</v>
          </cell>
        </row>
        <row r="262">
          <cell r="A262" t="str">
            <v>77220052</v>
          </cell>
          <cell r="B262" t="str">
            <v>FLETES Y ACARREOS</v>
          </cell>
          <cell r="C262">
            <v>3921.28</v>
          </cell>
        </row>
        <row r="263">
          <cell r="A263" t="str">
            <v>77330001</v>
          </cell>
          <cell r="B263" t="str">
            <v>SUELDOS</v>
          </cell>
          <cell r="C263">
            <v>130396.96</v>
          </cell>
        </row>
        <row r="264">
          <cell r="A264" t="str">
            <v>77330002</v>
          </cell>
          <cell r="B264" t="str">
            <v>HORAS EXTRAS</v>
          </cell>
          <cell r="C264">
            <v>16527.96</v>
          </cell>
        </row>
        <row r="265">
          <cell r="A265" t="str">
            <v>77330003</v>
          </cell>
          <cell r="B265" t="str">
            <v>COMISIONES S/VENTAS</v>
          </cell>
          <cell r="C265">
            <v>110981.75</v>
          </cell>
        </row>
        <row r="266">
          <cell r="A266" t="str">
            <v>77330004</v>
          </cell>
          <cell r="B266" t="str">
            <v>AGUINALDOS</v>
          </cell>
          <cell r="C266">
            <v>20195.84</v>
          </cell>
        </row>
        <row r="267">
          <cell r="A267" t="str">
            <v>77330005</v>
          </cell>
          <cell r="B267" t="str">
            <v>VACACIONES</v>
          </cell>
          <cell r="C267">
            <v>19448.77</v>
          </cell>
        </row>
        <row r="268">
          <cell r="A268" t="str">
            <v>77330006</v>
          </cell>
          <cell r="B268" t="str">
            <v>INDEMNIZACIONES</v>
          </cell>
          <cell r="C268">
            <v>19256.330000000002</v>
          </cell>
        </row>
        <row r="269">
          <cell r="A269" t="str">
            <v>77330007</v>
          </cell>
          <cell r="B269" t="str">
            <v>BONO 14 DEC. 42-92</v>
          </cell>
          <cell r="C269">
            <v>21836.33</v>
          </cell>
        </row>
        <row r="270">
          <cell r="A270" t="str">
            <v>77330008</v>
          </cell>
          <cell r="B270" t="str">
            <v>BONO INCENTIVO</v>
          </cell>
          <cell r="C270">
            <v>26525.01</v>
          </cell>
        </row>
        <row r="271">
          <cell r="A271" t="str">
            <v>77330010</v>
          </cell>
          <cell r="B271" t="str">
            <v>SEGURO SOCIAL (I.G.S.S.)</v>
          </cell>
          <cell r="C271">
            <v>30101.69</v>
          </cell>
        </row>
        <row r="272">
          <cell r="A272" t="str">
            <v>77330011</v>
          </cell>
          <cell r="B272" t="str">
            <v>SEGURO DE VIDA Y GTOS. MEDICOS</v>
          </cell>
          <cell r="C272">
            <v>2391.98</v>
          </cell>
        </row>
        <row r="273">
          <cell r="A273" t="str">
            <v>77330014</v>
          </cell>
          <cell r="B273" t="str">
            <v>ATENCIONES AL PERSONAL</v>
          </cell>
          <cell r="C273">
            <v>2737.78</v>
          </cell>
        </row>
        <row r="274">
          <cell r="A274" t="str">
            <v>77330015</v>
          </cell>
          <cell r="B274" t="str">
            <v>FESTEJOS NAVIDEÑOS</v>
          </cell>
          <cell r="C274">
            <v>4411.2700000000004</v>
          </cell>
        </row>
        <row r="275">
          <cell r="A275" t="str">
            <v>77330018</v>
          </cell>
          <cell r="B275" t="str">
            <v>VIGILANCIA</v>
          </cell>
          <cell r="C275">
            <v>6263.29</v>
          </cell>
        </row>
        <row r="276">
          <cell r="A276" t="str">
            <v>77330019</v>
          </cell>
          <cell r="B276" t="str">
            <v>SEGUROS</v>
          </cell>
          <cell r="C276">
            <v>20190.37</v>
          </cell>
        </row>
        <row r="277">
          <cell r="A277" t="str">
            <v>77330020</v>
          </cell>
          <cell r="B277" t="str">
            <v>COMUNICACIONES Y CORREO</v>
          </cell>
          <cell r="C277">
            <v>21467.55</v>
          </cell>
        </row>
        <row r="278">
          <cell r="A278" t="str">
            <v>77330021</v>
          </cell>
          <cell r="B278" t="str">
            <v>VIATICOS Y GTOS. DE VIAJE</v>
          </cell>
          <cell r="C278">
            <v>29271.96</v>
          </cell>
        </row>
        <row r="279">
          <cell r="A279" t="str">
            <v>77330022</v>
          </cell>
          <cell r="B279" t="str">
            <v>ENERGIA ELECTRICA</v>
          </cell>
          <cell r="C279">
            <v>32613.43</v>
          </cell>
        </row>
        <row r="280">
          <cell r="A280" t="str">
            <v>77330024</v>
          </cell>
          <cell r="B280" t="str">
            <v>PAPELERIA Y UTILES</v>
          </cell>
          <cell r="C280">
            <v>6485.42</v>
          </cell>
        </row>
        <row r="281">
          <cell r="A281" t="str">
            <v>77330025</v>
          </cell>
          <cell r="B281" t="str">
            <v>COMBUSTIBLES Y LUBRICANTES</v>
          </cell>
          <cell r="C281">
            <v>19475.22</v>
          </cell>
        </row>
        <row r="282">
          <cell r="A282" t="str">
            <v>77330026</v>
          </cell>
          <cell r="B282" t="str">
            <v>MATERIALES Y UTILES DE ASEO</v>
          </cell>
          <cell r="C282">
            <v>1287.1500000000001</v>
          </cell>
        </row>
        <row r="283">
          <cell r="A283" t="str">
            <v>77330028</v>
          </cell>
          <cell r="B283" t="str">
            <v>MANTENIMIENTO INSTALACIONES</v>
          </cell>
          <cell r="C283">
            <v>6258</v>
          </cell>
        </row>
        <row r="284">
          <cell r="A284" t="str">
            <v>77330029</v>
          </cell>
          <cell r="B284" t="str">
            <v>MANTENIMIENTO MAQ. Y EQUIPO</v>
          </cell>
          <cell r="C284">
            <v>681.7</v>
          </cell>
        </row>
        <row r="285">
          <cell r="A285" t="str">
            <v>77330030</v>
          </cell>
          <cell r="B285" t="str">
            <v>MANTENIMIENTO MOB. Y EQUIPO</v>
          </cell>
          <cell r="C285">
            <v>2560.2800000000002</v>
          </cell>
        </row>
        <row r="286">
          <cell r="A286" t="str">
            <v>77330031</v>
          </cell>
          <cell r="B286" t="str">
            <v>MANTENIMIENTO VEHICULOS</v>
          </cell>
          <cell r="C286">
            <v>15636.53</v>
          </cell>
        </row>
        <row r="287">
          <cell r="A287" t="str">
            <v>77330032</v>
          </cell>
          <cell r="B287" t="str">
            <v>HERRAMIENTAS UTILIZADAS</v>
          </cell>
          <cell r="C287">
            <v>268.72000000000003</v>
          </cell>
        </row>
        <row r="288">
          <cell r="A288" t="str">
            <v>77330033</v>
          </cell>
          <cell r="B288" t="str">
            <v>DEPRECIACIONES MAQ. Y EQUIPO</v>
          </cell>
          <cell r="C288">
            <v>408.9</v>
          </cell>
        </row>
        <row r="289">
          <cell r="A289" t="str">
            <v>77330034</v>
          </cell>
          <cell r="B289" t="str">
            <v>DEPRECIACIONES MOB. Y EQUIPO</v>
          </cell>
          <cell r="C289">
            <v>2579.66</v>
          </cell>
        </row>
        <row r="290">
          <cell r="A290" t="str">
            <v>77330037</v>
          </cell>
          <cell r="B290" t="str">
            <v>ALQUILERES</v>
          </cell>
          <cell r="C290">
            <v>38922.120000000003</v>
          </cell>
        </row>
        <row r="291">
          <cell r="A291" t="str">
            <v>77330041</v>
          </cell>
          <cell r="B291" t="str">
            <v>IMPUESTOS FISCALES Y MUNICIP.</v>
          </cell>
          <cell r="C291">
            <v>529.27</v>
          </cell>
        </row>
        <row r="292">
          <cell r="A292" t="str">
            <v>77330049</v>
          </cell>
          <cell r="B292" t="str">
            <v>DEPREC. VEHICULOS VENDEDORES</v>
          </cell>
          <cell r="C292">
            <v>9462.5</v>
          </cell>
        </row>
        <row r="293">
          <cell r="A293" t="str">
            <v>77330051</v>
          </cell>
          <cell r="B293" t="str">
            <v>MATERIAL DE EMPAQUE Y SUM.</v>
          </cell>
          <cell r="C293">
            <v>991.98</v>
          </cell>
        </row>
        <row r="294">
          <cell r="A294" t="str">
            <v>77330052</v>
          </cell>
          <cell r="B294" t="str">
            <v>FLETES Y ACARREOS</v>
          </cell>
          <cell r="C294">
            <v>2781.28</v>
          </cell>
        </row>
        <row r="295">
          <cell r="A295" t="str">
            <v>77440001</v>
          </cell>
          <cell r="B295" t="str">
            <v>SUELDOS</v>
          </cell>
          <cell r="C295">
            <v>100977.97</v>
          </cell>
        </row>
        <row r="296">
          <cell r="A296" t="str">
            <v>77440002</v>
          </cell>
          <cell r="B296" t="str">
            <v>HORAS EXTRAS</v>
          </cell>
          <cell r="C296">
            <v>6333.81</v>
          </cell>
        </row>
        <row r="297">
          <cell r="A297" t="str">
            <v>77440003</v>
          </cell>
          <cell r="B297" t="str">
            <v>COMISIONES S/VENTAS</v>
          </cell>
          <cell r="C297">
            <v>63527.89</v>
          </cell>
        </row>
        <row r="298">
          <cell r="A298" t="str">
            <v>77440004</v>
          </cell>
          <cell r="B298" t="str">
            <v>AGUINALDOS</v>
          </cell>
          <cell r="C298">
            <v>14711.5</v>
          </cell>
        </row>
        <row r="299">
          <cell r="A299" t="str">
            <v>77440005</v>
          </cell>
          <cell r="B299" t="str">
            <v>VACACIONES</v>
          </cell>
          <cell r="C299">
            <v>14138.16</v>
          </cell>
        </row>
        <row r="300">
          <cell r="A300" t="str">
            <v>77440006</v>
          </cell>
          <cell r="B300" t="str">
            <v>INDEMNIZACIONES</v>
          </cell>
          <cell r="C300">
            <v>13990.48</v>
          </cell>
        </row>
        <row r="301">
          <cell r="A301" t="str">
            <v>77440007</v>
          </cell>
          <cell r="B301" t="str">
            <v>BONO 14 DEC. 42-92</v>
          </cell>
          <cell r="C301">
            <v>15970.48</v>
          </cell>
        </row>
        <row r="302">
          <cell r="A302" t="str">
            <v>77440008</v>
          </cell>
          <cell r="B302" t="str">
            <v>BONO INCENTIVO</v>
          </cell>
          <cell r="C302">
            <v>36109.089999999997</v>
          </cell>
        </row>
        <row r="303">
          <cell r="A303" t="str">
            <v>77440010</v>
          </cell>
          <cell r="B303" t="str">
            <v>SEGURO SOCIAL (I.G.S.S.)</v>
          </cell>
          <cell r="C303">
            <v>14555.71</v>
          </cell>
        </row>
        <row r="304">
          <cell r="A304" t="str">
            <v>77440011</v>
          </cell>
          <cell r="B304" t="str">
            <v>SEGURO DE VIDA Y GTOS. MEDICOS</v>
          </cell>
          <cell r="C304">
            <v>1975.52</v>
          </cell>
        </row>
        <row r="305">
          <cell r="A305" t="str">
            <v>77440014</v>
          </cell>
          <cell r="B305" t="str">
            <v>ATENCIONES AL PERSONAL</v>
          </cell>
          <cell r="C305">
            <v>1303.02</v>
          </cell>
        </row>
        <row r="306">
          <cell r="A306" t="str">
            <v>77440015</v>
          </cell>
          <cell r="B306" t="str">
            <v>FESTEJOS NAVIDEÑOS</v>
          </cell>
          <cell r="C306">
            <v>3867.73</v>
          </cell>
        </row>
        <row r="307">
          <cell r="A307" t="str">
            <v>77440019</v>
          </cell>
          <cell r="B307" t="str">
            <v>SEGUROS</v>
          </cell>
          <cell r="C307">
            <v>11691.27</v>
          </cell>
        </row>
        <row r="308">
          <cell r="A308" t="str">
            <v>77440020</v>
          </cell>
          <cell r="B308" t="str">
            <v>COMUNICACIONES Y CORREO</v>
          </cell>
          <cell r="C308">
            <v>17811.21</v>
          </cell>
        </row>
        <row r="309">
          <cell r="A309" t="str">
            <v>77440021</v>
          </cell>
          <cell r="B309" t="str">
            <v>VIATICOS Y GTOS. DE VIAJE</v>
          </cell>
          <cell r="C309">
            <v>28333.95</v>
          </cell>
        </row>
        <row r="310">
          <cell r="A310" t="str">
            <v>77440022</v>
          </cell>
          <cell r="B310" t="str">
            <v>ENERGIA ELECTRICA</v>
          </cell>
          <cell r="C310">
            <v>9117.34</v>
          </cell>
        </row>
        <row r="311">
          <cell r="A311" t="str">
            <v>77440024</v>
          </cell>
          <cell r="B311" t="str">
            <v>PAPELERIA Y UTILES</v>
          </cell>
          <cell r="C311">
            <v>5283.68</v>
          </cell>
        </row>
        <row r="312">
          <cell r="A312" t="str">
            <v>77440025</v>
          </cell>
          <cell r="B312" t="str">
            <v>COMBUSTIBLES Y LUBRICANTES</v>
          </cell>
          <cell r="C312">
            <v>27702.84</v>
          </cell>
        </row>
        <row r="313">
          <cell r="A313" t="str">
            <v>77440026</v>
          </cell>
          <cell r="B313" t="str">
            <v>MATERIALES Y UTILES DE ASEO</v>
          </cell>
          <cell r="C313">
            <v>1274.82</v>
          </cell>
        </row>
        <row r="314">
          <cell r="A314" t="str">
            <v>77440027</v>
          </cell>
          <cell r="B314" t="str">
            <v>MANTENIMIENTO EDIFICIOS</v>
          </cell>
          <cell r="C314">
            <v>1809.7</v>
          </cell>
        </row>
        <row r="315">
          <cell r="A315" t="str">
            <v>77440028</v>
          </cell>
          <cell r="B315" t="str">
            <v>MANTENIMIENTO INSTALACIONES</v>
          </cell>
          <cell r="C315">
            <v>21915.14</v>
          </cell>
        </row>
        <row r="316">
          <cell r="A316" t="str">
            <v>77440029</v>
          </cell>
          <cell r="B316" t="str">
            <v>MANTENIMIENTO MAQ. Y EQUIPO</v>
          </cell>
          <cell r="C316">
            <v>12128.61</v>
          </cell>
        </row>
        <row r="317">
          <cell r="A317" t="str">
            <v>77440030</v>
          </cell>
          <cell r="B317" t="str">
            <v>MANTENIMIENTO MOB. Y EQUIPO</v>
          </cell>
          <cell r="C317">
            <v>2998.95</v>
          </cell>
        </row>
        <row r="318">
          <cell r="A318" t="str">
            <v>77440031</v>
          </cell>
          <cell r="B318" t="str">
            <v>MANTENIMIENTO VEHICULOS</v>
          </cell>
          <cell r="C318">
            <v>28093.26</v>
          </cell>
        </row>
        <row r="319">
          <cell r="A319" t="str">
            <v>77440032</v>
          </cell>
          <cell r="B319" t="str">
            <v>HERAMIENTAS UTILIZADAS</v>
          </cell>
          <cell r="C319">
            <v>919.35</v>
          </cell>
        </row>
        <row r="320">
          <cell r="A320" t="str">
            <v>77440034</v>
          </cell>
          <cell r="B320" t="str">
            <v>DEPRECIACION MOB. Y EQUIPO</v>
          </cell>
          <cell r="C320">
            <v>3555.71</v>
          </cell>
        </row>
        <row r="321">
          <cell r="A321" t="str">
            <v>77440037</v>
          </cell>
          <cell r="B321" t="str">
            <v>ALQUILERES</v>
          </cell>
          <cell r="C321">
            <v>110658.5</v>
          </cell>
        </row>
        <row r="322">
          <cell r="A322" t="str">
            <v>77440039</v>
          </cell>
          <cell r="B322" t="str">
            <v>MUESTRAS</v>
          </cell>
          <cell r="C322">
            <v>228.52</v>
          </cell>
        </row>
        <row r="323">
          <cell r="A323" t="str">
            <v>77440041</v>
          </cell>
          <cell r="B323" t="str">
            <v>IMPUESTOS FISCALES Y MUNICIP.</v>
          </cell>
          <cell r="C323">
            <v>137.52000000000001</v>
          </cell>
        </row>
        <row r="324">
          <cell r="A324" t="str">
            <v>77440048</v>
          </cell>
          <cell r="B324" t="str">
            <v>PARQUEOS</v>
          </cell>
          <cell r="C324">
            <v>2.5</v>
          </cell>
        </row>
        <row r="325">
          <cell r="A325" t="str">
            <v>77440049</v>
          </cell>
          <cell r="B325" t="str">
            <v>DEPREC VEHICULOS VENDEDORES</v>
          </cell>
          <cell r="C325">
            <v>7902.85</v>
          </cell>
        </row>
        <row r="326">
          <cell r="A326" t="str">
            <v>77440051</v>
          </cell>
          <cell r="B326" t="str">
            <v>MATERIAL DE EMPAQUE Y SUMINIS.</v>
          </cell>
          <cell r="C326">
            <v>1284.18</v>
          </cell>
        </row>
        <row r="327">
          <cell r="A327" t="str">
            <v>77440052</v>
          </cell>
          <cell r="B327" t="str">
            <v>FLETES Y ACARREOS</v>
          </cell>
          <cell r="C327">
            <v>722.29</v>
          </cell>
        </row>
        <row r="328">
          <cell r="A328" t="str">
            <v>77550001</v>
          </cell>
          <cell r="B328" t="str">
            <v>SUELDOS</v>
          </cell>
          <cell r="C328">
            <v>56440.3</v>
          </cell>
        </row>
        <row r="329">
          <cell r="A329" t="str">
            <v>77550002</v>
          </cell>
          <cell r="B329" t="str">
            <v>HORAS EXTRAS</v>
          </cell>
          <cell r="C329">
            <v>1718.4</v>
          </cell>
        </row>
        <row r="330">
          <cell r="A330" t="str">
            <v>77550003</v>
          </cell>
          <cell r="B330" t="str">
            <v>COMISIONES S/VENTAS</v>
          </cell>
          <cell r="C330">
            <v>28385.9</v>
          </cell>
        </row>
        <row r="331">
          <cell r="A331" t="str">
            <v>77550004</v>
          </cell>
          <cell r="B331" t="str">
            <v>AGUINALDOS</v>
          </cell>
          <cell r="C331">
            <v>7166.18</v>
          </cell>
        </row>
        <row r="332">
          <cell r="A332" t="str">
            <v>77550005</v>
          </cell>
          <cell r="B332" t="str">
            <v>VACACIONES</v>
          </cell>
          <cell r="C332">
            <v>6888.19</v>
          </cell>
        </row>
        <row r="333">
          <cell r="A333" t="str">
            <v>77550006</v>
          </cell>
          <cell r="B333" t="str">
            <v>INDEMNIZACIONES</v>
          </cell>
          <cell r="C333">
            <v>6816.59</v>
          </cell>
        </row>
        <row r="334">
          <cell r="A334" t="str">
            <v>77550007</v>
          </cell>
          <cell r="B334" t="str">
            <v>BONO 14 DEC. 42-92</v>
          </cell>
          <cell r="C334">
            <v>7776.59</v>
          </cell>
        </row>
        <row r="335">
          <cell r="A335" t="str">
            <v>77550008</v>
          </cell>
          <cell r="B335" t="str">
            <v>BONO INCENTIVO</v>
          </cell>
          <cell r="C335">
            <v>14641.69</v>
          </cell>
        </row>
        <row r="336">
          <cell r="A336" t="str">
            <v>77550010</v>
          </cell>
          <cell r="B336" t="str">
            <v>CUOTA PATRONAL IGSS</v>
          </cell>
          <cell r="C336">
            <v>7344.98</v>
          </cell>
        </row>
        <row r="337">
          <cell r="A337" t="str">
            <v>77550011</v>
          </cell>
          <cell r="B337" t="str">
            <v>SEGURO VID.Y GTOS.MEDICOS</v>
          </cell>
          <cell r="C337">
            <v>1119.56</v>
          </cell>
        </row>
        <row r="338">
          <cell r="A338" t="str">
            <v>77550014</v>
          </cell>
          <cell r="B338" t="str">
            <v>ATENCION AL PERSONAL</v>
          </cell>
          <cell r="C338">
            <v>655.13</v>
          </cell>
        </row>
        <row r="339">
          <cell r="A339" t="str">
            <v>77550015</v>
          </cell>
          <cell r="B339" t="str">
            <v>FESTEJOS NAVIDEÑOS</v>
          </cell>
          <cell r="C339">
            <v>2097.27</v>
          </cell>
        </row>
        <row r="340">
          <cell r="A340" t="str">
            <v>77550019</v>
          </cell>
          <cell r="B340" t="str">
            <v>SEGUROS</v>
          </cell>
          <cell r="C340">
            <v>7084.03</v>
          </cell>
        </row>
        <row r="341">
          <cell r="A341" t="str">
            <v>77550020</v>
          </cell>
          <cell r="B341" t="str">
            <v>COMUNICACIONES Y CORREOS</v>
          </cell>
          <cell r="C341">
            <v>8260.69</v>
          </cell>
        </row>
        <row r="342">
          <cell r="A342" t="str">
            <v>77550021</v>
          </cell>
          <cell r="B342" t="str">
            <v>VIATICOS Y GASTOS DE VIAJE</v>
          </cell>
          <cell r="C342">
            <v>9514.35</v>
          </cell>
        </row>
        <row r="343">
          <cell r="A343" t="str">
            <v>77550022</v>
          </cell>
          <cell r="B343" t="str">
            <v>ENERGIA ELECTRICA</v>
          </cell>
          <cell r="C343">
            <v>2035.03</v>
          </cell>
        </row>
        <row r="344">
          <cell r="A344" t="str">
            <v>77550024</v>
          </cell>
          <cell r="B344" t="str">
            <v>PAPELERIA Y UTILES</v>
          </cell>
          <cell r="C344">
            <v>1950.2</v>
          </cell>
        </row>
        <row r="345">
          <cell r="A345" t="str">
            <v>77550025</v>
          </cell>
          <cell r="B345" t="str">
            <v>COMBUSTIBLES Y LUBRICANTES</v>
          </cell>
          <cell r="C345">
            <v>4094.63</v>
          </cell>
        </row>
        <row r="346">
          <cell r="A346" t="str">
            <v>77550026</v>
          </cell>
          <cell r="B346" t="str">
            <v>MATERIALES Y UTILES DE ASEO</v>
          </cell>
          <cell r="C346">
            <v>238.38</v>
          </cell>
        </row>
        <row r="347">
          <cell r="A347" t="str">
            <v>77550030</v>
          </cell>
          <cell r="B347" t="str">
            <v>MANTENIMIENTO MOB.Y EQUIPO</v>
          </cell>
          <cell r="C347">
            <v>400.45</v>
          </cell>
        </row>
        <row r="348">
          <cell r="A348" t="str">
            <v>77550032</v>
          </cell>
          <cell r="B348" t="str">
            <v>HERRAMIENTAS UTILIZADAS</v>
          </cell>
          <cell r="C348">
            <v>387.05</v>
          </cell>
        </row>
        <row r="349">
          <cell r="A349" t="str">
            <v>77550034</v>
          </cell>
          <cell r="B349" t="str">
            <v>DEPRECIACIONES MOB.Y EQUIPO</v>
          </cell>
          <cell r="C349">
            <v>2709.18</v>
          </cell>
        </row>
        <row r="350">
          <cell r="A350" t="str">
            <v>77550036</v>
          </cell>
          <cell r="B350" t="str">
            <v>DEPRECIACIONES EDIFICIOS E INS</v>
          </cell>
          <cell r="C350">
            <v>767.28</v>
          </cell>
        </row>
        <row r="351">
          <cell r="A351" t="str">
            <v>77550037</v>
          </cell>
          <cell r="B351" t="str">
            <v>ALQUILERES</v>
          </cell>
          <cell r="C351">
            <v>39179.26</v>
          </cell>
        </row>
        <row r="352">
          <cell r="A352" t="str">
            <v>77550041</v>
          </cell>
          <cell r="B352" t="str">
            <v>IMPUESTOS FISCALES Y MUNICIP.</v>
          </cell>
          <cell r="C352">
            <v>59.45</v>
          </cell>
        </row>
        <row r="353">
          <cell r="A353" t="str">
            <v>77550049</v>
          </cell>
          <cell r="B353" t="str">
            <v>DEPREC.VEHICULOS VENDEDORES</v>
          </cell>
          <cell r="C353">
            <v>2100</v>
          </cell>
        </row>
        <row r="354">
          <cell r="A354" t="str">
            <v>77550051</v>
          </cell>
          <cell r="B354" t="str">
            <v>MATERIAL DE EMPAQUE Y SUM</v>
          </cell>
          <cell r="C354">
            <v>459.38</v>
          </cell>
        </row>
        <row r="355">
          <cell r="A355" t="str">
            <v>77550052</v>
          </cell>
          <cell r="B355" t="str">
            <v>FLETES Y ACARREOS</v>
          </cell>
          <cell r="C355">
            <v>715.15</v>
          </cell>
        </row>
        <row r="356">
          <cell r="A356" t="str">
            <v>77660001</v>
          </cell>
          <cell r="B356" t="str">
            <v>SUELDOS</v>
          </cell>
          <cell r="C356">
            <v>36720.18</v>
          </cell>
        </row>
        <row r="357">
          <cell r="A357" t="str">
            <v>77660002</v>
          </cell>
          <cell r="B357" t="str">
            <v>HORAS EXTRAS</v>
          </cell>
          <cell r="C357">
            <v>150.03</v>
          </cell>
        </row>
        <row r="358">
          <cell r="A358" t="str">
            <v>77660003</v>
          </cell>
          <cell r="B358" t="str">
            <v>COMISIONES S/VENTAS</v>
          </cell>
          <cell r="C358">
            <v>37268.050000000003</v>
          </cell>
        </row>
        <row r="359">
          <cell r="A359" t="str">
            <v>77660004</v>
          </cell>
          <cell r="B359" t="str">
            <v>AGUINALDOS</v>
          </cell>
          <cell r="C359">
            <v>6453.53</v>
          </cell>
        </row>
        <row r="360">
          <cell r="A360" t="str">
            <v>77660005</v>
          </cell>
          <cell r="B360" t="str">
            <v>VACACIONES</v>
          </cell>
          <cell r="C360">
            <v>6453.53</v>
          </cell>
        </row>
        <row r="361">
          <cell r="A361" t="str">
            <v>77660006</v>
          </cell>
          <cell r="B361" t="str">
            <v>INDEMNIZACIONES</v>
          </cell>
          <cell r="C361">
            <v>6453.53</v>
          </cell>
        </row>
        <row r="362">
          <cell r="A362" t="str">
            <v>77660007</v>
          </cell>
          <cell r="B362" t="str">
            <v>BONO 14</v>
          </cell>
          <cell r="C362">
            <v>7203.53</v>
          </cell>
        </row>
        <row r="363">
          <cell r="A363" t="str">
            <v>77660008</v>
          </cell>
          <cell r="B363" t="str">
            <v>BONO INCENTIVO</v>
          </cell>
          <cell r="C363">
            <v>9099.9500000000007</v>
          </cell>
        </row>
        <row r="364">
          <cell r="A364" t="str">
            <v>77660010</v>
          </cell>
          <cell r="B364" t="str">
            <v>SEGURO SOCIAL IGSS</v>
          </cell>
          <cell r="C364">
            <v>6883.18</v>
          </cell>
        </row>
        <row r="365">
          <cell r="A365" t="str">
            <v>77660011</v>
          </cell>
          <cell r="B365" t="str">
            <v>SEGURO DE VIDA Y GTOS. MEDICOS</v>
          </cell>
          <cell r="C365">
            <v>966.43</v>
          </cell>
        </row>
        <row r="366">
          <cell r="A366" t="str">
            <v>77660014</v>
          </cell>
          <cell r="B366" t="str">
            <v>ATENCIONES AL PERSONAL</v>
          </cell>
          <cell r="C366">
            <v>739.06</v>
          </cell>
        </row>
        <row r="367">
          <cell r="A367" t="str">
            <v>77660015</v>
          </cell>
          <cell r="B367" t="str">
            <v>FESTEJOS NAVIDEÑOS</v>
          </cell>
          <cell r="C367">
            <v>1478.39</v>
          </cell>
        </row>
        <row r="368">
          <cell r="A368" t="str">
            <v>77660019</v>
          </cell>
          <cell r="B368" t="str">
            <v>SEGUROS</v>
          </cell>
          <cell r="C368">
            <v>1228.5899999999999</v>
          </cell>
        </row>
        <row r="369">
          <cell r="A369" t="str">
            <v>77660020</v>
          </cell>
          <cell r="B369" t="str">
            <v>COMUNICACIONES Y CORREOS</v>
          </cell>
          <cell r="C369">
            <v>10256.469999999999</v>
          </cell>
        </row>
        <row r="370">
          <cell r="A370" t="str">
            <v>77660021</v>
          </cell>
          <cell r="B370" t="str">
            <v>VIATICOS Y GTOS. DE VIAJE</v>
          </cell>
          <cell r="C370">
            <v>11332.84</v>
          </cell>
        </row>
        <row r="371">
          <cell r="A371" t="str">
            <v>77660024</v>
          </cell>
          <cell r="B371" t="str">
            <v>PAPELERIA Y UTILES</v>
          </cell>
          <cell r="C371">
            <v>784.33</v>
          </cell>
        </row>
        <row r="372">
          <cell r="A372" t="str">
            <v>77660025</v>
          </cell>
          <cell r="B372" t="str">
            <v>COMBUSTIBLES Y LUBRICANTES</v>
          </cell>
          <cell r="C372">
            <v>6621.8</v>
          </cell>
        </row>
        <row r="373">
          <cell r="A373" t="str">
            <v>77660026</v>
          </cell>
          <cell r="B373" t="str">
            <v>MATERIALES Y UTILES</v>
          </cell>
          <cell r="C373">
            <v>563.12</v>
          </cell>
        </row>
        <row r="374">
          <cell r="A374" t="str">
            <v>77660027</v>
          </cell>
          <cell r="B374" t="str">
            <v>MANTENIMIENTO EDIFICIOS</v>
          </cell>
          <cell r="C374">
            <v>35.72</v>
          </cell>
        </row>
        <row r="375">
          <cell r="A375" t="str">
            <v>77660028</v>
          </cell>
          <cell r="B375" t="str">
            <v>MANTENIMIENTO INSTALACIONES</v>
          </cell>
          <cell r="C375">
            <v>1196.8699999999999</v>
          </cell>
        </row>
        <row r="376">
          <cell r="A376" t="str">
            <v>77660029</v>
          </cell>
          <cell r="B376" t="str">
            <v>MANTENIMIENTO MAQ. Y EQUIPO</v>
          </cell>
          <cell r="C376">
            <v>201.79</v>
          </cell>
        </row>
        <row r="377">
          <cell r="A377" t="str">
            <v>77660030</v>
          </cell>
          <cell r="B377" t="str">
            <v>MANTENIMIENTO MOB. Y EQUIPO</v>
          </cell>
          <cell r="C377">
            <v>12.05</v>
          </cell>
        </row>
        <row r="378">
          <cell r="A378" t="str">
            <v>77660031</v>
          </cell>
          <cell r="B378" t="str">
            <v>MANTENIMIENTO VEHICULOS</v>
          </cell>
          <cell r="C378">
            <v>183.93</v>
          </cell>
        </row>
        <row r="379">
          <cell r="A379" t="str">
            <v>77660032</v>
          </cell>
          <cell r="B379" t="str">
            <v>HERRAMIENTAS UTILIZADAS</v>
          </cell>
          <cell r="C379">
            <v>193.74</v>
          </cell>
        </row>
        <row r="380">
          <cell r="A380" t="str">
            <v>77660034</v>
          </cell>
          <cell r="B380" t="str">
            <v>DEPRECIACION MOB. Y EQUIPO</v>
          </cell>
          <cell r="C380">
            <v>687.24</v>
          </cell>
        </row>
        <row r="381">
          <cell r="A381" t="str">
            <v>77660037</v>
          </cell>
          <cell r="B381" t="str">
            <v>ALQUILERES</v>
          </cell>
          <cell r="C381">
            <v>32780.720000000001</v>
          </cell>
        </row>
        <row r="382">
          <cell r="A382" t="str">
            <v>77660041</v>
          </cell>
          <cell r="B382" t="str">
            <v>IMPUESTOS FISCALES Y MUNICIPALES</v>
          </cell>
          <cell r="C382">
            <v>708.75</v>
          </cell>
        </row>
        <row r="383">
          <cell r="A383" t="str">
            <v>77660049</v>
          </cell>
          <cell r="B383" t="str">
            <v>DEPRECIACION VEHICULOS VENDEDORES</v>
          </cell>
          <cell r="C383">
            <v>-75</v>
          </cell>
        </row>
        <row r="384">
          <cell r="A384" t="str">
            <v>77660051</v>
          </cell>
          <cell r="B384" t="str">
            <v>MATERIAL DE EMPAQUE Y SUMINISTROS</v>
          </cell>
          <cell r="C384">
            <v>288.83</v>
          </cell>
        </row>
        <row r="385">
          <cell r="A385" t="str">
            <v>77660052</v>
          </cell>
          <cell r="B385" t="str">
            <v>FLETES Y ACARREOS</v>
          </cell>
          <cell r="C385">
            <v>142.88</v>
          </cell>
        </row>
        <row r="386">
          <cell r="A386" t="str">
            <v>77670001</v>
          </cell>
          <cell r="B386" t="str">
            <v>SUELDOS</v>
          </cell>
          <cell r="C386">
            <v>263043.03999999998</v>
          </cell>
        </row>
        <row r="387">
          <cell r="A387" t="str">
            <v>77670002</v>
          </cell>
          <cell r="B387" t="str">
            <v>HORAS EXTRAS</v>
          </cell>
          <cell r="C387">
            <v>15144.48</v>
          </cell>
        </row>
        <row r="388">
          <cell r="A388" t="str">
            <v>77670003</v>
          </cell>
          <cell r="B388" t="str">
            <v>COMISIONES</v>
          </cell>
          <cell r="C388">
            <v>81167.06</v>
          </cell>
        </row>
        <row r="389">
          <cell r="A389" t="str">
            <v>77670004</v>
          </cell>
          <cell r="B389" t="str">
            <v>AGUINALDOS</v>
          </cell>
          <cell r="C389">
            <v>30324.27</v>
          </cell>
        </row>
        <row r="390">
          <cell r="A390" t="str">
            <v>77670005</v>
          </cell>
          <cell r="B390" t="str">
            <v>VACACIONES</v>
          </cell>
          <cell r="C390">
            <v>29177.599999999999</v>
          </cell>
        </row>
        <row r="391">
          <cell r="A391" t="str">
            <v>77670006</v>
          </cell>
          <cell r="B391" t="str">
            <v>INDEMNIZACIONES</v>
          </cell>
          <cell r="C391">
            <v>28882.23</v>
          </cell>
        </row>
        <row r="392">
          <cell r="A392" t="str">
            <v>77670007</v>
          </cell>
          <cell r="B392" t="str">
            <v>BONO 14</v>
          </cell>
          <cell r="C392">
            <v>32842.230000000003</v>
          </cell>
        </row>
        <row r="393">
          <cell r="A393" t="str">
            <v>77670008</v>
          </cell>
          <cell r="B393" t="str">
            <v>BONO INCENTIVO</v>
          </cell>
          <cell r="C393">
            <v>70027.41</v>
          </cell>
        </row>
        <row r="394">
          <cell r="A394" t="str">
            <v>77670010</v>
          </cell>
          <cell r="B394" t="str">
            <v>CUOTA PATRONAL</v>
          </cell>
          <cell r="C394">
            <v>45569.11</v>
          </cell>
        </row>
        <row r="395">
          <cell r="A395" t="str">
            <v>77670011</v>
          </cell>
          <cell r="B395" t="str">
            <v>SEGURO DE VIDA Y GTOS MEDICOS</v>
          </cell>
          <cell r="C395">
            <v>4840.79</v>
          </cell>
        </row>
        <row r="396">
          <cell r="A396" t="str">
            <v>77670014</v>
          </cell>
          <cell r="B396" t="str">
            <v>ATENCION AL PERSONAL</v>
          </cell>
          <cell r="C396">
            <v>7860.56</v>
          </cell>
        </row>
        <row r="397">
          <cell r="A397" t="str">
            <v>77670015</v>
          </cell>
          <cell r="B397" t="str">
            <v>FESTEJOS NAVIDEÑOS</v>
          </cell>
          <cell r="C397">
            <v>6629.89</v>
          </cell>
        </row>
        <row r="398">
          <cell r="A398" t="str">
            <v>77670018</v>
          </cell>
          <cell r="B398" t="str">
            <v>VIGILANCIA</v>
          </cell>
          <cell r="C398">
            <v>7730.77</v>
          </cell>
        </row>
        <row r="399">
          <cell r="A399" t="str">
            <v>77670019</v>
          </cell>
          <cell r="B399" t="str">
            <v>SEGUROS</v>
          </cell>
          <cell r="C399">
            <v>36011.360000000001</v>
          </cell>
        </row>
        <row r="400">
          <cell r="A400" t="str">
            <v>77670020</v>
          </cell>
          <cell r="B400" t="str">
            <v>COMUNICACIONES Y CORREOS</v>
          </cell>
          <cell r="C400">
            <v>25248.19</v>
          </cell>
        </row>
        <row r="401">
          <cell r="A401" t="str">
            <v>77670021</v>
          </cell>
          <cell r="B401" t="str">
            <v>VIATICOS Y GTOS DE VIAJE</v>
          </cell>
          <cell r="C401">
            <v>3983.22</v>
          </cell>
        </row>
        <row r="402">
          <cell r="A402" t="str">
            <v>77670022</v>
          </cell>
          <cell r="B402" t="str">
            <v>ENERGIA ELECTRICA</v>
          </cell>
          <cell r="C402">
            <v>22379.040000000001</v>
          </cell>
        </row>
        <row r="403">
          <cell r="A403" t="str">
            <v>77670023</v>
          </cell>
          <cell r="B403" t="str">
            <v>AGUA POTABLE</v>
          </cell>
          <cell r="C403">
            <v>2105.1</v>
          </cell>
        </row>
        <row r="404">
          <cell r="A404" t="str">
            <v>77670024</v>
          </cell>
          <cell r="B404" t="str">
            <v>PAPELERIA Y UTILES</v>
          </cell>
          <cell r="C404">
            <v>12240.78</v>
          </cell>
        </row>
        <row r="405">
          <cell r="A405" t="str">
            <v>77670025</v>
          </cell>
          <cell r="B405" t="str">
            <v>COMBUSTIBLES Y LUBRICANTES</v>
          </cell>
          <cell r="C405">
            <v>2917.33</v>
          </cell>
        </row>
        <row r="406">
          <cell r="A406" t="str">
            <v>77670026</v>
          </cell>
          <cell r="B406" t="str">
            <v>MATERIALES Y UTILES</v>
          </cell>
          <cell r="C406">
            <v>2944.56</v>
          </cell>
        </row>
        <row r="407">
          <cell r="A407" t="str">
            <v>77670027</v>
          </cell>
          <cell r="B407" t="str">
            <v>MANTENIMIENTO EDIFICIOS</v>
          </cell>
          <cell r="C407">
            <v>60</v>
          </cell>
        </row>
        <row r="408">
          <cell r="A408" t="str">
            <v>77670028</v>
          </cell>
          <cell r="B408" t="str">
            <v>MANTENIMIENTO INSTALACIONES</v>
          </cell>
          <cell r="C408">
            <v>8564.56</v>
          </cell>
        </row>
        <row r="409">
          <cell r="A409" t="str">
            <v>77670029</v>
          </cell>
          <cell r="B409" t="str">
            <v>MANTENIMIENTO MAQ. Y EQUIPO</v>
          </cell>
          <cell r="C409">
            <v>4523.21</v>
          </cell>
        </row>
        <row r="410">
          <cell r="A410" t="str">
            <v>77670030</v>
          </cell>
          <cell r="B410" t="str">
            <v>MANTENIMIENTO MOB. Y EQUIPO</v>
          </cell>
          <cell r="C410">
            <v>2034.63</v>
          </cell>
        </row>
        <row r="411">
          <cell r="A411" t="str">
            <v>77670031</v>
          </cell>
          <cell r="B411" t="str">
            <v>MANTENIMIENTO VEHICULOS</v>
          </cell>
          <cell r="C411">
            <v>7043.25</v>
          </cell>
        </row>
        <row r="412">
          <cell r="A412" t="str">
            <v>77670032</v>
          </cell>
          <cell r="B412" t="str">
            <v>HERRAMIENTAS UTILIZADAS</v>
          </cell>
          <cell r="C412">
            <v>1240.54</v>
          </cell>
        </row>
        <row r="413">
          <cell r="A413" t="str">
            <v>77670037</v>
          </cell>
          <cell r="B413" t="str">
            <v>ALQUILERES</v>
          </cell>
          <cell r="C413">
            <v>160072</v>
          </cell>
        </row>
        <row r="414">
          <cell r="A414" t="str">
            <v>77670041</v>
          </cell>
          <cell r="B414" t="str">
            <v>IMPUESTOS FISCALES Y MUNICIPAL</v>
          </cell>
          <cell r="C414">
            <v>290</v>
          </cell>
        </row>
        <row r="415">
          <cell r="A415" t="str">
            <v>77670045</v>
          </cell>
          <cell r="B415" t="str">
            <v>PUBLICIDAD Y PROPAGANDA</v>
          </cell>
          <cell r="C415">
            <v>342.91</v>
          </cell>
        </row>
        <row r="416">
          <cell r="A416" t="str">
            <v>77670048</v>
          </cell>
          <cell r="B416" t="str">
            <v>PARQUEOS</v>
          </cell>
          <cell r="C416">
            <v>5</v>
          </cell>
        </row>
        <row r="417">
          <cell r="A417" t="str">
            <v>77670049</v>
          </cell>
          <cell r="B417" t="str">
            <v>DEPREC VEHICULOS VENDEDORES</v>
          </cell>
          <cell r="C417">
            <v>1922.48</v>
          </cell>
        </row>
        <row r="418">
          <cell r="A418" t="str">
            <v>77670051</v>
          </cell>
          <cell r="B418" t="str">
            <v>MATERIAL DE EMPAQUE Y SUMINISTROS</v>
          </cell>
          <cell r="C418">
            <v>2483.8000000000002</v>
          </cell>
        </row>
        <row r="419">
          <cell r="A419" t="str">
            <v>77670052</v>
          </cell>
          <cell r="B419" t="str">
            <v>FLETES Y ACARREOS</v>
          </cell>
          <cell r="C419">
            <v>127.94</v>
          </cell>
        </row>
        <row r="420">
          <cell r="A420" t="str">
            <v>77670057</v>
          </cell>
          <cell r="B420" t="str">
            <v>ARRENDAMIENTO VEHICULOS Y EQUIPO</v>
          </cell>
          <cell r="C420">
            <v>99960</v>
          </cell>
        </row>
        <row r="421">
          <cell r="A421" t="str">
            <v>77680001</v>
          </cell>
          <cell r="B421" t="str">
            <v>SUELDOS</v>
          </cell>
          <cell r="C421">
            <v>17235.41</v>
          </cell>
        </row>
        <row r="422">
          <cell r="A422" t="str">
            <v>77680003</v>
          </cell>
          <cell r="B422" t="str">
            <v>COMISIONES S/VENTAS</v>
          </cell>
          <cell r="C422">
            <v>6780.96</v>
          </cell>
        </row>
        <row r="423">
          <cell r="A423" t="str">
            <v>77680004</v>
          </cell>
          <cell r="B423" t="str">
            <v>AGUINALDOS</v>
          </cell>
          <cell r="C423">
            <v>1848.42</v>
          </cell>
        </row>
        <row r="424">
          <cell r="A424" t="str">
            <v>77680005</v>
          </cell>
          <cell r="B424" t="str">
            <v>VACACIONES</v>
          </cell>
          <cell r="C424">
            <v>1848.42</v>
          </cell>
        </row>
        <row r="425">
          <cell r="A425" t="str">
            <v>77680006</v>
          </cell>
          <cell r="B425" t="str">
            <v>INDEMNIZACIONES</v>
          </cell>
          <cell r="C425">
            <v>1848.42</v>
          </cell>
        </row>
        <row r="426">
          <cell r="A426" t="str">
            <v>77680007</v>
          </cell>
          <cell r="B426" t="str">
            <v>BONO 14</v>
          </cell>
          <cell r="C426">
            <v>1848.42</v>
          </cell>
        </row>
        <row r="427">
          <cell r="A427" t="str">
            <v>77680008</v>
          </cell>
          <cell r="B427" t="str">
            <v>BONO INCENTIVO</v>
          </cell>
          <cell r="C427">
            <v>4374.99</v>
          </cell>
        </row>
        <row r="428">
          <cell r="A428" t="str">
            <v>77680010</v>
          </cell>
          <cell r="B428" t="str">
            <v>CUOTA PATRONAL</v>
          </cell>
          <cell r="C428">
            <v>1933.52</v>
          </cell>
        </row>
        <row r="429">
          <cell r="A429" t="str">
            <v>77680011</v>
          </cell>
          <cell r="B429" t="str">
            <v>SEGURO DE VIDA Y GTOS. MEDICOS</v>
          </cell>
          <cell r="C429">
            <v>114.48</v>
          </cell>
        </row>
        <row r="430">
          <cell r="A430" t="str">
            <v>77680014</v>
          </cell>
          <cell r="B430" t="str">
            <v>ATENCIONES AL PERSONAL</v>
          </cell>
          <cell r="C430">
            <v>272.89999999999998</v>
          </cell>
        </row>
        <row r="431">
          <cell r="A431" t="str">
            <v>77680015</v>
          </cell>
          <cell r="B431" t="str">
            <v>FESTEJOS NAVIDEÑOS</v>
          </cell>
          <cell r="C431">
            <v>423.45</v>
          </cell>
        </row>
        <row r="432">
          <cell r="A432" t="str">
            <v>77680020</v>
          </cell>
          <cell r="B432" t="str">
            <v>COMUNICACIONES Y CORREO</v>
          </cell>
          <cell r="C432">
            <v>4616.5200000000004</v>
          </cell>
        </row>
        <row r="433">
          <cell r="A433" t="str">
            <v>77680021</v>
          </cell>
          <cell r="B433" t="str">
            <v>VIATICOS Y GTOS DE VIAJE</v>
          </cell>
          <cell r="C433">
            <v>15248.46</v>
          </cell>
        </row>
        <row r="434">
          <cell r="A434" t="str">
            <v>77680022</v>
          </cell>
          <cell r="B434" t="str">
            <v>ENERGIA ELECTRICA</v>
          </cell>
          <cell r="C434">
            <v>328.63</v>
          </cell>
        </row>
        <row r="435">
          <cell r="A435" t="str">
            <v>77680024</v>
          </cell>
          <cell r="B435" t="str">
            <v>PAPELERIA Y UTILES</v>
          </cell>
          <cell r="C435">
            <v>817.32</v>
          </cell>
        </row>
        <row r="436">
          <cell r="A436" t="str">
            <v>77680025</v>
          </cell>
          <cell r="B436" t="str">
            <v>COMBUSTIBLES Y LUBRICANTES</v>
          </cell>
          <cell r="C436">
            <v>6373.57</v>
          </cell>
        </row>
        <row r="437">
          <cell r="A437" t="str">
            <v>77680026</v>
          </cell>
          <cell r="B437" t="str">
            <v>MATERIALES Y UTILES</v>
          </cell>
          <cell r="C437">
            <v>79.47</v>
          </cell>
        </row>
        <row r="438">
          <cell r="A438" t="str">
            <v>77680028</v>
          </cell>
          <cell r="B438" t="str">
            <v>MANTENIMIENTO INSTALAC IONES</v>
          </cell>
          <cell r="C438">
            <v>83.04</v>
          </cell>
        </row>
        <row r="439">
          <cell r="A439" t="str">
            <v>77680030</v>
          </cell>
          <cell r="B439" t="str">
            <v>MANTENIMIENTO MOB Y EQUIPO</v>
          </cell>
          <cell r="C439">
            <v>6.25</v>
          </cell>
        </row>
        <row r="440">
          <cell r="A440" t="str">
            <v>77680032</v>
          </cell>
          <cell r="B440" t="str">
            <v>HERRAMIENTAS UTILIZADAS</v>
          </cell>
          <cell r="C440">
            <v>60.27</v>
          </cell>
        </row>
        <row r="441">
          <cell r="A441" t="str">
            <v>77680034</v>
          </cell>
          <cell r="B441" t="str">
            <v>DEPRECIACION MOB Y EQUIPO</v>
          </cell>
          <cell r="C441">
            <v>62.9</v>
          </cell>
        </row>
        <row r="442">
          <cell r="A442" t="str">
            <v>77680037</v>
          </cell>
          <cell r="B442" t="str">
            <v>ALQUILERES</v>
          </cell>
          <cell r="C442">
            <v>27272.7</v>
          </cell>
        </row>
        <row r="443">
          <cell r="A443" t="str">
            <v>77680041</v>
          </cell>
          <cell r="B443" t="str">
            <v>IMPUESTOS FISCALES Y MUNICIPALES</v>
          </cell>
          <cell r="C443">
            <v>145.5</v>
          </cell>
        </row>
        <row r="444">
          <cell r="A444" t="str">
            <v>77680045</v>
          </cell>
          <cell r="B444" t="str">
            <v>PUBLICIDAD Y PROPAGANDA</v>
          </cell>
          <cell r="C444">
            <v>44.64</v>
          </cell>
        </row>
        <row r="445">
          <cell r="A445" t="str">
            <v>77680051</v>
          </cell>
          <cell r="B445" t="str">
            <v>MATERIAL DE EMPAQUE Y SUMINISTROS</v>
          </cell>
          <cell r="C445">
            <v>163.38</v>
          </cell>
        </row>
        <row r="446">
          <cell r="A446" t="str">
            <v>77680052</v>
          </cell>
          <cell r="B446" t="str">
            <v>FLETES Y ACARREOS</v>
          </cell>
          <cell r="C446">
            <v>361.62</v>
          </cell>
        </row>
        <row r="447">
          <cell r="A447" t="str">
            <v>78220001</v>
          </cell>
          <cell r="B447" t="str">
            <v>SUELDOS</v>
          </cell>
          <cell r="C447">
            <v>201636.67</v>
          </cell>
        </row>
        <row r="448">
          <cell r="A448" t="str">
            <v>78220002</v>
          </cell>
          <cell r="B448" t="str">
            <v>HORAS EXTRAS</v>
          </cell>
          <cell r="C448">
            <v>3860.38</v>
          </cell>
        </row>
        <row r="449">
          <cell r="A449" t="str">
            <v>78220003</v>
          </cell>
          <cell r="B449" t="str">
            <v>COMISIONES S/VENTAS</v>
          </cell>
          <cell r="C449">
            <v>178939.93</v>
          </cell>
        </row>
        <row r="450">
          <cell r="A450" t="str">
            <v>78220004</v>
          </cell>
          <cell r="B450" t="str">
            <v>AGUINALDO</v>
          </cell>
          <cell r="C450">
            <v>32637.87</v>
          </cell>
        </row>
        <row r="451">
          <cell r="A451" t="str">
            <v>78220005</v>
          </cell>
          <cell r="B451" t="str">
            <v>VACACIONES</v>
          </cell>
          <cell r="C451">
            <v>31178.47</v>
          </cell>
        </row>
        <row r="452">
          <cell r="A452" t="str">
            <v>78220006</v>
          </cell>
          <cell r="B452" t="str">
            <v>INDEMNIZACIONES</v>
          </cell>
          <cell r="C452">
            <v>30802.55</v>
          </cell>
        </row>
        <row r="453">
          <cell r="A453" t="str">
            <v>78220007</v>
          </cell>
          <cell r="B453" t="str">
            <v>BONO 14 DECRETO 42-92</v>
          </cell>
          <cell r="C453">
            <v>35842.550000000003</v>
          </cell>
        </row>
        <row r="454">
          <cell r="A454" t="str">
            <v>78220008</v>
          </cell>
          <cell r="B454" t="str">
            <v>BONO INCENTIVO</v>
          </cell>
          <cell r="C454">
            <v>24208.34</v>
          </cell>
        </row>
        <row r="455">
          <cell r="A455" t="str">
            <v>78220010</v>
          </cell>
          <cell r="B455" t="str">
            <v>SEGURO SOCIAL (IGSS)</v>
          </cell>
          <cell r="C455">
            <v>50435.25</v>
          </cell>
        </row>
        <row r="456">
          <cell r="A456" t="str">
            <v>78220011</v>
          </cell>
          <cell r="B456" t="str">
            <v>SEGURO DE VIDA Y GTS MEDICOS</v>
          </cell>
          <cell r="C456">
            <v>3255.97</v>
          </cell>
        </row>
        <row r="457">
          <cell r="A457" t="str">
            <v>78220012</v>
          </cell>
          <cell r="B457" t="str">
            <v>HONORARIOS PROFESIONALES</v>
          </cell>
          <cell r="C457">
            <v>3782.7</v>
          </cell>
        </row>
        <row r="458">
          <cell r="A458" t="str">
            <v>78220014</v>
          </cell>
          <cell r="B458" t="str">
            <v>ATENCIONES AL PERSONAL</v>
          </cell>
          <cell r="C458">
            <v>521.27</v>
          </cell>
        </row>
        <row r="459">
          <cell r="A459" t="str">
            <v>78220015</v>
          </cell>
          <cell r="B459" t="str">
            <v>FESTEJOS NAVIDEÑOS</v>
          </cell>
          <cell r="C459">
            <v>7056.29</v>
          </cell>
        </row>
        <row r="460">
          <cell r="A460" t="str">
            <v>78220019</v>
          </cell>
          <cell r="B460" t="str">
            <v>SEGUROS</v>
          </cell>
          <cell r="C460">
            <v>15495.5</v>
          </cell>
        </row>
        <row r="461">
          <cell r="A461" t="str">
            <v>78220020</v>
          </cell>
          <cell r="B461" t="str">
            <v>COMUNICACIONES Y CORREO</v>
          </cell>
          <cell r="C461">
            <v>42978.29</v>
          </cell>
        </row>
        <row r="462">
          <cell r="A462" t="str">
            <v>78220021</v>
          </cell>
          <cell r="B462" t="str">
            <v>VIATICOS Y GTOS. DE VIAJE</v>
          </cell>
          <cell r="C462">
            <v>2935.83</v>
          </cell>
        </row>
        <row r="463">
          <cell r="A463" t="str">
            <v>78220024</v>
          </cell>
          <cell r="B463" t="str">
            <v>PAPELERIA Y UTILES</v>
          </cell>
          <cell r="C463">
            <v>16.07</v>
          </cell>
        </row>
        <row r="464">
          <cell r="A464" t="str">
            <v>78220025</v>
          </cell>
          <cell r="B464" t="str">
            <v>COMBUSTIBLES Y LUBRICANTES</v>
          </cell>
          <cell r="C464">
            <v>16786.53</v>
          </cell>
        </row>
        <row r="465">
          <cell r="A465" t="str">
            <v>78220026</v>
          </cell>
          <cell r="B465" t="str">
            <v>MATERIALES Y UTILES</v>
          </cell>
          <cell r="C465">
            <v>1718.85</v>
          </cell>
        </row>
        <row r="466">
          <cell r="A466" t="str">
            <v>78220028</v>
          </cell>
          <cell r="B466" t="str">
            <v>MANTENIMIENTO INSTALACIONES</v>
          </cell>
          <cell r="C466">
            <v>89593.22</v>
          </cell>
        </row>
        <row r="467">
          <cell r="A467" t="str">
            <v>78220031</v>
          </cell>
          <cell r="B467" t="str">
            <v>MANTENIMIENTO VEHICULOS</v>
          </cell>
          <cell r="C467">
            <v>464.32</v>
          </cell>
        </row>
        <row r="468">
          <cell r="A468" t="str">
            <v>78220032</v>
          </cell>
          <cell r="B468" t="str">
            <v>HERRAMIENTAS UTILIZADAS</v>
          </cell>
          <cell r="C468">
            <v>5994.71</v>
          </cell>
        </row>
        <row r="469">
          <cell r="A469" t="str">
            <v>78220039</v>
          </cell>
          <cell r="B469" t="str">
            <v>MUESTRAS</v>
          </cell>
          <cell r="C469">
            <v>450</v>
          </cell>
        </row>
        <row r="470">
          <cell r="A470" t="str">
            <v>78220041</v>
          </cell>
          <cell r="B470" t="str">
            <v>IMPUESTOS FISCALES Y MUNICIPAL</v>
          </cell>
          <cell r="C470">
            <v>118.55</v>
          </cell>
        </row>
        <row r="471">
          <cell r="A471" t="str">
            <v>78220046</v>
          </cell>
          <cell r="B471" t="str">
            <v>SUSCRIPCIONES Y PUBLICACIONES</v>
          </cell>
          <cell r="C471">
            <v>880</v>
          </cell>
        </row>
        <row r="472">
          <cell r="A472" t="str">
            <v>78220048</v>
          </cell>
          <cell r="B472" t="str">
            <v>PARQUEOS</v>
          </cell>
          <cell r="C472">
            <v>15.99</v>
          </cell>
        </row>
        <row r="473">
          <cell r="A473" t="str">
            <v>78220051</v>
          </cell>
          <cell r="B473" t="str">
            <v>MATERIAL EMPAQUE Y SUMINISTRO</v>
          </cell>
          <cell r="C473">
            <v>374.46</v>
          </cell>
        </row>
        <row r="474">
          <cell r="A474" t="str">
            <v>78220052</v>
          </cell>
          <cell r="B474" t="str">
            <v>FLETES Y ACARREOS</v>
          </cell>
          <cell r="C474">
            <v>982.15</v>
          </cell>
        </row>
        <row r="475">
          <cell r="A475" t="str">
            <v>88110001</v>
          </cell>
          <cell r="B475" t="str">
            <v>SUELDOS</v>
          </cell>
          <cell r="C475">
            <v>1010333.64</v>
          </cell>
        </row>
        <row r="476">
          <cell r="A476" t="str">
            <v>88110002</v>
          </cell>
          <cell r="B476" t="str">
            <v>HORAS EXTRAS</v>
          </cell>
          <cell r="C476">
            <v>23042.14</v>
          </cell>
        </row>
        <row r="477">
          <cell r="A477" t="str">
            <v>88110003</v>
          </cell>
          <cell r="B477" t="str">
            <v>COMISIONES SOBRE VENTAS</v>
          </cell>
          <cell r="C477">
            <v>5183.33</v>
          </cell>
        </row>
        <row r="478">
          <cell r="A478" t="str">
            <v>88110004</v>
          </cell>
          <cell r="B478" t="str">
            <v>AGUINALDOS</v>
          </cell>
          <cell r="C478">
            <v>91695.62</v>
          </cell>
        </row>
        <row r="479">
          <cell r="A479" t="str">
            <v>88110005</v>
          </cell>
          <cell r="B479" t="str">
            <v>VACACIONES</v>
          </cell>
          <cell r="C479">
            <v>89697.71</v>
          </cell>
        </row>
        <row r="480">
          <cell r="A480" t="str">
            <v>88110006</v>
          </cell>
          <cell r="B480" t="str">
            <v>INDEMINIZACIONES</v>
          </cell>
          <cell r="C480">
            <v>89183.06</v>
          </cell>
        </row>
        <row r="481">
          <cell r="A481" t="str">
            <v>88110007</v>
          </cell>
          <cell r="B481" t="str">
            <v>BONO 14 DEC. 42-92</v>
          </cell>
          <cell r="C481">
            <v>96083.06</v>
          </cell>
        </row>
        <row r="482">
          <cell r="A482" t="str">
            <v>88110008</v>
          </cell>
          <cell r="B482" t="str">
            <v>BONO INCENTIVO</v>
          </cell>
          <cell r="C482">
            <v>65465.21</v>
          </cell>
        </row>
        <row r="483">
          <cell r="A483" t="str">
            <v>88110010</v>
          </cell>
          <cell r="B483" t="str">
            <v>SEGURO SOCIAL (I.G.S.S.)</v>
          </cell>
          <cell r="C483">
            <v>120334.22</v>
          </cell>
        </row>
        <row r="484">
          <cell r="A484" t="str">
            <v>88110011</v>
          </cell>
          <cell r="B484" t="str">
            <v>SEGURO DE VIDA Y GTOS. MEDICOS</v>
          </cell>
          <cell r="C484">
            <v>13803.03</v>
          </cell>
        </row>
        <row r="485">
          <cell r="A485" t="str">
            <v>88110012</v>
          </cell>
          <cell r="B485" t="str">
            <v>HONORARIOS PROFESIONALES</v>
          </cell>
          <cell r="C485">
            <v>50566.31</v>
          </cell>
        </row>
        <row r="486">
          <cell r="A486" t="str">
            <v>88110013</v>
          </cell>
          <cell r="B486" t="str">
            <v>CAPACITACION TECNICA</v>
          </cell>
          <cell r="C486">
            <v>2816.63</v>
          </cell>
        </row>
        <row r="487">
          <cell r="A487" t="str">
            <v>88110014</v>
          </cell>
          <cell r="B487" t="str">
            <v>ATENCIONES AL PERSONAL</v>
          </cell>
          <cell r="C487">
            <v>14118.87</v>
          </cell>
        </row>
        <row r="488">
          <cell r="A488" t="str">
            <v>88110015</v>
          </cell>
          <cell r="B488" t="str">
            <v>FESTEJOS NAVIDEÑOS</v>
          </cell>
          <cell r="C488">
            <v>17375.78</v>
          </cell>
        </row>
        <row r="489">
          <cell r="A489" t="str">
            <v>88110019</v>
          </cell>
          <cell r="B489" t="str">
            <v>SEGUROS</v>
          </cell>
          <cell r="C489">
            <v>2719.44</v>
          </cell>
        </row>
        <row r="490">
          <cell r="A490" t="str">
            <v>88110020</v>
          </cell>
          <cell r="B490" t="str">
            <v>COMUNICACIONES Y CORREO</v>
          </cell>
          <cell r="C490">
            <v>14918.73</v>
          </cell>
        </row>
        <row r="491">
          <cell r="A491" t="str">
            <v>88110021</v>
          </cell>
          <cell r="B491" t="str">
            <v>VIATICOS Y GTOS. DE VIAJE</v>
          </cell>
          <cell r="C491">
            <v>15705.21</v>
          </cell>
        </row>
        <row r="492">
          <cell r="A492" t="str">
            <v>88110023</v>
          </cell>
          <cell r="B492" t="str">
            <v>AGUA POTABLE</v>
          </cell>
          <cell r="C492">
            <v>1423.22</v>
          </cell>
        </row>
        <row r="493">
          <cell r="A493" t="str">
            <v>88110024</v>
          </cell>
          <cell r="B493" t="str">
            <v>PAPELERIA Y UTILES</v>
          </cell>
          <cell r="C493">
            <v>37365.449999999997</v>
          </cell>
        </row>
        <row r="494">
          <cell r="A494" t="str">
            <v>88110025</v>
          </cell>
          <cell r="B494" t="str">
            <v>COMBUSTIBLES Y LUBRICANTES</v>
          </cell>
          <cell r="C494">
            <v>8458.0499999999993</v>
          </cell>
        </row>
        <row r="495">
          <cell r="A495" t="str">
            <v>88110026</v>
          </cell>
          <cell r="B495" t="str">
            <v>MATERIALES Y UTILES DE ASEO</v>
          </cell>
          <cell r="C495">
            <v>5311.74</v>
          </cell>
        </row>
        <row r="496">
          <cell r="A496" t="str">
            <v>88110027</v>
          </cell>
          <cell r="B496" t="str">
            <v>MANTENIMIENTO EDIFICIOS</v>
          </cell>
          <cell r="C496">
            <v>12.89</v>
          </cell>
        </row>
        <row r="497">
          <cell r="A497" t="str">
            <v>88110028</v>
          </cell>
          <cell r="B497" t="str">
            <v>MANTENIMIENTO INSTALACIONES</v>
          </cell>
          <cell r="C497">
            <v>94902.64</v>
          </cell>
        </row>
        <row r="498">
          <cell r="A498" t="str">
            <v>88110030</v>
          </cell>
          <cell r="B498" t="str">
            <v>MANTENIMIENTO MOB. Y EQUIPO</v>
          </cell>
          <cell r="C498">
            <v>9934.93</v>
          </cell>
        </row>
        <row r="499">
          <cell r="A499" t="str">
            <v>88110031</v>
          </cell>
          <cell r="B499" t="str">
            <v>MANTENIMIENTO VEHICULOS</v>
          </cell>
          <cell r="C499">
            <v>787.9</v>
          </cell>
        </row>
        <row r="500">
          <cell r="A500" t="str">
            <v>88110034</v>
          </cell>
          <cell r="B500" t="str">
            <v>DEPRECIACION MOB. Y EQUIPO</v>
          </cell>
          <cell r="C500">
            <v>66113.17</v>
          </cell>
        </row>
        <row r="501">
          <cell r="A501" t="str">
            <v>88110035</v>
          </cell>
          <cell r="B501" t="str">
            <v>DEPRECIACION VEHICULOS</v>
          </cell>
          <cell r="C501">
            <v>30923.88</v>
          </cell>
        </row>
        <row r="502">
          <cell r="A502" t="str">
            <v>88110036</v>
          </cell>
          <cell r="B502" t="str">
            <v>DEPRECIACION EDIFICIOS E INST.</v>
          </cell>
          <cell r="C502">
            <v>1972.92</v>
          </cell>
        </row>
        <row r="503">
          <cell r="A503" t="str">
            <v>88110037</v>
          </cell>
          <cell r="B503" t="str">
            <v>ALQUILERES</v>
          </cell>
          <cell r="C503">
            <v>77818.28</v>
          </cell>
        </row>
        <row r="504">
          <cell r="A504" t="str">
            <v>88110039</v>
          </cell>
          <cell r="B504" t="str">
            <v>DIETAS</v>
          </cell>
          <cell r="C504">
            <v>42000</v>
          </cell>
        </row>
        <row r="505">
          <cell r="A505" t="str">
            <v>88110041</v>
          </cell>
          <cell r="B505" t="str">
            <v>IMPUESTOS FISCALES Y MUNICIP.</v>
          </cell>
          <cell r="C505">
            <v>54555.24</v>
          </cell>
        </row>
        <row r="506">
          <cell r="A506" t="str">
            <v>88110042</v>
          </cell>
          <cell r="B506" t="str">
            <v>MULTAS Y RECARGOS</v>
          </cell>
          <cell r="C506">
            <v>15</v>
          </cell>
        </row>
        <row r="507">
          <cell r="A507" t="str">
            <v>88110043</v>
          </cell>
          <cell r="B507" t="str">
            <v>MANTENIMIENTO EQUIPO COMPUTO</v>
          </cell>
          <cell r="C507">
            <v>302.68</v>
          </cell>
        </row>
        <row r="508">
          <cell r="A508" t="str">
            <v>88110046</v>
          </cell>
          <cell r="B508" t="str">
            <v>SUSCRIPCIONES Y PUBLICACIONES</v>
          </cell>
          <cell r="C508">
            <v>4915.2</v>
          </cell>
        </row>
        <row r="509">
          <cell r="A509" t="str">
            <v>88110048</v>
          </cell>
          <cell r="B509" t="str">
            <v>PARQUEOS</v>
          </cell>
          <cell r="C509">
            <v>48.21</v>
          </cell>
        </row>
        <row r="510">
          <cell r="A510" t="str">
            <v>88110049</v>
          </cell>
          <cell r="B510" t="str">
            <v>DEPREC. VEHICULOS MENSAJERIA</v>
          </cell>
          <cell r="C510">
            <v>5845.44</v>
          </cell>
        </row>
        <row r="511">
          <cell r="A511" t="str">
            <v>88110051</v>
          </cell>
          <cell r="B511" t="str">
            <v>MATERIAL DE EMPAQUE Y SUMINS.</v>
          </cell>
          <cell r="C511">
            <v>80.36</v>
          </cell>
        </row>
        <row r="512">
          <cell r="A512" t="str">
            <v>88110052</v>
          </cell>
          <cell r="B512" t="str">
            <v>FLETES Y ACARREOS</v>
          </cell>
          <cell r="C512">
            <v>150</v>
          </cell>
        </row>
        <row r="513">
          <cell r="A513" t="str">
            <v>88110056</v>
          </cell>
          <cell r="B513" t="str">
            <v>GASTOS NO DEDUCIBLES</v>
          </cell>
          <cell r="C513">
            <v>0</v>
          </cell>
        </row>
        <row r="514">
          <cell r="A514" t="str">
            <v>88110078</v>
          </cell>
          <cell r="B514" t="str">
            <v>AUDITORIA CORPORATIVA</v>
          </cell>
          <cell r="C514">
            <v>234792</v>
          </cell>
        </row>
        <row r="515">
          <cell r="A515" t="str">
            <v>88110080</v>
          </cell>
          <cell r="B515" t="str">
            <v>AUDITORIA EXTERNA</v>
          </cell>
          <cell r="C515">
            <v>42410</v>
          </cell>
        </row>
        <row r="516">
          <cell r="A516" t="str">
            <v>99220001</v>
          </cell>
          <cell r="B516" t="str">
            <v>SUELDOS</v>
          </cell>
          <cell r="C516">
            <v>347294.3</v>
          </cell>
        </row>
        <row r="517">
          <cell r="A517" t="str">
            <v>99220002</v>
          </cell>
          <cell r="B517" t="str">
            <v>HORAS EXTRAS</v>
          </cell>
          <cell r="C517">
            <v>31842.07</v>
          </cell>
        </row>
        <row r="518">
          <cell r="A518" t="str">
            <v>99220003</v>
          </cell>
          <cell r="B518" t="str">
            <v>COMISIONES SOBRE VENTAS</v>
          </cell>
          <cell r="C518">
            <v>20232.150000000001</v>
          </cell>
        </row>
        <row r="519">
          <cell r="A519" t="str">
            <v>99220004</v>
          </cell>
          <cell r="B519" t="str">
            <v>AGUINALDOS</v>
          </cell>
          <cell r="C519">
            <v>35407.61</v>
          </cell>
        </row>
        <row r="520">
          <cell r="A520" t="str">
            <v>99220005</v>
          </cell>
          <cell r="B520" t="str">
            <v>VACACIONES</v>
          </cell>
          <cell r="C520">
            <v>33930.839999999997</v>
          </cell>
        </row>
        <row r="521">
          <cell r="A521" t="str">
            <v>99220006</v>
          </cell>
          <cell r="B521" t="str">
            <v>INDEMNIZACIONES</v>
          </cell>
          <cell r="C521">
            <v>33550.44</v>
          </cell>
        </row>
        <row r="522">
          <cell r="A522" t="str">
            <v>99220007</v>
          </cell>
          <cell r="B522" t="str">
            <v>BONO 14 DEC. 42-92</v>
          </cell>
          <cell r="C522">
            <v>38650.44</v>
          </cell>
        </row>
        <row r="523">
          <cell r="A523" t="str">
            <v>99220008</v>
          </cell>
          <cell r="B523" t="str">
            <v>BONO INCENTIVO</v>
          </cell>
          <cell r="C523">
            <v>65455.41</v>
          </cell>
        </row>
        <row r="524">
          <cell r="A524" t="str">
            <v>99220010</v>
          </cell>
          <cell r="B524" t="str">
            <v>SEGURO SOCIAL (I.G.S.S)</v>
          </cell>
          <cell r="C524">
            <v>54787.1</v>
          </cell>
        </row>
        <row r="525">
          <cell r="A525" t="str">
            <v>99220011</v>
          </cell>
          <cell r="B525" t="str">
            <v>SEGURO DE VIDA Y GTOS. MEDICOS</v>
          </cell>
          <cell r="C525">
            <v>5511.63</v>
          </cell>
        </row>
        <row r="526">
          <cell r="A526" t="str">
            <v>99220012</v>
          </cell>
          <cell r="B526" t="str">
            <v>HONORARIOS</v>
          </cell>
          <cell r="C526">
            <v>1579.28</v>
          </cell>
        </row>
        <row r="527">
          <cell r="A527" t="str">
            <v>99220014</v>
          </cell>
          <cell r="B527" t="str">
            <v>ATENCIONES AL PERSONAL</v>
          </cell>
          <cell r="C527">
            <v>2629.34</v>
          </cell>
        </row>
        <row r="528">
          <cell r="A528" t="str">
            <v>99220015</v>
          </cell>
          <cell r="B528" t="str">
            <v>FESTEJOS NAVIDEÑOS</v>
          </cell>
          <cell r="C528">
            <v>7685.8</v>
          </cell>
        </row>
        <row r="529">
          <cell r="A529" t="str">
            <v>99220016</v>
          </cell>
          <cell r="B529" t="str">
            <v>UNIFORMES Y GUANTES</v>
          </cell>
          <cell r="C529">
            <v>23974.99</v>
          </cell>
        </row>
        <row r="530">
          <cell r="A530" t="str">
            <v>99220019</v>
          </cell>
          <cell r="B530" t="str">
            <v>SEGUROS</v>
          </cell>
          <cell r="C530">
            <v>74540.25</v>
          </cell>
        </row>
        <row r="531">
          <cell r="A531" t="str">
            <v>99220020</v>
          </cell>
          <cell r="B531" t="str">
            <v>COMUNICACIONES Y CORREO</v>
          </cell>
          <cell r="C531">
            <v>11862.04</v>
          </cell>
        </row>
        <row r="532">
          <cell r="A532" t="str">
            <v>99220021</v>
          </cell>
          <cell r="B532" t="str">
            <v>VIATICOS Y GTOS. DE VIAJE</v>
          </cell>
          <cell r="C532">
            <v>26916</v>
          </cell>
        </row>
        <row r="533">
          <cell r="A533" t="str">
            <v>99220024</v>
          </cell>
          <cell r="B533" t="str">
            <v>PAPELERIA Y UTILES</v>
          </cell>
          <cell r="C533">
            <v>3186.28</v>
          </cell>
        </row>
        <row r="534">
          <cell r="A534" t="str">
            <v>99220025</v>
          </cell>
          <cell r="B534" t="str">
            <v>COMBUSTIBLES Y LUBRICANTES</v>
          </cell>
          <cell r="C534">
            <v>72152.960000000006</v>
          </cell>
        </row>
        <row r="535">
          <cell r="A535" t="str">
            <v>99220026</v>
          </cell>
          <cell r="B535" t="str">
            <v>MATERIALES Y UTILES DE ASEO</v>
          </cell>
          <cell r="C535">
            <v>2769.54</v>
          </cell>
        </row>
        <row r="536">
          <cell r="A536" t="str">
            <v>99220028</v>
          </cell>
          <cell r="B536" t="str">
            <v>MANTENIMIENTO INSTALACIONES</v>
          </cell>
          <cell r="C536">
            <v>102766.66</v>
          </cell>
        </row>
        <row r="537">
          <cell r="A537" t="str">
            <v>99220029</v>
          </cell>
          <cell r="B537" t="str">
            <v>MANTENIMIENTO MAQ. Y EQUIPO</v>
          </cell>
          <cell r="C537">
            <v>14713.44</v>
          </cell>
        </row>
        <row r="538">
          <cell r="A538" t="str">
            <v>99220030</v>
          </cell>
          <cell r="B538" t="str">
            <v>MANTENIMIENTO MOB. Y EQUIPO</v>
          </cell>
          <cell r="C538">
            <v>2120.94</v>
          </cell>
        </row>
        <row r="539">
          <cell r="A539" t="str">
            <v>99220031</v>
          </cell>
          <cell r="B539" t="str">
            <v>MANTENIMIENTO VEHICULOS</v>
          </cell>
          <cell r="C539">
            <v>127024.58</v>
          </cell>
        </row>
        <row r="540">
          <cell r="A540" t="str">
            <v>99220032</v>
          </cell>
          <cell r="B540" t="str">
            <v>HERRAMIENTAS UTILIZADAS Y GTOS TRASLADO</v>
          </cell>
          <cell r="C540">
            <v>62516.77</v>
          </cell>
        </row>
        <row r="541">
          <cell r="A541" t="str">
            <v>99220033</v>
          </cell>
          <cell r="B541" t="str">
            <v>DEPREC. MAQUINARIA Y EQUIPO</v>
          </cell>
          <cell r="C541">
            <v>34155.58</v>
          </cell>
        </row>
        <row r="542">
          <cell r="A542" t="str">
            <v>99220034</v>
          </cell>
          <cell r="B542" t="str">
            <v>DEPRECIACIONES MOB. Y EQUIPO</v>
          </cell>
          <cell r="C542">
            <v>5059.28</v>
          </cell>
        </row>
        <row r="543">
          <cell r="A543" t="str">
            <v>99220035</v>
          </cell>
          <cell r="B543" t="str">
            <v>DEPRECIACION VEHICULOS</v>
          </cell>
          <cell r="C543">
            <v>85595.82</v>
          </cell>
        </row>
        <row r="544">
          <cell r="A544" t="str">
            <v>99220036</v>
          </cell>
          <cell r="B544" t="str">
            <v>DEPRECIACION EDIFICIOS E INST.</v>
          </cell>
          <cell r="C544">
            <v>1192.8</v>
          </cell>
        </row>
        <row r="545">
          <cell r="A545" t="str">
            <v>99220041</v>
          </cell>
          <cell r="B545" t="str">
            <v>IMPUESTOS FISCALES Y MUNICIP.</v>
          </cell>
          <cell r="C545">
            <v>711</v>
          </cell>
        </row>
        <row r="546">
          <cell r="A546" t="str">
            <v>99220042</v>
          </cell>
          <cell r="B546" t="str">
            <v>MULTAS Y RECARGOS</v>
          </cell>
          <cell r="C546">
            <v>250</v>
          </cell>
        </row>
        <row r="547">
          <cell r="A547" t="str">
            <v>99220045</v>
          </cell>
          <cell r="B547" t="str">
            <v>PUBLICIDAD Y PROPAGANDA</v>
          </cell>
          <cell r="C547">
            <v>2142.86</v>
          </cell>
        </row>
        <row r="548">
          <cell r="A548" t="str">
            <v>99220048</v>
          </cell>
          <cell r="B548" t="str">
            <v>PARQUEOS</v>
          </cell>
          <cell r="C548">
            <v>69.540000000000006</v>
          </cell>
        </row>
        <row r="549">
          <cell r="A549" t="str">
            <v>99220051</v>
          </cell>
          <cell r="B549" t="str">
            <v>MATERIAL DE EMPAQUE Y SUMINIS.</v>
          </cell>
          <cell r="C549">
            <v>13865.67</v>
          </cell>
        </row>
        <row r="550">
          <cell r="A550" t="str">
            <v>99220052</v>
          </cell>
          <cell r="B550" t="str">
            <v>FLETES Y ACARREOS</v>
          </cell>
          <cell r="C550">
            <v>3890.51</v>
          </cell>
        </row>
        <row r="551">
          <cell r="A551" t="str">
            <v>99650001</v>
          </cell>
          <cell r="B551" t="str">
            <v>GASTOS FINANCIEROS</v>
          </cell>
          <cell r="C551">
            <v>6914.59</v>
          </cell>
        </row>
        <row r="552">
          <cell r="A552" t="str">
            <v>99650002</v>
          </cell>
          <cell r="B552" t="str">
            <v>INTERESES BANCARIOS</v>
          </cell>
          <cell r="C552">
            <v>1080992.7</v>
          </cell>
        </row>
        <row r="553">
          <cell r="A553" t="str">
            <v>99650003</v>
          </cell>
          <cell r="B553" t="str">
            <v>DIFERENCIAL CAMBIARIO</v>
          </cell>
          <cell r="C553">
            <v>-429707.84</v>
          </cell>
        </row>
        <row r="554">
          <cell r="A554" t="str">
            <v>99650004</v>
          </cell>
          <cell r="B554" t="str">
            <v>INTERESES CORPORACION</v>
          </cell>
          <cell r="C554">
            <v>525159.42000000004</v>
          </cell>
        </row>
      </sheetData>
      <sheetData sheetId="3" refreshError="1">
        <row r="4">
          <cell r="A4" t="str">
            <v xml:space="preserve"> Cuenta</v>
          </cell>
          <cell r="B4" t="str">
            <v>Descripción de la Cuenta</v>
          </cell>
          <cell r="C4">
            <v>37591</v>
          </cell>
          <cell r="D4" t="str">
            <v>aa</v>
          </cell>
          <cell r="E4" t="str">
            <v>bb</v>
          </cell>
          <cell r="F4" t="str">
            <v>cc</v>
          </cell>
          <cell r="G4" t="str">
            <v>dd</v>
          </cell>
          <cell r="H4" t="str">
            <v>ee</v>
          </cell>
        </row>
        <row r="5">
          <cell r="A5" t="str">
            <v>11120013</v>
          </cell>
          <cell r="B5" t="str">
            <v>BANCO REFORMADOR S.A.</v>
          </cell>
          <cell r="C5">
            <v>38874.089999999997</v>
          </cell>
        </row>
        <row r="6">
          <cell r="A6" t="str">
            <v>11210001</v>
          </cell>
          <cell r="B6" t="str">
            <v>CLIENTES</v>
          </cell>
          <cell r="C6">
            <v>140319.98000000001</v>
          </cell>
        </row>
        <row r="7">
          <cell r="A7" t="str">
            <v>11230001</v>
          </cell>
          <cell r="B7" t="str">
            <v>ESTIMACION CUENTAS INCOBRABLES</v>
          </cell>
          <cell r="C7">
            <v>-114510.67</v>
          </cell>
        </row>
        <row r="8">
          <cell r="A8" t="str">
            <v>11240001</v>
          </cell>
          <cell r="B8" t="str">
            <v>FONDO EMPLEADOS</v>
          </cell>
          <cell r="C8">
            <v>7200</v>
          </cell>
        </row>
        <row r="9">
          <cell r="A9" t="str">
            <v>11270001</v>
          </cell>
          <cell r="B9" t="str">
            <v>CUENTAS POR COBRAR AFILIADAS</v>
          </cell>
          <cell r="C9">
            <v>4683678.6100000003</v>
          </cell>
        </row>
        <row r="10">
          <cell r="A10" t="str">
            <v>11270002</v>
          </cell>
          <cell r="B10" t="str">
            <v>CTAS POR COBRAR AFILIADAS DOLARES</v>
          </cell>
          <cell r="C10">
            <v>55286.81</v>
          </cell>
        </row>
        <row r="11">
          <cell r="A11" t="str">
            <v>11270099</v>
          </cell>
          <cell r="B11" t="str">
            <v>DIFERENCIAL CAMBIARIO</v>
          </cell>
          <cell r="C11">
            <v>373738.84</v>
          </cell>
        </row>
        <row r="12">
          <cell r="A12" t="str">
            <v>11400000</v>
          </cell>
          <cell r="B12" t="str">
            <v>IMPUESTOS POR COBRAR</v>
          </cell>
          <cell r="C12">
            <v>434628.24</v>
          </cell>
        </row>
        <row r="13">
          <cell r="A13" t="str">
            <v>11410001</v>
          </cell>
          <cell r="B13" t="str">
            <v>IVA DEL MES COMPRAS LOCALES</v>
          </cell>
          <cell r="C13">
            <v>7389.71</v>
          </cell>
        </row>
        <row r="14">
          <cell r="A14" t="str">
            <v>11420001</v>
          </cell>
          <cell r="B14" t="str">
            <v>IMPUESTO EMPRESAS MERCANTILES</v>
          </cell>
          <cell r="C14">
            <v>85723.96</v>
          </cell>
        </row>
        <row r="15">
          <cell r="A15" t="str">
            <v>11420002</v>
          </cell>
          <cell r="B15" t="str">
            <v>PAGOS A CUENTA I.S.R. 2001 Y 2002</v>
          </cell>
          <cell r="C15">
            <v>72740.94</v>
          </cell>
        </row>
        <row r="16">
          <cell r="A16" t="str">
            <v>11420004</v>
          </cell>
          <cell r="B16" t="str">
            <v>PAGO A CUENTA I.S.R.</v>
          </cell>
          <cell r="C16">
            <v>170404.11</v>
          </cell>
        </row>
        <row r="17">
          <cell r="A17" t="str">
            <v>11420008</v>
          </cell>
          <cell r="B17" t="str">
            <v>I.E.M.A. PAGADO AÑO 2002</v>
          </cell>
          <cell r="C17">
            <v>98369.52</v>
          </cell>
        </row>
        <row r="18">
          <cell r="A18" t="str">
            <v>22110001</v>
          </cell>
          <cell r="B18" t="str">
            <v>TERRENO DE ZONA 8 GUATEMALA</v>
          </cell>
          <cell r="C18">
            <v>30000</v>
          </cell>
        </row>
        <row r="19">
          <cell r="A19" t="str">
            <v>22110020</v>
          </cell>
          <cell r="B19" t="str">
            <v>EDIFICIOS E INSTALACIONES</v>
          </cell>
          <cell r="C19">
            <v>105383.18</v>
          </cell>
        </row>
        <row r="20">
          <cell r="A20" t="str">
            <v>22110030</v>
          </cell>
          <cell r="B20" t="str">
            <v>MAQUINARIA Y EQUIPO</v>
          </cell>
          <cell r="C20">
            <v>48314.85</v>
          </cell>
        </row>
        <row r="21">
          <cell r="A21" t="str">
            <v>22110040</v>
          </cell>
          <cell r="B21" t="str">
            <v>VEHICULOS</v>
          </cell>
          <cell r="C21">
            <v>233083.31</v>
          </cell>
        </row>
        <row r="22">
          <cell r="A22" t="str">
            <v>22110060</v>
          </cell>
          <cell r="B22" t="str">
            <v>MOBILIARIO Y EQUIPO DE OFICINA</v>
          </cell>
          <cell r="C22">
            <v>37637.29</v>
          </cell>
        </row>
        <row r="23">
          <cell r="A23" t="str">
            <v>22110080</v>
          </cell>
          <cell r="B23" t="str">
            <v>EQUIPO DE COMPUTACION</v>
          </cell>
          <cell r="C23">
            <v>139113.16</v>
          </cell>
        </row>
        <row r="24">
          <cell r="A24" t="str">
            <v>22210020</v>
          </cell>
          <cell r="B24" t="str">
            <v>EDIFICIOS</v>
          </cell>
          <cell r="C24">
            <v>-16980.580000000002</v>
          </cell>
        </row>
        <row r="25">
          <cell r="A25" t="str">
            <v>22210030</v>
          </cell>
          <cell r="B25" t="str">
            <v>MAQUINARIA Y EQUIPO</v>
          </cell>
          <cell r="C25">
            <v>-49423.75</v>
          </cell>
        </row>
        <row r="26">
          <cell r="A26" t="str">
            <v>22210040</v>
          </cell>
          <cell r="B26" t="str">
            <v>VEHICULOS</v>
          </cell>
          <cell r="C26">
            <v>-266821.28000000003</v>
          </cell>
        </row>
        <row r="27">
          <cell r="A27" t="str">
            <v>22210060</v>
          </cell>
          <cell r="B27" t="str">
            <v>MOBILIARIO Y EQUIPO DE OFICINA</v>
          </cell>
          <cell r="C27">
            <v>-40181</v>
          </cell>
        </row>
        <row r="28">
          <cell r="A28" t="str">
            <v>22210080</v>
          </cell>
          <cell r="B28" t="str">
            <v>EQUIPO DE COMPUTACION</v>
          </cell>
          <cell r="C28">
            <v>-139624.68</v>
          </cell>
        </row>
        <row r="29">
          <cell r="A29" t="str">
            <v>33110002</v>
          </cell>
          <cell r="B29" t="str">
            <v>DIETAS</v>
          </cell>
          <cell r="C29">
            <v>78000</v>
          </cell>
        </row>
        <row r="30">
          <cell r="A30" t="str">
            <v>33110003</v>
          </cell>
          <cell r="B30" t="str">
            <v>OTRAS CUENTAS POR PAGAR</v>
          </cell>
          <cell r="C30">
            <v>2566.5100000000002</v>
          </cell>
        </row>
        <row r="31">
          <cell r="A31" t="str">
            <v>33150001</v>
          </cell>
          <cell r="B31" t="str">
            <v>PROVEEDORES AFILIADAS</v>
          </cell>
          <cell r="C31">
            <v>2316.27</v>
          </cell>
        </row>
        <row r="32">
          <cell r="A32" t="str">
            <v>33150099</v>
          </cell>
          <cell r="B32" t="str">
            <v>DIFERENCIAL CAMBIARIO</v>
          </cell>
          <cell r="C32">
            <v>15657.99</v>
          </cell>
        </row>
        <row r="33">
          <cell r="A33" t="str">
            <v>44110001</v>
          </cell>
          <cell r="B33" t="str">
            <v>CAPITAL PAGADO</v>
          </cell>
          <cell r="C33">
            <v>5000000</v>
          </cell>
        </row>
        <row r="34">
          <cell r="A34" t="str">
            <v>44210001</v>
          </cell>
          <cell r="B34" t="str">
            <v>RESERVA LEGAL</v>
          </cell>
          <cell r="C34">
            <v>202485.64</v>
          </cell>
        </row>
        <row r="35">
          <cell r="A35" t="str">
            <v>44310001</v>
          </cell>
          <cell r="B35" t="str">
            <v>UTILIDADES RETENIDAS</v>
          </cell>
          <cell r="C35">
            <v>-1349702.98</v>
          </cell>
        </row>
        <row r="36">
          <cell r="A36" t="str">
            <v>44310002</v>
          </cell>
          <cell r="B36" t="str">
            <v>UTILIDADES RETENIDAS</v>
          </cell>
          <cell r="C36">
            <v>1349702.98</v>
          </cell>
        </row>
        <row r="37">
          <cell r="A37" t="str">
            <v>44310011</v>
          </cell>
          <cell r="B37" t="str">
            <v>UTILIDAD EJERCICIO/96</v>
          </cell>
          <cell r="C37">
            <v>92987.07</v>
          </cell>
        </row>
        <row r="38">
          <cell r="A38" t="str">
            <v>44310012</v>
          </cell>
          <cell r="B38" t="str">
            <v>UTILIDADES DEL EJERCIO DE 1999</v>
          </cell>
          <cell r="C38">
            <v>947210.5</v>
          </cell>
        </row>
        <row r="39">
          <cell r="A39" t="str">
            <v>44310013</v>
          </cell>
          <cell r="B39" t="str">
            <v>UTILIDAD DEL EJERCICIO/2000</v>
          </cell>
          <cell r="C39">
            <v>-504044.88</v>
          </cell>
        </row>
        <row r="40">
          <cell r="A40" t="str">
            <v>44310014</v>
          </cell>
          <cell r="B40" t="str">
            <v>PERDIDA DEL EJERCICIO 2001</v>
          </cell>
          <cell r="C40">
            <v>-151839.45000000001</v>
          </cell>
        </row>
        <row r="41">
          <cell r="A41" t="str">
            <v>55110001</v>
          </cell>
          <cell r="B41" t="str">
            <v>VENTAS LOCALES</v>
          </cell>
          <cell r="C41">
            <v>99960</v>
          </cell>
        </row>
        <row r="42">
          <cell r="A42" t="str">
            <v>55650001</v>
          </cell>
          <cell r="B42" t="str">
            <v>INTERESES CUENTAS DE AHORRO</v>
          </cell>
          <cell r="C42">
            <v>705.6</v>
          </cell>
        </row>
        <row r="43">
          <cell r="A43" t="str">
            <v>77110012</v>
          </cell>
          <cell r="B43" t="str">
            <v>HONORARIOS PROFESIONALES</v>
          </cell>
          <cell r="C43">
            <v>9987.5300000000007</v>
          </cell>
        </row>
        <row r="44">
          <cell r="A44" t="str">
            <v>77110033</v>
          </cell>
          <cell r="B44" t="str">
            <v>DEPRECIACIONES MAQ. Y EQUIPO</v>
          </cell>
          <cell r="C44">
            <v>4453.68</v>
          </cell>
        </row>
        <row r="45">
          <cell r="A45" t="str">
            <v>77110034</v>
          </cell>
          <cell r="B45" t="str">
            <v>DEPRECIACIONES MOB. Y EQUIPO</v>
          </cell>
          <cell r="C45">
            <v>29348.16</v>
          </cell>
        </row>
        <row r="46">
          <cell r="A46" t="str">
            <v>77110035</v>
          </cell>
          <cell r="B46" t="str">
            <v>DEPRECIACION VEHICULOS</v>
          </cell>
          <cell r="C46">
            <v>43991.040000000001</v>
          </cell>
        </row>
        <row r="47">
          <cell r="A47" t="str">
            <v>77110036</v>
          </cell>
          <cell r="B47" t="str">
            <v>DEPRECIACION EDIFICIOS E INS.</v>
          </cell>
          <cell r="C47">
            <v>5269.2</v>
          </cell>
        </row>
        <row r="48">
          <cell r="A48" t="str">
            <v>77110041</v>
          </cell>
          <cell r="B48" t="str">
            <v>IMPUESTOS FISCALES Y MUNICIPA</v>
          </cell>
          <cell r="C48">
            <v>1357.5</v>
          </cell>
        </row>
        <row r="49">
          <cell r="A49" t="str">
            <v>99650001</v>
          </cell>
          <cell r="B49" t="str">
            <v>GASTOS BANCARIOS</v>
          </cell>
          <cell r="C49">
            <v>85</v>
          </cell>
        </row>
        <row r="50">
          <cell r="A50" t="str">
            <v>99650003</v>
          </cell>
          <cell r="B50" t="str">
            <v>DIFERENCIAL CAMBIARIO</v>
          </cell>
          <cell r="C50">
            <v>-8203.26</v>
          </cell>
        </row>
      </sheetData>
      <sheetData sheetId="4" refreshError="1">
        <row r="4">
          <cell r="A4" t="str">
            <v xml:space="preserve"> Cuenta</v>
          </cell>
          <cell r="B4" t="str">
            <v>Descripción de la Cuenta</v>
          </cell>
          <cell r="C4">
            <v>37591</v>
          </cell>
          <cell r="D4" t="str">
            <v>aa</v>
          </cell>
          <cell r="E4" t="str">
            <v>bb</v>
          </cell>
          <cell r="F4" t="str">
            <v>cc</v>
          </cell>
          <cell r="G4" t="str">
            <v>dd</v>
          </cell>
          <cell r="H4" t="str">
            <v>ee</v>
          </cell>
        </row>
        <row r="5">
          <cell r="A5" t="str">
            <v>33130001</v>
          </cell>
          <cell r="B5" t="str">
            <v>AGUINALDOS</v>
          </cell>
          <cell r="C5">
            <v>1299.77</v>
          </cell>
        </row>
        <row r="6">
          <cell r="A6" t="str">
            <v>88110004</v>
          </cell>
          <cell r="B6" t="str">
            <v>AGUINALDOS</v>
          </cell>
          <cell r="C6">
            <v>36736.120000000003</v>
          </cell>
        </row>
        <row r="7">
          <cell r="A7" t="str">
            <v>11270008</v>
          </cell>
          <cell r="B7" t="str">
            <v>ALINSA</v>
          </cell>
          <cell r="C7">
            <v>0</v>
          </cell>
        </row>
        <row r="8">
          <cell r="A8" t="str">
            <v>33150008</v>
          </cell>
          <cell r="B8" t="str">
            <v>ALINSA</v>
          </cell>
          <cell r="C8">
            <v>0</v>
          </cell>
        </row>
        <row r="9">
          <cell r="A9" t="str">
            <v>11270005</v>
          </cell>
          <cell r="B9" t="str">
            <v>ALINSA (AUDITORIA)</v>
          </cell>
          <cell r="C9">
            <v>0</v>
          </cell>
        </row>
        <row r="10">
          <cell r="A10" t="str">
            <v>33150052</v>
          </cell>
          <cell r="B10" t="str">
            <v>ALINSA ANTICIPO DOLARES</v>
          </cell>
          <cell r="C10">
            <v>21000</v>
          </cell>
        </row>
        <row r="11">
          <cell r="A11" t="str">
            <v>11270054</v>
          </cell>
          <cell r="B11" t="str">
            <v>ALINSA PRESTAMO  $</v>
          </cell>
          <cell r="C11">
            <v>5450000</v>
          </cell>
        </row>
        <row r="12">
          <cell r="A12" t="str">
            <v>88110037</v>
          </cell>
          <cell r="B12" t="str">
            <v>ALQUILERES</v>
          </cell>
          <cell r="C12">
            <v>48880.94</v>
          </cell>
        </row>
        <row r="13">
          <cell r="A13" t="str">
            <v>33140026</v>
          </cell>
          <cell r="B13" t="str">
            <v>ALQUILERES POR PAGAR</v>
          </cell>
          <cell r="C13">
            <v>8150</v>
          </cell>
        </row>
        <row r="14">
          <cell r="A14" t="str">
            <v>11270015</v>
          </cell>
          <cell r="B14" t="str">
            <v>ALUMINIOS INDUSTRIALES (INTERESES)</v>
          </cell>
          <cell r="C14">
            <v>0</v>
          </cell>
        </row>
        <row r="15">
          <cell r="A15" t="str">
            <v>55180001</v>
          </cell>
          <cell r="B15" t="str">
            <v>ASESORIA EN CONTROL INTERNO</v>
          </cell>
          <cell r="C15">
            <v>969811.01</v>
          </cell>
        </row>
        <row r="16">
          <cell r="A16" t="str">
            <v>88110014</v>
          </cell>
          <cell r="B16" t="str">
            <v>ATENCIONES AL PERSONAL</v>
          </cell>
          <cell r="C16">
            <v>129</v>
          </cell>
        </row>
        <row r="17">
          <cell r="A17" t="str">
            <v>88120080</v>
          </cell>
          <cell r="B17" t="str">
            <v>AUDITORIA EXTERNA</v>
          </cell>
          <cell r="C17">
            <v>8501.6</v>
          </cell>
        </row>
        <row r="18">
          <cell r="A18" t="str">
            <v>11120005</v>
          </cell>
          <cell r="B18" t="str">
            <v>BANCO CUSCATLAN , EL SALVADOR</v>
          </cell>
          <cell r="C18">
            <v>48161.73</v>
          </cell>
        </row>
        <row r="19">
          <cell r="A19" t="str">
            <v>11120008</v>
          </cell>
          <cell r="B19" t="str">
            <v>BANCO REFORMADOR S.A.</v>
          </cell>
          <cell r="C19">
            <v>302984.67</v>
          </cell>
        </row>
        <row r="20">
          <cell r="A20" t="str">
            <v>88110007</v>
          </cell>
          <cell r="B20" t="str">
            <v>BONO 14 DEC. 42-92</v>
          </cell>
          <cell r="C20">
            <v>36736.120000000003</v>
          </cell>
        </row>
        <row r="21">
          <cell r="A21" t="str">
            <v>33130002</v>
          </cell>
          <cell r="B21" t="str">
            <v>BONO 14 DECRETO 42-92</v>
          </cell>
          <cell r="C21">
            <v>17810.39</v>
          </cell>
        </row>
        <row r="22">
          <cell r="A22" t="str">
            <v>88110008</v>
          </cell>
          <cell r="B22" t="str">
            <v>BONO INCENTIVO</v>
          </cell>
          <cell r="C22">
            <v>13250</v>
          </cell>
        </row>
        <row r="23">
          <cell r="A23" t="str">
            <v>33130003</v>
          </cell>
          <cell r="B23" t="str">
            <v>BONO VACACIONAL</v>
          </cell>
          <cell r="C23">
            <v>21294.19</v>
          </cell>
        </row>
        <row r="24">
          <cell r="A24" t="str">
            <v>88110009</v>
          </cell>
          <cell r="B24" t="str">
            <v>BONO VACACIONAL</v>
          </cell>
          <cell r="C24">
            <v>6122.23</v>
          </cell>
        </row>
        <row r="25">
          <cell r="A25" t="str">
            <v>11110001</v>
          </cell>
          <cell r="B25" t="str">
            <v>CAJA GENERAL</v>
          </cell>
          <cell r="C25">
            <v>0</v>
          </cell>
        </row>
        <row r="26">
          <cell r="A26" t="str">
            <v>11100000</v>
          </cell>
          <cell r="B26" t="str">
            <v>CAJA Y BANCOS</v>
          </cell>
          <cell r="C26">
            <v>676719.69</v>
          </cell>
        </row>
        <row r="27">
          <cell r="A27" t="str">
            <v>44100000</v>
          </cell>
          <cell r="B27" t="str">
            <v>CAPITAL</v>
          </cell>
          <cell r="C27">
            <v>10000000</v>
          </cell>
        </row>
        <row r="28">
          <cell r="A28" t="str">
            <v>44110001</v>
          </cell>
          <cell r="B28" t="str">
            <v>CAPITAL PAGADO</v>
          </cell>
          <cell r="C28">
            <v>10000000</v>
          </cell>
        </row>
        <row r="29">
          <cell r="A29" t="str">
            <v>11270009</v>
          </cell>
          <cell r="B29" t="str">
            <v>CARRO FACIL S.A.</v>
          </cell>
          <cell r="C29">
            <v>0</v>
          </cell>
        </row>
        <row r="30">
          <cell r="A30" t="str">
            <v>11270004</v>
          </cell>
          <cell r="B30" t="str">
            <v>CENTRAL MOTRIZ</v>
          </cell>
          <cell r="C30">
            <v>0</v>
          </cell>
        </row>
        <row r="31">
          <cell r="A31" t="str">
            <v>88110025</v>
          </cell>
          <cell r="B31" t="str">
            <v>COMBUSTIBLES Y LUBRICANTES</v>
          </cell>
          <cell r="C31">
            <v>1907.58</v>
          </cell>
        </row>
        <row r="32">
          <cell r="A32" t="str">
            <v>11270003</v>
          </cell>
          <cell r="B32" t="str">
            <v>COMPAÑIA INTERNACIONAL DE HOTELES S.A.</v>
          </cell>
          <cell r="C32">
            <v>12794.88</v>
          </cell>
        </row>
        <row r="33">
          <cell r="A33" t="str">
            <v>33140020</v>
          </cell>
          <cell r="B33" t="str">
            <v>CORDON PARRA Y CIA S.C.</v>
          </cell>
          <cell r="C33">
            <v>2793.6</v>
          </cell>
        </row>
        <row r="34">
          <cell r="A34" t="str">
            <v>11200000</v>
          </cell>
          <cell r="B34" t="str">
            <v>CUENTAS POR COBRAR</v>
          </cell>
          <cell r="C34">
            <v>67327861.599999994</v>
          </cell>
        </row>
        <row r="35">
          <cell r="A35" t="str">
            <v>11240037</v>
          </cell>
          <cell r="B35" t="str">
            <v>CUENTAS POR COBRAR ACCIONISTAS</v>
          </cell>
          <cell r="C35">
            <v>12100</v>
          </cell>
        </row>
        <row r="36">
          <cell r="A36" t="str">
            <v>22210081</v>
          </cell>
          <cell r="B36" t="str">
            <v>DEPREC. ACUM EQUIPO COMPUTO (AUDITORIA)</v>
          </cell>
          <cell r="C36">
            <v>-3381.14</v>
          </cell>
        </row>
        <row r="37">
          <cell r="A37" t="str">
            <v>88110038</v>
          </cell>
          <cell r="B37" t="str">
            <v>DEPREC. EQUIPO DE COMPUTO</v>
          </cell>
          <cell r="C37">
            <v>4551.96</v>
          </cell>
        </row>
        <row r="38">
          <cell r="A38" t="str">
            <v>88120036</v>
          </cell>
          <cell r="B38" t="str">
            <v>DEPRECIACION EDIFICIOS E INST.</v>
          </cell>
          <cell r="C38">
            <v>200778.12</v>
          </cell>
        </row>
        <row r="39">
          <cell r="A39" t="str">
            <v>88110034</v>
          </cell>
          <cell r="B39" t="str">
            <v>DEPRECIACION MOB. Y EQUIPO</v>
          </cell>
          <cell r="C39">
            <v>2868.12</v>
          </cell>
        </row>
        <row r="40">
          <cell r="A40" t="str">
            <v>33160099</v>
          </cell>
          <cell r="B40" t="str">
            <v>DIFERENCIAL</v>
          </cell>
          <cell r="C40">
            <v>0</v>
          </cell>
        </row>
        <row r="41">
          <cell r="A41" t="str">
            <v>11120013</v>
          </cell>
          <cell r="B41" t="str">
            <v>DIFERENCIAL CAMBIARIO</v>
          </cell>
          <cell r="C41">
            <v>325573.28999999998</v>
          </cell>
        </row>
        <row r="42">
          <cell r="A42" t="str">
            <v>11270099</v>
          </cell>
          <cell r="B42" t="str">
            <v>DIFERENCIAL CAMBIARIO</v>
          </cell>
          <cell r="C42">
            <v>58506558.160000004</v>
          </cell>
        </row>
        <row r="43">
          <cell r="A43" t="str">
            <v>33150099</v>
          </cell>
          <cell r="B43" t="str">
            <v>DIFERENCIAL CAMBIARIO</v>
          </cell>
          <cell r="C43">
            <v>305868.64</v>
          </cell>
        </row>
        <row r="44">
          <cell r="A44" t="str">
            <v>33320099</v>
          </cell>
          <cell r="B44" t="str">
            <v>DIFERENCIAL CAMBIARIO</v>
          </cell>
          <cell r="C44">
            <v>50700000</v>
          </cell>
        </row>
        <row r="45">
          <cell r="A45" t="str">
            <v>99650003</v>
          </cell>
          <cell r="B45" t="str">
            <v>DIFERENCIAL CAMBIARIO</v>
          </cell>
          <cell r="C45">
            <v>812709.04</v>
          </cell>
        </row>
        <row r="46">
          <cell r="A46" t="str">
            <v>22210020</v>
          </cell>
          <cell r="B46" t="str">
            <v>EDIFICIOS</v>
          </cell>
          <cell r="C46">
            <v>-1377187.95</v>
          </cell>
        </row>
        <row r="47">
          <cell r="A47" t="str">
            <v>22110021</v>
          </cell>
          <cell r="B47" t="str">
            <v>EDIFICIOS E INSTALAC ROOSEVELT</v>
          </cell>
          <cell r="C47">
            <v>10153.23</v>
          </cell>
        </row>
        <row r="48">
          <cell r="A48" t="str">
            <v>22110080</v>
          </cell>
          <cell r="B48" t="str">
            <v>EQUIPO DE COMPUTACION</v>
          </cell>
          <cell r="C48">
            <v>119134.06</v>
          </cell>
        </row>
        <row r="49">
          <cell r="A49" t="str">
            <v>22210080</v>
          </cell>
          <cell r="B49" t="str">
            <v>EQUIPO DE COMPUTACION</v>
          </cell>
          <cell r="C49">
            <v>-119134.06</v>
          </cell>
        </row>
        <row r="50">
          <cell r="A50" t="str">
            <v>22110081</v>
          </cell>
          <cell r="B50" t="str">
            <v>EQUIPO DE COMPUTO (AUDITORIA)</v>
          </cell>
          <cell r="C50">
            <v>8695.31</v>
          </cell>
        </row>
        <row r="51">
          <cell r="A51" t="str">
            <v>99650001</v>
          </cell>
          <cell r="B51" t="str">
            <v>GASTOS BANCARIOS</v>
          </cell>
          <cell r="C51">
            <v>365</v>
          </cell>
        </row>
        <row r="52">
          <cell r="A52" t="str">
            <v>88110056</v>
          </cell>
          <cell r="B52" t="str">
            <v>GASTOS NO DEDUCIBLES (POMA HERMANOS)</v>
          </cell>
          <cell r="C52">
            <v>186324.84</v>
          </cell>
        </row>
        <row r="53">
          <cell r="A53" t="str">
            <v>11270052</v>
          </cell>
          <cell r="B53" t="str">
            <v>GLAXO INTERTRADE LTD. $</v>
          </cell>
          <cell r="C53">
            <v>1724816.16</v>
          </cell>
        </row>
        <row r="54">
          <cell r="A54" t="str">
            <v>11270010</v>
          </cell>
          <cell r="B54" t="str">
            <v>GRUPO ROBLE DE GUATEMALA S.A.</v>
          </cell>
          <cell r="C54">
            <v>89921.52</v>
          </cell>
        </row>
        <row r="55">
          <cell r="A55" t="str">
            <v>33150017</v>
          </cell>
          <cell r="B55" t="str">
            <v>GRUPO ROBLE DE GUATEMALA S.A.</v>
          </cell>
          <cell r="C55">
            <v>43231.35</v>
          </cell>
        </row>
        <row r="56">
          <cell r="A56" t="str">
            <v>88120012</v>
          </cell>
          <cell r="B56" t="str">
            <v>HONORARIOS PROFESIONALES</v>
          </cell>
          <cell r="C56">
            <v>4841.1899999999996</v>
          </cell>
        </row>
        <row r="57">
          <cell r="A57" t="str">
            <v>11420008</v>
          </cell>
          <cell r="B57" t="str">
            <v>I.E.M.A. PAGADO AÑO 2002</v>
          </cell>
          <cell r="C57">
            <v>26519.119999999999</v>
          </cell>
        </row>
        <row r="58">
          <cell r="A58" t="str">
            <v>33140003</v>
          </cell>
          <cell r="B58" t="str">
            <v>I.G.S.S.</v>
          </cell>
          <cell r="C58">
            <v>6243.83</v>
          </cell>
        </row>
        <row r="59">
          <cell r="A59" t="str">
            <v>33140006</v>
          </cell>
          <cell r="B59" t="str">
            <v>I.S.R. POR PAGAR</v>
          </cell>
          <cell r="C59">
            <v>0</v>
          </cell>
        </row>
        <row r="60">
          <cell r="A60" t="str">
            <v>11420005</v>
          </cell>
          <cell r="B60" t="str">
            <v>IMPTO.EXTRAORD.SOLIDARIDAD</v>
          </cell>
          <cell r="C60">
            <v>14297.28</v>
          </cell>
        </row>
        <row r="61">
          <cell r="A61" t="str">
            <v>33200000</v>
          </cell>
          <cell r="B61" t="str">
            <v>IMPUESTO S/RENTA POR PAGAR</v>
          </cell>
          <cell r="C61">
            <v>0</v>
          </cell>
        </row>
        <row r="62">
          <cell r="A62" t="str">
            <v>88120041</v>
          </cell>
          <cell r="B62" t="str">
            <v>IMPUESTOS FISCALES Y MUNICIP.</v>
          </cell>
          <cell r="C62">
            <v>55078.89</v>
          </cell>
        </row>
        <row r="63">
          <cell r="A63" t="str">
            <v>11400000</v>
          </cell>
          <cell r="B63" t="str">
            <v>IMPUESTOS POR COBRAR</v>
          </cell>
          <cell r="C63">
            <v>895062.15</v>
          </cell>
        </row>
        <row r="64">
          <cell r="A64" t="str">
            <v>33130004</v>
          </cell>
          <cell r="B64" t="str">
            <v>INDEMNIZACIONES</v>
          </cell>
          <cell r="C64">
            <v>45865.88</v>
          </cell>
        </row>
        <row r="65">
          <cell r="A65" t="str">
            <v>88110006</v>
          </cell>
          <cell r="B65" t="str">
            <v>INDEMNIZACIONES</v>
          </cell>
          <cell r="C65">
            <v>36736.120000000003</v>
          </cell>
        </row>
        <row r="66">
          <cell r="A66" t="str">
            <v>55200000</v>
          </cell>
          <cell r="B66" t="str">
            <v>INGRESOS POR INTERESES</v>
          </cell>
          <cell r="C66">
            <v>1845591.47</v>
          </cell>
        </row>
        <row r="67">
          <cell r="A67" t="str">
            <v>55200001</v>
          </cell>
          <cell r="B67" t="str">
            <v>INGRESOS POR INTERESES</v>
          </cell>
          <cell r="C67">
            <v>1845591.47</v>
          </cell>
        </row>
        <row r="68">
          <cell r="A68" t="str">
            <v>22110025</v>
          </cell>
          <cell r="B68" t="str">
            <v>INST. OFICINAS ADMON.  (AMATITLAN)</v>
          </cell>
          <cell r="C68">
            <v>486791.96</v>
          </cell>
        </row>
        <row r="69">
          <cell r="A69" t="str">
            <v>22110024</v>
          </cell>
          <cell r="B69" t="str">
            <v>INSTALACIONES DE BODEGA (AMATITLAN)</v>
          </cell>
          <cell r="C69">
            <v>2376690.1800000002</v>
          </cell>
        </row>
        <row r="70">
          <cell r="A70" t="str">
            <v>22110019</v>
          </cell>
          <cell r="B70" t="str">
            <v>INSTALACIONES INDUSTRIALES</v>
          </cell>
          <cell r="C70">
            <v>4005406.94</v>
          </cell>
        </row>
        <row r="71">
          <cell r="A71" t="str">
            <v>33160051</v>
          </cell>
          <cell r="B71" t="str">
            <v>INTERESES ANTICIPADOS (ALINSA)</v>
          </cell>
          <cell r="C71">
            <v>0</v>
          </cell>
        </row>
        <row r="72">
          <cell r="A72" t="str">
            <v>99650002</v>
          </cell>
          <cell r="B72" t="str">
            <v>INTERESES BANCARIOS</v>
          </cell>
          <cell r="C72">
            <v>1659765.35</v>
          </cell>
        </row>
        <row r="73">
          <cell r="A73" t="str">
            <v>55650001</v>
          </cell>
          <cell r="B73" t="str">
            <v>INTERESES CUENTAS DE AHORRO</v>
          </cell>
          <cell r="C73">
            <v>1634.02</v>
          </cell>
        </row>
        <row r="74">
          <cell r="A74" t="str">
            <v>33140007</v>
          </cell>
          <cell r="B74" t="str">
            <v>INTERESES POR PAGAR</v>
          </cell>
          <cell r="C74">
            <v>235479.45</v>
          </cell>
        </row>
        <row r="75">
          <cell r="A75" t="str">
            <v>33220001</v>
          </cell>
          <cell r="B75" t="str">
            <v>IVA DEBITO</v>
          </cell>
          <cell r="C75">
            <v>0</v>
          </cell>
        </row>
        <row r="76">
          <cell r="A76" t="str">
            <v>11410001</v>
          </cell>
          <cell r="B76" t="str">
            <v>IVA DEL MES COMPRAS LOCALES</v>
          </cell>
          <cell r="C76">
            <v>288960.86</v>
          </cell>
        </row>
        <row r="77">
          <cell r="A77" t="str">
            <v>88110030</v>
          </cell>
          <cell r="B77" t="str">
            <v>MANTENIMIENTO MOB. Y EQUIPO</v>
          </cell>
          <cell r="C77">
            <v>178.57</v>
          </cell>
        </row>
        <row r="78">
          <cell r="A78" t="str">
            <v>88110039</v>
          </cell>
          <cell r="B78" t="str">
            <v>MEJORAS DEL ESPACIO ARRENDADO</v>
          </cell>
          <cell r="C78">
            <v>35860.080000000002</v>
          </cell>
        </row>
        <row r="79">
          <cell r="A79" t="str">
            <v>22110061</v>
          </cell>
          <cell r="B79" t="str">
            <v>MOBILIARIO Y EQUIPO (AUDITORIA)</v>
          </cell>
          <cell r="C79">
            <v>22610.26</v>
          </cell>
        </row>
        <row r="80">
          <cell r="A80" t="str">
            <v>22110060</v>
          </cell>
          <cell r="B80" t="str">
            <v>MOBILIARIO Y EQUIPO DE OFICINA</v>
          </cell>
          <cell r="C80">
            <v>92337.02</v>
          </cell>
        </row>
        <row r="81">
          <cell r="A81" t="str">
            <v>22210060</v>
          </cell>
          <cell r="B81" t="str">
            <v>MOBILIARIO Y EQUIPO DE OFICINA</v>
          </cell>
          <cell r="C81">
            <v>-87684.32</v>
          </cell>
        </row>
        <row r="82">
          <cell r="A82" t="str">
            <v>22210061</v>
          </cell>
          <cell r="B82" t="str">
            <v>MOBILIARIO Y EQUIPO DEPRE. ACUMU</v>
          </cell>
          <cell r="C82">
            <v>-5717.01</v>
          </cell>
        </row>
        <row r="83">
          <cell r="A83" t="str">
            <v>88120042</v>
          </cell>
          <cell r="B83" t="str">
            <v>MULTAS Y RECARGOS</v>
          </cell>
          <cell r="C83">
            <v>200</v>
          </cell>
        </row>
        <row r="84">
          <cell r="A84" t="str">
            <v>55600000</v>
          </cell>
          <cell r="B84" t="str">
            <v>OTROS INGRESOS</v>
          </cell>
          <cell r="C84">
            <v>21534.02</v>
          </cell>
        </row>
        <row r="85">
          <cell r="A85" t="str">
            <v>11420001</v>
          </cell>
          <cell r="B85" t="str">
            <v>PAGO A CUENTA DEL  I.S.R.</v>
          </cell>
          <cell r="C85">
            <v>380725.74</v>
          </cell>
        </row>
        <row r="86">
          <cell r="A86" t="str">
            <v>88110024</v>
          </cell>
          <cell r="B86" t="str">
            <v>PAPELERIA Y UTILES</v>
          </cell>
          <cell r="C86">
            <v>2410.79</v>
          </cell>
        </row>
        <row r="87">
          <cell r="A87" t="str">
            <v>88110048</v>
          </cell>
          <cell r="B87" t="str">
            <v>PARQUEOS</v>
          </cell>
          <cell r="C87">
            <v>0</v>
          </cell>
        </row>
        <row r="88">
          <cell r="A88" t="str">
            <v>33100000</v>
          </cell>
          <cell r="B88" t="str">
            <v>PASIVO A CORTO PLAZO</v>
          </cell>
          <cell r="C88">
            <v>2674929.98</v>
          </cell>
        </row>
        <row r="89">
          <cell r="A89" t="str">
            <v>33300000</v>
          </cell>
          <cell r="B89" t="str">
            <v>PASIVO A LARGO PLAZO</v>
          </cell>
          <cell r="C89">
            <v>58200000</v>
          </cell>
        </row>
        <row r="90">
          <cell r="A90" t="str">
            <v>33150024</v>
          </cell>
          <cell r="B90" t="str">
            <v>POMA HERMANOS , S.A. DE C.V.</v>
          </cell>
          <cell r="C90">
            <v>24246.84</v>
          </cell>
        </row>
        <row r="91">
          <cell r="A91" t="str">
            <v>33320001</v>
          </cell>
          <cell r="B91" t="str">
            <v>PRESTAMO BANCO CUSCATLAN $</v>
          </cell>
          <cell r="C91">
            <v>7500000</v>
          </cell>
        </row>
        <row r="92">
          <cell r="A92" t="str">
            <v>33140025</v>
          </cell>
          <cell r="B92" t="str">
            <v>PRISMA , S.A.</v>
          </cell>
          <cell r="C92">
            <v>1008800</v>
          </cell>
        </row>
        <row r="93">
          <cell r="A93" t="str">
            <v>44210001</v>
          </cell>
          <cell r="B93" t="str">
            <v>RESERVA LEGAL</v>
          </cell>
          <cell r="C93">
            <v>55415.22</v>
          </cell>
        </row>
        <row r="94">
          <cell r="A94" t="str">
            <v>44200000</v>
          </cell>
          <cell r="B94" t="str">
            <v>RESERVAS DE CAPITAL</v>
          </cell>
          <cell r="C94">
            <v>55415.22</v>
          </cell>
        </row>
        <row r="95">
          <cell r="A95" t="str">
            <v>33140004</v>
          </cell>
          <cell r="B95" t="str">
            <v>RETENCIONES IMPTO. S/LA RENTA</v>
          </cell>
          <cell r="C95">
            <v>1469</v>
          </cell>
        </row>
        <row r="96">
          <cell r="A96" t="str">
            <v>11420002</v>
          </cell>
          <cell r="B96" t="str">
            <v>RETENCIONES S/PRODUCTOS FINANCIEROS</v>
          </cell>
          <cell r="C96">
            <v>184559.15</v>
          </cell>
        </row>
        <row r="97">
          <cell r="A97" t="str">
            <v>88110011</v>
          </cell>
          <cell r="B97" t="str">
            <v>SEGURO DE VIDA Y GTOS. MEDICOS</v>
          </cell>
          <cell r="C97">
            <v>8095.1</v>
          </cell>
        </row>
        <row r="98">
          <cell r="A98" t="str">
            <v>88110010</v>
          </cell>
          <cell r="B98" t="str">
            <v>SEGURO SOCIAL (I.G.S.S.)</v>
          </cell>
          <cell r="C98">
            <v>55853.54</v>
          </cell>
        </row>
        <row r="99">
          <cell r="A99" t="str">
            <v>33140015</v>
          </cell>
          <cell r="B99" t="str">
            <v>SEGUROS POR PAGAR</v>
          </cell>
          <cell r="C99">
            <v>8379.01</v>
          </cell>
        </row>
        <row r="100">
          <cell r="A100" t="str">
            <v>55190001</v>
          </cell>
          <cell r="B100" t="str">
            <v>SERVICIOS</v>
          </cell>
          <cell r="C100">
            <v>194057.14</v>
          </cell>
        </row>
        <row r="101">
          <cell r="A101" t="str">
            <v>11270007</v>
          </cell>
          <cell r="B101" t="str">
            <v>SOLAIRE DE GUATEMALA (AUDITORIA)</v>
          </cell>
          <cell r="C101">
            <v>38368.959999999999</v>
          </cell>
        </row>
        <row r="102">
          <cell r="A102" t="str">
            <v>11270014</v>
          </cell>
          <cell r="B102" t="str">
            <v>SOLAIRE DE GUATEMALA (INTERESES)</v>
          </cell>
          <cell r="C102">
            <v>13301.92</v>
          </cell>
        </row>
        <row r="103">
          <cell r="A103" t="str">
            <v>33150051</v>
          </cell>
          <cell r="B103" t="str">
            <v>SOLAIRE DE GUATEMALA (PRESTAMO)</v>
          </cell>
          <cell r="C103">
            <v>0</v>
          </cell>
        </row>
        <row r="104">
          <cell r="A104" t="str">
            <v>11270053</v>
          </cell>
          <cell r="B104" t="str">
            <v>SOLAIRE DE GUATEMALA S.A. PRESTAMO $</v>
          </cell>
          <cell r="C104">
            <v>1480000</v>
          </cell>
        </row>
        <row r="105">
          <cell r="A105" t="str">
            <v>33150006</v>
          </cell>
          <cell r="B105" t="str">
            <v>SOLAIRE DE GUATEMALA, S.A.</v>
          </cell>
          <cell r="C105">
            <v>347000</v>
          </cell>
        </row>
        <row r="106">
          <cell r="A106" t="str">
            <v>88110001</v>
          </cell>
          <cell r="B106" t="str">
            <v>SUELDOS</v>
          </cell>
          <cell r="C106">
            <v>440833</v>
          </cell>
        </row>
        <row r="107">
          <cell r="A107" t="str">
            <v>33140016</v>
          </cell>
          <cell r="B107" t="str">
            <v>SUELDOS POR PAGAR</v>
          </cell>
          <cell r="C107">
            <v>0</v>
          </cell>
        </row>
        <row r="108">
          <cell r="A108" t="str">
            <v>33140050</v>
          </cell>
          <cell r="B108" t="str">
            <v>TERRENO</v>
          </cell>
          <cell r="C108">
            <v>575998.03</v>
          </cell>
        </row>
        <row r="109">
          <cell r="A109" t="str">
            <v>22110008</v>
          </cell>
          <cell r="B109" t="str">
            <v>TERRENO AMATITLAN</v>
          </cell>
          <cell r="C109">
            <v>975000</v>
          </cell>
        </row>
        <row r="110">
          <cell r="A110" t="str">
            <v>22110009</v>
          </cell>
          <cell r="B110" t="str">
            <v>TERRENO AMATITLAN</v>
          </cell>
          <cell r="C110">
            <v>3815.93</v>
          </cell>
        </row>
        <row r="111">
          <cell r="A111" t="str">
            <v>22110012</v>
          </cell>
          <cell r="B111" t="str">
            <v>TERRENO AMATITLAN</v>
          </cell>
          <cell r="C111">
            <v>12500</v>
          </cell>
        </row>
        <row r="112">
          <cell r="A112" t="str">
            <v>22110018</v>
          </cell>
          <cell r="B112" t="str">
            <v>TERRENO CIUDAD SAN CRISTOBAL</v>
          </cell>
          <cell r="C112">
            <v>575998.03</v>
          </cell>
        </row>
        <row r="113">
          <cell r="A113" t="str">
            <v>22110013</v>
          </cell>
          <cell r="B113" t="str">
            <v>TERRENO RIO HONDO, ZACAPA</v>
          </cell>
          <cell r="C113">
            <v>154732.88</v>
          </cell>
        </row>
        <row r="114">
          <cell r="A114" t="str">
            <v>22110010</v>
          </cell>
          <cell r="B114" t="str">
            <v>TERRENO ROOSEVELT</v>
          </cell>
          <cell r="C114">
            <v>1188522.27</v>
          </cell>
        </row>
        <row r="115">
          <cell r="A115" t="str">
            <v>22110011</v>
          </cell>
          <cell r="B115" t="str">
            <v>TERRENO SN SEBASTIAN RETALHULE</v>
          </cell>
          <cell r="C115">
            <v>102502</v>
          </cell>
        </row>
        <row r="116">
          <cell r="A116" t="str">
            <v>44310003</v>
          </cell>
          <cell r="B116" t="str">
            <v>UTILIDAD DE 1999</v>
          </cell>
          <cell r="C116">
            <v>4262893.9800000004</v>
          </cell>
        </row>
        <row r="117">
          <cell r="A117" t="str">
            <v>44310005</v>
          </cell>
          <cell r="B117" t="str">
            <v>UTILIDADES DEL EJERCICIO AÑO 2001</v>
          </cell>
          <cell r="C117">
            <v>-56891.54</v>
          </cell>
        </row>
        <row r="118">
          <cell r="A118" t="str">
            <v>44310004</v>
          </cell>
          <cell r="B118" t="str">
            <v>UTILIDADES DEL EJERCICIO AÑO/2000</v>
          </cell>
          <cell r="C118">
            <v>-17571.96</v>
          </cell>
        </row>
        <row r="119">
          <cell r="A119" t="str">
            <v>44310002</v>
          </cell>
          <cell r="B119" t="str">
            <v>UTILIDADES RETENIDAS</v>
          </cell>
          <cell r="C119">
            <v>2974358.79</v>
          </cell>
        </row>
        <row r="120">
          <cell r="A120" t="str">
            <v>88110005</v>
          </cell>
          <cell r="B120" t="str">
            <v>VACACIONES</v>
          </cell>
          <cell r="C120">
            <v>12245.83</v>
          </cell>
        </row>
        <row r="121">
          <cell r="A121" t="str">
            <v>55640001</v>
          </cell>
          <cell r="B121" t="str">
            <v>VENTAS VARIAS</v>
          </cell>
          <cell r="C121">
            <v>19900</v>
          </cell>
        </row>
        <row r="122">
          <cell r="A122" t="str">
            <v>88110021</v>
          </cell>
          <cell r="B122" t="str">
            <v>VIATICOS Y GTOS. DE VIAJE</v>
          </cell>
          <cell r="C122">
            <v>10739.95</v>
          </cell>
        </row>
      </sheetData>
      <sheetData sheetId="5" refreshError="1">
        <row r="4">
          <cell r="A4" t="str">
            <v xml:space="preserve"> Cuenta</v>
          </cell>
          <cell r="B4" t="str">
            <v>Descripción de la Cuenta</v>
          </cell>
          <cell r="C4">
            <v>37591</v>
          </cell>
          <cell r="D4" t="str">
            <v>aa</v>
          </cell>
          <cell r="E4" t="str">
            <v>bb</v>
          </cell>
          <cell r="F4" t="str">
            <v>cc</v>
          </cell>
          <cell r="G4" t="str">
            <v>dd</v>
          </cell>
          <cell r="H4" t="str">
            <v>ee</v>
          </cell>
        </row>
        <row r="5">
          <cell r="A5" t="str">
            <v>11110001</v>
          </cell>
          <cell r="B5" t="str">
            <v>CAJA GENERAL</v>
          </cell>
          <cell r="C5">
            <v>32329.47</v>
          </cell>
        </row>
        <row r="6">
          <cell r="A6" t="str">
            <v>11110006</v>
          </cell>
          <cell r="B6" t="str">
            <v>CAJA DOLARES</v>
          </cell>
          <cell r="C6">
            <v>325.31</v>
          </cell>
        </row>
        <row r="7">
          <cell r="A7" t="str">
            <v>11110010</v>
          </cell>
          <cell r="B7" t="str">
            <v>FONDO FIJO EN COLONES</v>
          </cell>
          <cell r="C7">
            <v>443</v>
          </cell>
        </row>
        <row r="8">
          <cell r="A8" t="str">
            <v>11110025</v>
          </cell>
          <cell r="B8" t="str">
            <v>JUANA ROSA DE SAMAYOA</v>
          </cell>
          <cell r="C8">
            <v>6000</v>
          </cell>
        </row>
        <row r="9">
          <cell r="A9" t="str">
            <v>11110026</v>
          </cell>
          <cell r="B9" t="str">
            <v>EDDY ESTUARDO LOPEZ RAMIREZ</v>
          </cell>
          <cell r="C9">
            <v>0</v>
          </cell>
        </row>
        <row r="10">
          <cell r="A10" t="str">
            <v>11110999</v>
          </cell>
          <cell r="B10" t="str">
            <v>DIFERENCIAL CAMBIARIO</v>
          </cell>
          <cell r="C10">
            <v>2199.1</v>
          </cell>
        </row>
        <row r="11">
          <cell r="A11" t="str">
            <v>11120001</v>
          </cell>
          <cell r="B11" t="str">
            <v>BANCO INDUSTRIAL, S.A.</v>
          </cell>
          <cell r="C11">
            <v>8348.94</v>
          </cell>
        </row>
        <row r="12">
          <cell r="A12" t="str">
            <v>11120002</v>
          </cell>
          <cell r="B12" t="str">
            <v>BANCO CUSCATLAN QUETZALES</v>
          </cell>
          <cell r="C12">
            <v>31602.11</v>
          </cell>
        </row>
        <row r="13">
          <cell r="A13" t="str">
            <v>11120008</v>
          </cell>
          <cell r="B13" t="str">
            <v>BCO. REFORMADOR</v>
          </cell>
          <cell r="C13">
            <v>74069.08</v>
          </cell>
        </row>
        <row r="14">
          <cell r="A14" t="str">
            <v>11120009</v>
          </cell>
          <cell r="B14" t="str">
            <v>BANCAFE CUENTA DE AHORRO</v>
          </cell>
          <cell r="C14">
            <v>1481.65</v>
          </cell>
        </row>
        <row r="15">
          <cell r="A15" t="str">
            <v>11120012</v>
          </cell>
          <cell r="B15" t="str">
            <v>CUSCATLAN BANK &amp; TRUST, LTD.</v>
          </cell>
          <cell r="C15">
            <v>97671.01</v>
          </cell>
        </row>
        <row r="16">
          <cell r="A16" t="str">
            <v>11120014</v>
          </cell>
          <cell r="B16" t="str">
            <v>SOUTH BANK</v>
          </cell>
          <cell r="C16">
            <v>12428.04</v>
          </cell>
        </row>
        <row r="17">
          <cell r="A17" t="str">
            <v>11120018</v>
          </cell>
          <cell r="B17" t="str">
            <v>CUSCATLAN BANK $$ EL SALVADOR</v>
          </cell>
          <cell r="C17">
            <v>2818.09</v>
          </cell>
        </row>
        <row r="18">
          <cell r="A18" t="str">
            <v>11120999</v>
          </cell>
          <cell r="B18" t="str">
            <v>DIFERENCIAL CAMBIARIO</v>
          </cell>
          <cell r="C18">
            <v>763319.87</v>
          </cell>
        </row>
        <row r="19">
          <cell r="A19" t="str">
            <v>11210004</v>
          </cell>
          <cell r="B19" t="str">
            <v>ALVI ROSA</v>
          </cell>
          <cell r="C19">
            <v>0</v>
          </cell>
        </row>
        <row r="20">
          <cell r="A20" t="str">
            <v>11210005</v>
          </cell>
          <cell r="B20" t="str">
            <v>ALUMINIOS ALDANA</v>
          </cell>
          <cell r="C20">
            <v>6914.94</v>
          </cell>
        </row>
        <row r="21">
          <cell r="A21" t="str">
            <v>11210018</v>
          </cell>
          <cell r="B21" t="str">
            <v>CEMACO</v>
          </cell>
          <cell r="C21">
            <v>5583.5</v>
          </cell>
        </row>
        <row r="22">
          <cell r="A22" t="str">
            <v>11210025</v>
          </cell>
          <cell r="B22" t="str">
            <v>INDUSTRIA FERRETERA SALGUERO</v>
          </cell>
          <cell r="C22">
            <v>0</v>
          </cell>
        </row>
        <row r="23">
          <cell r="A23" t="str">
            <v>11210028</v>
          </cell>
          <cell r="B23" t="str">
            <v>DISALVI</v>
          </cell>
          <cell r="C23">
            <v>0</v>
          </cell>
        </row>
        <row r="24">
          <cell r="A24" t="str">
            <v>11210029</v>
          </cell>
          <cell r="B24" t="str">
            <v>LUIS RODOLFO ALFARO ARGUETA</v>
          </cell>
          <cell r="C24">
            <v>100</v>
          </cell>
        </row>
        <row r="25">
          <cell r="A25" t="str">
            <v>11210059</v>
          </cell>
          <cell r="B25" t="str">
            <v>PLASTICO INDUSTRIAL</v>
          </cell>
          <cell r="C25">
            <v>11512.42</v>
          </cell>
        </row>
        <row r="26">
          <cell r="A26" t="str">
            <v>11210066</v>
          </cell>
          <cell r="B26" t="str">
            <v>ROSMO</v>
          </cell>
          <cell r="C26">
            <v>38991.269999999997</v>
          </cell>
        </row>
        <row r="27">
          <cell r="A27" t="str">
            <v>11210074</v>
          </cell>
          <cell r="B27" t="str">
            <v>VYPACO, LTDA.</v>
          </cell>
          <cell r="C27">
            <v>0</v>
          </cell>
        </row>
        <row r="28">
          <cell r="A28" t="str">
            <v>11210111</v>
          </cell>
          <cell r="B28" t="str">
            <v>ALUMINIOS EL TULE</v>
          </cell>
          <cell r="C28">
            <v>23345.79</v>
          </cell>
        </row>
        <row r="29">
          <cell r="A29" t="str">
            <v>11210128</v>
          </cell>
          <cell r="B29" t="str">
            <v>CARLOS KONG</v>
          </cell>
          <cell r="C29">
            <v>0</v>
          </cell>
        </row>
        <row r="30">
          <cell r="A30" t="str">
            <v>11210137</v>
          </cell>
          <cell r="B30" t="str">
            <v>FERRETERIA R.J.</v>
          </cell>
          <cell r="C30">
            <v>0</v>
          </cell>
        </row>
        <row r="31">
          <cell r="A31" t="str">
            <v>11210197</v>
          </cell>
          <cell r="B31" t="str">
            <v>PROALVI S. A.</v>
          </cell>
          <cell r="C31">
            <v>463.5</v>
          </cell>
        </row>
        <row r="32">
          <cell r="A32" t="str">
            <v>11210210</v>
          </cell>
          <cell r="B32" t="str">
            <v>MIGUEL ANGEL RAMOS</v>
          </cell>
          <cell r="C32">
            <v>0</v>
          </cell>
        </row>
        <row r="33">
          <cell r="A33" t="str">
            <v>11210256</v>
          </cell>
          <cell r="B33" t="str">
            <v>LUMINALCO, S.A.</v>
          </cell>
          <cell r="C33">
            <v>0</v>
          </cell>
        </row>
        <row r="34">
          <cell r="A34" t="str">
            <v>11210271</v>
          </cell>
          <cell r="B34" t="str">
            <v>TECNICA UNIVERSAL, S. A.</v>
          </cell>
          <cell r="C34">
            <v>0</v>
          </cell>
        </row>
        <row r="35">
          <cell r="A35" t="str">
            <v>11210275</v>
          </cell>
          <cell r="B35" t="str">
            <v>FIBRAS ESTRUCTURALES</v>
          </cell>
          <cell r="C35">
            <v>218.33</v>
          </cell>
        </row>
        <row r="36">
          <cell r="A36" t="str">
            <v>11210276</v>
          </cell>
          <cell r="B36" t="str">
            <v>MODULEX</v>
          </cell>
          <cell r="C36">
            <v>0</v>
          </cell>
        </row>
        <row r="37">
          <cell r="A37" t="str">
            <v>11210281</v>
          </cell>
          <cell r="B37" t="str">
            <v>DISTRIBUIDORA HERNANDEZ</v>
          </cell>
          <cell r="C37">
            <v>1772.92</v>
          </cell>
        </row>
        <row r="38">
          <cell r="A38" t="str">
            <v>11220002</v>
          </cell>
          <cell r="B38" t="str">
            <v>ALVIA COMERCIAL</v>
          </cell>
          <cell r="C38">
            <v>0</v>
          </cell>
        </row>
        <row r="39">
          <cell r="A39" t="str">
            <v>11220003</v>
          </cell>
          <cell r="B39" t="str">
            <v>ALSASA</v>
          </cell>
          <cell r="C39">
            <v>3725.79</v>
          </cell>
        </row>
        <row r="40">
          <cell r="A40" t="str">
            <v>11220006</v>
          </cell>
          <cell r="B40" t="str">
            <v>FAVISA, DE C.V.</v>
          </cell>
          <cell r="C40">
            <v>21845.25</v>
          </cell>
        </row>
        <row r="41">
          <cell r="A41" t="str">
            <v>11220008</v>
          </cell>
          <cell r="B41" t="str">
            <v>EXPORT NATIONAL</v>
          </cell>
          <cell r="C41">
            <v>45642.92</v>
          </cell>
        </row>
        <row r="42">
          <cell r="A42" t="str">
            <v>11220013</v>
          </cell>
          <cell r="B42" t="str">
            <v>ERGO, LTDA.</v>
          </cell>
          <cell r="C42">
            <v>7168.82</v>
          </cell>
        </row>
        <row r="43">
          <cell r="A43" t="str">
            <v>11220022</v>
          </cell>
          <cell r="B43" t="str">
            <v>FELICIANO ALUMINIUM</v>
          </cell>
          <cell r="C43">
            <v>45460.11</v>
          </cell>
        </row>
        <row r="44">
          <cell r="A44" t="str">
            <v>11220024</v>
          </cell>
          <cell r="B44" t="str">
            <v>ACTION WINDOWS</v>
          </cell>
          <cell r="C44">
            <v>0</v>
          </cell>
        </row>
        <row r="45">
          <cell r="A45" t="str">
            <v>11220027</v>
          </cell>
          <cell r="B45" t="str">
            <v>ORION METAL AND TRADING COMPANY</v>
          </cell>
          <cell r="C45">
            <v>0</v>
          </cell>
        </row>
        <row r="46">
          <cell r="A46" t="str">
            <v>11220028</v>
          </cell>
          <cell r="B46" t="str">
            <v>METAL CONVERSIONS LTD.</v>
          </cell>
          <cell r="C46">
            <v>91600</v>
          </cell>
        </row>
        <row r="47">
          <cell r="A47" t="str">
            <v>11220029</v>
          </cell>
          <cell r="B47" t="str">
            <v>SULTANA SCREENS &amp; ALUMINUM SALES, IN</v>
          </cell>
          <cell r="C47">
            <v>59409.58</v>
          </cell>
        </row>
        <row r="48">
          <cell r="A48" t="str">
            <v>11220032</v>
          </cell>
          <cell r="B48" t="str">
            <v>ROSAS ALUMINIUM</v>
          </cell>
          <cell r="C48">
            <v>17025.12</v>
          </cell>
        </row>
        <row r="49">
          <cell r="A49" t="str">
            <v>11220033</v>
          </cell>
          <cell r="B49" t="str">
            <v>ALUMINIO NACIONAL, S. A.</v>
          </cell>
          <cell r="C49">
            <v>6430.12</v>
          </cell>
        </row>
        <row r="50">
          <cell r="A50" t="str">
            <v>11220999</v>
          </cell>
          <cell r="B50" t="str">
            <v>DIFERENCIAL CAMBIARIO</v>
          </cell>
          <cell r="C50">
            <v>2016560.12</v>
          </cell>
        </row>
        <row r="51">
          <cell r="A51" t="str">
            <v>11230001</v>
          </cell>
          <cell r="B51" t="str">
            <v>ESTIMACION CUENTAS INCOBRABLES</v>
          </cell>
          <cell r="C51">
            <v>-4828.47</v>
          </cell>
        </row>
        <row r="52">
          <cell r="A52" t="str">
            <v>11240001</v>
          </cell>
          <cell r="B52" t="str">
            <v>SAT (Derechos Arancelarios)</v>
          </cell>
          <cell r="C52">
            <v>66171.899999999994</v>
          </cell>
        </row>
        <row r="53">
          <cell r="A53" t="str">
            <v>11240003</v>
          </cell>
          <cell r="B53" t="str">
            <v>BOSS SHIPPING, S.A.</v>
          </cell>
          <cell r="C53">
            <v>0</v>
          </cell>
        </row>
        <row r="54">
          <cell r="A54" t="str">
            <v>11240126</v>
          </cell>
          <cell r="B54" t="str">
            <v>CHEQUES RECHAZADOS</v>
          </cell>
          <cell r="C54">
            <v>0</v>
          </cell>
        </row>
        <row r="55">
          <cell r="A55" t="str">
            <v>11240140</v>
          </cell>
          <cell r="B55" t="str">
            <v>TRANSACCIONES Y SERVICIOS OL</v>
          </cell>
          <cell r="C55">
            <v>425</v>
          </cell>
        </row>
        <row r="56">
          <cell r="A56" t="str">
            <v>11250001</v>
          </cell>
          <cell r="B56" t="str">
            <v>ANTICIPO PRIMERA QUINCENA</v>
          </cell>
          <cell r="C56">
            <v>0</v>
          </cell>
        </row>
        <row r="57">
          <cell r="A57" t="str">
            <v>11260002</v>
          </cell>
          <cell r="B57" t="str">
            <v>GERSON CALDERON</v>
          </cell>
          <cell r="C57">
            <v>305.77999999999997</v>
          </cell>
        </row>
        <row r="58">
          <cell r="A58" t="str">
            <v>11260005</v>
          </cell>
          <cell r="B58" t="str">
            <v>LUIS ALFARO</v>
          </cell>
          <cell r="C58">
            <v>0</v>
          </cell>
        </row>
        <row r="59">
          <cell r="A59" t="str">
            <v>11260007</v>
          </cell>
          <cell r="B59" t="str">
            <v>JOSE ERNESTO RODRIGUEZ</v>
          </cell>
          <cell r="C59">
            <v>0</v>
          </cell>
        </row>
        <row r="60">
          <cell r="A60" t="str">
            <v>11260014</v>
          </cell>
          <cell r="B60" t="str">
            <v>MARVIN RONALDO ALDANA SARMIENTO</v>
          </cell>
          <cell r="C60">
            <v>611.47</v>
          </cell>
        </row>
        <row r="61">
          <cell r="A61" t="str">
            <v>11260017</v>
          </cell>
          <cell r="B61" t="str">
            <v>CLARA LUZ DE PINEDA</v>
          </cell>
          <cell r="C61">
            <v>126.2</v>
          </cell>
        </row>
        <row r="62">
          <cell r="A62" t="str">
            <v>11260078</v>
          </cell>
          <cell r="B62" t="str">
            <v>DINA JEZABEL SANCHEZ MENDEZ</v>
          </cell>
          <cell r="C62">
            <v>0</v>
          </cell>
        </row>
        <row r="63">
          <cell r="A63" t="str">
            <v>11260143</v>
          </cell>
          <cell r="B63" t="str">
            <v>JOSE LUIS CABRERA</v>
          </cell>
          <cell r="C63">
            <v>305.77999999999997</v>
          </cell>
        </row>
        <row r="64">
          <cell r="A64" t="str">
            <v>11270100</v>
          </cell>
          <cell r="B64" t="str">
            <v>SOLAIRE DE GUAT., S.A. Facturacion</v>
          </cell>
          <cell r="C64">
            <v>0</v>
          </cell>
        </row>
        <row r="65">
          <cell r="A65" t="str">
            <v>11270131</v>
          </cell>
          <cell r="B65" t="str">
            <v>CORINSA FACTURACION</v>
          </cell>
          <cell r="C65">
            <v>0</v>
          </cell>
        </row>
        <row r="66">
          <cell r="A66" t="str">
            <v>11270132</v>
          </cell>
          <cell r="B66" t="str">
            <v>CORINSA ANTICIPO INTERESES</v>
          </cell>
          <cell r="C66">
            <v>21000</v>
          </cell>
        </row>
        <row r="67">
          <cell r="A67" t="str">
            <v>11270139</v>
          </cell>
          <cell r="B67" t="str">
            <v>DIFERENCIAL CAMBIARIO</v>
          </cell>
          <cell r="C67">
            <v>141960</v>
          </cell>
        </row>
        <row r="68">
          <cell r="A68" t="str">
            <v>11270200</v>
          </cell>
          <cell r="B68" t="str">
            <v>SOLAIRE DEL SALVADOR  Facturacion</v>
          </cell>
          <cell r="C68">
            <v>0</v>
          </cell>
        </row>
        <row r="69">
          <cell r="A69" t="str">
            <v>11270250</v>
          </cell>
          <cell r="B69" t="str">
            <v>UNIMETAL DEL SALVADOR</v>
          </cell>
          <cell r="C69">
            <v>0</v>
          </cell>
        </row>
        <row r="70">
          <cell r="A70" t="str">
            <v>11270270</v>
          </cell>
          <cell r="B70" t="str">
            <v>GLAXO INTERTRADE LTD.</v>
          </cell>
          <cell r="C70">
            <v>26700</v>
          </cell>
        </row>
        <row r="71">
          <cell r="A71" t="str">
            <v>11270999</v>
          </cell>
          <cell r="B71" t="str">
            <v>DIFERENCIAL CAMBIARIO</v>
          </cell>
          <cell r="C71">
            <v>180492</v>
          </cell>
        </row>
        <row r="72">
          <cell r="A72" t="str">
            <v>11280002</v>
          </cell>
          <cell r="B72" t="str">
            <v>MARVIN ALDANA</v>
          </cell>
          <cell r="C72">
            <v>130.19</v>
          </cell>
        </row>
        <row r="73">
          <cell r="A73" t="str">
            <v>11280003</v>
          </cell>
          <cell r="B73" t="str">
            <v>HANS ESTUARDO CALDERON PALACIOS</v>
          </cell>
          <cell r="C73">
            <v>0</v>
          </cell>
        </row>
        <row r="74">
          <cell r="A74" t="str">
            <v>11280016</v>
          </cell>
          <cell r="B74" t="str">
            <v>GERSON OBED CALDERON ABREGO</v>
          </cell>
          <cell r="C74">
            <v>0</v>
          </cell>
        </row>
        <row r="75">
          <cell r="A75" t="str">
            <v>11280017</v>
          </cell>
          <cell r="B75" t="str">
            <v>CLARA LUZ H, DE PINEDA</v>
          </cell>
          <cell r="C75">
            <v>0</v>
          </cell>
        </row>
        <row r="76">
          <cell r="A76" t="str">
            <v>11280027</v>
          </cell>
          <cell r="B76" t="str">
            <v>JUANA ROSA L. DE SAMAYOA</v>
          </cell>
          <cell r="C76">
            <v>0</v>
          </cell>
        </row>
        <row r="77">
          <cell r="A77" t="str">
            <v>11280069</v>
          </cell>
          <cell r="B77" t="str">
            <v>EDY CASTELLANOS</v>
          </cell>
          <cell r="C77">
            <v>0</v>
          </cell>
        </row>
        <row r="78">
          <cell r="A78" t="str">
            <v>11280078</v>
          </cell>
          <cell r="B78" t="str">
            <v>DINA JEZABEL SANCHEZ MENDEZ</v>
          </cell>
          <cell r="C78">
            <v>0</v>
          </cell>
        </row>
        <row r="79">
          <cell r="A79" t="str">
            <v>11280080</v>
          </cell>
          <cell r="B79" t="str">
            <v>JOSE DAVID GULARTE</v>
          </cell>
          <cell r="C79">
            <v>0</v>
          </cell>
        </row>
        <row r="80">
          <cell r="A80" t="str">
            <v>11280081</v>
          </cell>
          <cell r="B80" t="str">
            <v>FABIO ALBERTO PALACIO MARTINEZ</v>
          </cell>
          <cell r="C80">
            <v>0</v>
          </cell>
        </row>
        <row r="81">
          <cell r="A81" t="str">
            <v>11280084</v>
          </cell>
          <cell r="B81" t="str">
            <v>JOSE LUIS CABRERA</v>
          </cell>
          <cell r="C81">
            <v>0</v>
          </cell>
        </row>
        <row r="82">
          <cell r="A82" t="str">
            <v>11280086</v>
          </cell>
          <cell r="B82" t="str">
            <v>ANA VALERIA ACEITUNO</v>
          </cell>
          <cell r="C82">
            <v>0</v>
          </cell>
        </row>
        <row r="83">
          <cell r="A83" t="str">
            <v>11280088</v>
          </cell>
          <cell r="B83" t="str">
            <v>LUIS RODOLFO ALFARO ARGUETA</v>
          </cell>
          <cell r="C83">
            <v>0</v>
          </cell>
        </row>
        <row r="84">
          <cell r="A84" t="str">
            <v>11410001</v>
          </cell>
          <cell r="B84" t="str">
            <v>IVA DEL MES COMPRAS LOCALES</v>
          </cell>
          <cell r="C84">
            <v>0</v>
          </cell>
        </row>
        <row r="85">
          <cell r="A85" t="str">
            <v>11410003</v>
          </cell>
          <cell r="B85" t="str">
            <v>IVA DEL MES IMPORTACIONES</v>
          </cell>
          <cell r="C85">
            <v>0</v>
          </cell>
        </row>
        <row r="86">
          <cell r="A86" t="str">
            <v>11410012</v>
          </cell>
          <cell r="B86" t="str">
            <v>IVA DE OCTUBRE A DICIEMBRE. 1997</v>
          </cell>
          <cell r="C86">
            <v>62608</v>
          </cell>
        </row>
        <row r="87">
          <cell r="A87" t="str">
            <v>11410013</v>
          </cell>
          <cell r="B87" t="str">
            <v>IVA DE ABRIL A JUNIO, 1998</v>
          </cell>
          <cell r="C87">
            <v>164538</v>
          </cell>
        </row>
        <row r="88">
          <cell r="A88" t="str">
            <v>11410014</v>
          </cell>
          <cell r="B88" t="str">
            <v>IVA DE JULIO A SEPTIEMBRE, 1998</v>
          </cell>
          <cell r="C88">
            <v>198737</v>
          </cell>
        </row>
        <row r="89">
          <cell r="A89" t="str">
            <v>11410015</v>
          </cell>
          <cell r="B89" t="str">
            <v>IVA DE OCTUBRE A DICIEMBRE, 1998</v>
          </cell>
          <cell r="C89">
            <v>202536</v>
          </cell>
        </row>
        <row r="90">
          <cell r="A90" t="str">
            <v>11410016</v>
          </cell>
          <cell r="B90" t="str">
            <v>IVA DE ENERO A MARZO, 1999</v>
          </cell>
          <cell r="C90">
            <v>266887</v>
          </cell>
        </row>
        <row r="91">
          <cell r="A91" t="str">
            <v>11410017</v>
          </cell>
          <cell r="B91" t="str">
            <v>IVA DE ABRIL A JUNIO, 1999</v>
          </cell>
          <cell r="C91">
            <v>1289389</v>
          </cell>
        </row>
        <row r="92">
          <cell r="A92" t="str">
            <v>11410018</v>
          </cell>
          <cell r="B92" t="str">
            <v>IVA DE JULIO A SEPTIEMBRE, 1999</v>
          </cell>
          <cell r="C92">
            <v>264011</v>
          </cell>
        </row>
        <row r="93">
          <cell r="A93" t="str">
            <v>11410019</v>
          </cell>
          <cell r="B93" t="str">
            <v>IVA DE OCTUBRE A DICIEMBRE, 1999</v>
          </cell>
          <cell r="C93">
            <v>1152554</v>
          </cell>
        </row>
        <row r="94">
          <cell r="A94" t="str">
            <v>11410020</v>
          </cell>
          <cell r="B94" t="str">
            <v>IVA DE ENERO A MARZO, 2000</v>
          </cell>
          <cell r="C94">
            <v>840682</v>
          </cell>
        </row>
        <row r="95">
          <cell r="A95" t="str">
            <v>11410021</v>
          </cell>
          <cell r="B95" t="str">
            <v>IVA DE ABRIL A JUNIO, 2000</v>
          </cell>
          <cell r="C95">
            <v>584485</v>
          </cell>
        </row>
        <row r="96">
          <cell r="A96" t="str">
            <v>11410022</v>
          </cell>
          <cell r="B96" t="str">
            <v>IVA DE JULIO A SEPTIEMBRE, 2000</v>
          </cell>
          <cell r="C96">
            <v>672507</v>
          </cell>
        </row>
        <row r="97">
          <cell r="A97" t="str">
            <v>11410023</v>
          </cell>
          <cell r="B97" t="str">
            <v>IVA DE OCTUBRE A DICIEMBRE, 2000</v>
          </cell>
          <cell r="C97">
            <v>186738</v>
          </cell>
        </row>
        <row r="98">
          <cell r="A98" t="str">
            <v>11410024</v>
          </cell>
          <cell r="B98" t="str">
            <v>IVA DE ENERO A MARZO, 2001</v>
          </cell>
          <cell r="C98">
            <v>897418</v>
          </cell>
        </row>
        <row r="99">
          <cell r="A99" t="str">
            <v>11410025</v>
          </cell>
          <cell r="B99" t="str">
            <v>IVA DE ABRIL A JUNIO, 2001</v>
          </cell>
          <cell r="C99">
            <v>1087045</v>
          </cell>
        </row>
        <row r="100">
          <cell r="A100" t="str">
            <v>11410026</v>
          </cell>
          <cell r="B100" t="str">
            <v>IVA DE JULIO A SEPTIEMBRE, 2001</v>
          </cell>
          <cell r="C100">
            <v>1332584.08</v>
          </cell>
        </row>
        <row r="101">
          <cell r="A101" t="str">
            <v>11410027</v>
          </cell>
          <cell r="B101" t="str">
            <v>IVA CREDITO DE OCTUBRE A DICIEMBRE/01</v>
          </cell>
          <cell r="C101">
            <v>977970.29</v>
          </cell>
        </row>
        <row r="102">
          <cell r="A102" t="str">
            <v>11410028</v>
          </cell>
          <cell r="B102" t="str">
            <v>IVA CREDITO DE ENERO A MARZO/02</v>
          </cell>
          <cell r="C102">
            <v>436954.43</v>
          </cell>
        </row>
        <row r="103">
          <cell r="A103" t="str">
            <v>11410029</v>
          </cell>
          <cell r="B103" t="str">
            <v>IVA CREDITO DE ABRIL A JUNIO/02</v>
          </cell>
          <cell r="C103">
            <v>1522813.44</v>
          </cell>
        </row>
        <row r="104">
          <cell r="A104" t="str">
            <v>11410030</v>
          </cell>
          <cell r="B104" t="str">
            <v>IVA CREDITO JULIO A DICIEMBRE/02</v>
          </cell>
          <cell r="C104">
            <v>454220.18</v>
          </cell>
        </row>
        <row r="105">
          <cell r="A105" t="str">
            <v>11410999</v>
          </cell>
          <cell r="B105" t="str">
            <v>RESERVA IVA CREDITO FISCAL NO RECUPERABL</v>
          </cell>
          <cell r="C105">
            <v>-12140457.24</v>
          </cell>
        </row>
        <row r="106">
          <cell r="A106" t="str">
            <v>11420021</v>
          </cell>
          <cell r="B106" t="str">
            <v>PAGOS TRIMESTRALES AÐO 2001</v>
          </cell>
          <cell r="C106">
            <v>65932.41</v>
          </cell>
        </row>
        <row r="107">
          <cell r="A107" t="str">
            <v>11420022</v>
          </cell>
          <cell r="B107" t="str">
            <v>PAGOS TRIMESTRALES ISR AÑO 2002</v>
          </cell>
          <cell r="C107">
            <v>591079.85</v>
          </cell>
        </row>
        <row r="108">
          <cell r="A108" t="str">
            <v>11420030</v>
          </cell>
          <cell r="B108" t="str">
            <v>IEMA POR APLICAR AÐOS ANTERIORES</v>
          </cell>
          <cell r="C108">
            <v>252263.62</v>
          </cell>
        </row>
        <row r="109">
          <cell r="A109" t="str">
            <v>11420031</v>
          </cell>
          <cell r="B109" t="str">
            <v>IEMA AÐO 1999 NO APLICABLE</v>
          </cell>
          <cell r="C109">
            <v>48188.15</v>
          </cell>
        </row>
        <row r="110">
          <cell r="A110" t="str">
            <v>11420034</v>
          </cell>
          <cell r="B110" t="str">
            <v>IEMA AÑO 2002 APLICABLE EN EL 2003</v>
          </cell>
          <cell r="C110">
            <v>1021088.84</v>
          </cell>
        </row>
        <row r="111">
          <cell r="A111" t="str">
            <v>11420050</v>
          </cell>
          <cell r="B111" t="str">
            <v>ISET</v>
          </cell>
          <cell r="C111">
            <v>42940.31</v>
          </cell>
        </row>
        <row r="112">
          <cell r="A112" t="str">
            <v>11420100</v>
          </cell>
          <cell r="B112" t="str">
            <v>ISR MENSUAL POR APLICAR</v>
          </cell>
          <cell r="C112">
            <v>1875.16</v>
          </cell>
        </row>
        <row r="113">
          <cell r="A113" t="str">
            <v>11420999</v>
          </cell>
          <cell r="B113" t="str">
            <v>RESERVA OTROS IMPTOS NO RECUPERABLES</v>
          </cell>
          <cell r="C113">
            <v>-2023368.34</v>
          </cell>
        </row>
        <row r="114">
          <cell r="A114" t="str">
            <v>11510001</v>
          </cell>
          <cell r="B114" t="str">
            <v>MILL FINISH</v>
          </cell>
          <cell r="C114">
            <v>1960607.57</v>
          </cell>
        </row>
        <row r="115">
          <cell r="A115" t="str">
            <v>11520001</v>
          </cell>
          <cell r="B115" t="str">
            <v>PERFIL ANODIZADO</v>
          </cell>
          <cell r="C115">
            <v>373696.68</v>
          </cell>
        </row>
        <row r="116">
          <cell r="A116" t="str">
            <v>11520002</v>
          </cell>
          <cell r="B116" t="str">
            <v>PERFIL ANODIZADO LOCAL</v>
          </cell>
          <cell r="C116">
            <v>179338.82</v>
          </cell>
        </row>
        <row r="117">
          <cell r="A117" t="str">
            <v>11530001</v>
          </cell>
          <cell r="B117" t="str">
            <v>PERFIL PINTADO</v>
          </cell>
          <cell r="C117">
            <v>95011.67</v>
          </cell>
        </row>
        <row r="118">
          <cell r="A118" t="str">
            <v>11530002</v>
          </cell>
          <cell r="B118" t="str">
            <v>PINTADO AMATITLAN</v>
          </cell>
          <cell r="C118">
            <v>419489.05</v>
          </cell>
        </row>
        <row r="119">
          <cell r="A119" t="str">
            <v>11550001</v>
          </cell>
          <cell r="B119" t="str">
            <v>SUMINISTROS</v>
          </cell>
          <cell r="C119">
            <v>599784.89</v>
          </cell>
        </row>
        <row r="120">
          <cell r="A120" t="str">
            <v>11550002</v>
          </cell>
          <cell r="B120" t="str">
            <v>SUMINISTROS PLANTA DE PINTURA</v>
          </cell>
          <cell r="C120">
            <v>771887.5</v>
          </cell>
        </row>
        <row r="121">
          <cell r="A121" t="str">
            <v>11560001</v>
          </cell>
          <cell r="B121" t="str">
            <v>ALINES MAQUINA R.L. BEST.</v>
          </cell>
          <cell r="C121">
            <v>0</v>
          </cell>
        </row>
        <row r="122">
          <cell r="A122" t="str">
            <v>11560002</v>
          </cell>
          <cell r="B122" t="str">
            <v>ALINES MAQUINA LOEWY</v>
          </cell>
          <cell r="C122">
            <v>0</v>
          </cell>
        </row>
        <row r="123">
          <cell r="A123" t="str">
            <v>11580001</v>
          </cell>
          <cell r="B123" t="str">
            <v>LINGOTE NACIONAL</v>
          </cell>
          <cell r="C123">
            <v>0</v>
          </cell>
        </row>
        <row r="124">
          <cell r="A124" t="str">
            <v>11580002</v>
          </cell>
          <cell r="B124" t="str">
            <v>LINGOTE IMPORTADO</v>
          </cell>
          <cell r="C124">
            <v>0</v>
          </cell>
        </row>
        <row r="125">
          <cell r="A125" t="str">
            <v>11580004</v>
          </cell>
          <cell r="B125" t="str">
            <v>SCRAP</v>
          </cell>
          <cell r="C125">
            <v>3070344.53</v>
          </cell>
        </row>
        <row r="126">
          <cell r="A126" t="str">
            <v>11580011</v>
          </cell>
          <cell r="B126" t="str">
            <v>BODEGA DE ACCESORIOS</v>
          </cell>
          <cell r="C126">
            <v>30326.49</v>
          </cell>
        </row>
        <row r="127">
          <cell r="A127" t="str">
            <v>11590002</v>
          </cell>
          <cell r="B127" t="str">
            <v>DIESEL</v>
          </cell>
          <cell r="C127">
            <v>3446.17</v>
          </cell>
        </row>
        <row r="128">
          <cell r="A128" t="str">
            <v>11590003</v>
          </cell>
          <cell r="B128" t="str">
            <v>GAS PROPANO</v>
          </cell>
          <cell r="C128">
            <v>33364.26</v>
          </cell>
        </row>
        <row r="129">
          <cell r="A129" t="str">
            <v>11710004</v>
          </cell>
          <cell r="B129" t="str">
            <v>JL UNITED INDUSTRIES CORP.</v>
          </cell>
          <cell r="C129">
            <v>20438.89</v>
          </cell>
        </row>
        <row r="130">
          <cell r="A130" t="str">
            <v>11710023</v>
          </cell>
          <cell r="B130" t="str">
            <v>OAKITE PRODUCTS INC.</v>
          </cell>
          <cell r="C130">
            <v>0</v>
          </cell>
        </row>
        <row r="131">
          <cell r="A131" t="str">
            <v>11710056</v>
          </cell>
          <cell r="B131" t="str">
            <v>VESUVIUS MEXICO S. A. DE C. V.</v>
          </cell>
          <cell r="C131">
            <v>10577.49</v>
          </cell>
        </row>
        <row r="132">
          <cell r="A132" t="str">
            <v>11710058</v>
          </cell>
          <cell r="B132" t="str">
            <v>VISTA SALES CO.</v>
          </cell>
          <cell r="C132">
            <v>0</v>
          </cell>
        </row>
        <row r="133">
          <cell r="A133" t="str">
            <v>11810003</v>
          </cell>
          <cell r="B133" t="str">
            <v>AUTOMOVILES</v>
          </cell>
          <cell r="C133">
            <v>0</v>
          </cell>
        </row>
        <row r="134">
          <cell r="A134" t="str">
            <v>11810005</v>
          </cell>
          <cell r="B134" t="str">
            <v>INCENDIO</v>
          </cell>
          <cell r="C134">
            <v>217336</v>
          </cell>
        </row>
        <row r="135">
          <cell r="A135" t="str">
            <v>11810006</v>
          </cell>
          <cell r="B135" t="str">
            <v>DINERO Y VALORES</v>
          </cell>
          <cell r="C135">
            <v>0</v>
          </cell>
        </row>
        <row r="136">
          <cell r="A136" t="str">
            <v>11820001</v>
          </cell>
          <cell r="B136" t="str">
            <v>HEPIME DE GUATEMALA</v>
          </cell>
          <cell r="C136">
            <v>4444.47</v>
          </cell>
        </row>
        <row r="137">
          <cell r="A137" t="str">
            <v>11820011</v>
          </cell>
          <cell r="B137" t="str">
            <v>CAMARA DE INDUSTRIA</v>
          </cell>
          <cell r="C137">
            <v>0</v>
          </cell>
        </row>
        <row r="138">
          <cell r="A138" t="str">
            <v>11820013</v>
          </cell>
          <cell r="B138" t="str">
            <v>INTERESES LETRAS DE CAMBIO BCO.REFORMADO</v>
          </cell>
          <cell r="C138">
            <v>0</v>
          </cell>
        </row>
        <row r="139">
          <cell r="A139" t="str">
            <v>11820014</v>
          </cell>
          <cell r="B139" t="str">
            <v>INTERESES ANTICIPADOS CORINSA</v>
          </cell>
          <cell r="C139">
            <v>0</v>
          </cell>
        </row>
        <row r="140">
          <cell r="A140" t="str">
            <v>11820047</v>
          </cell>
          <cell r="B140" t="str">
            <v>FORMULARIOS MOORE</v>
          </cell>
          <cell r="C140">
            <v>0</v>
          </cell>
        </row>
        <row r="141">
          <cell r="A141" t="str">
            <v>11820062</v>
          </cell>
          <cell r="B141" t="str">
            <v>LIC. PABLO PORRES</v>
          </cell>
          <cell r="C141">
            <v>0</v>
          </cell>
        </row>
        <row r="142">
          <cell r="A142" t="str">
            <v>11820106</v>
          </cell>
          <cell r="B142" t="str">
            <v>SEGUROS ALINSA VILLA NUEVA</v>
          </cell>
          <cell r="C142">
            <v>0</v>
          </cell>
        </row>
        <row r="143">
          <cell r="A143" t="str">
            <v>11820900</v>
          </cell>
          <cell r="B143" t="str">
            <v>OTROS ANTICIPOS</v>
          </cell>
          <cell r="C143">
            <v>24515.31</v>
          </cell>
        </row>
        <row r="144">
          <cell r="A144" t="str">
            <v>11830001</v>
          </cell>
          <cell r="B144" t="str">
            <v>EMPRESA ELECTRICA</v>
          </cell>
          <cell r="C144">
            <v>10000</v>
          </cell>
        </row>
        <row r="145">
          <cell r="A145" t="str">
            <v>11830007</v>
          </cell>
          <cell r="B145" t="str">
            <v>FONDO EMPLEADOS CONSTRUBANCO</v>
          </cell>
          <cell r="C145">
            <v>11000</v>
          </cell>
        </row>
        <row r="146">
          <cell r="A146" t="str">
            <v>11830008</v>
          </cell>
          <cell r="B146" t="str">
            <v>EMPRESA ELECTRICA AIRE ACOND.</v>
          </cell>
          <cell r="C146">
            <v>320</v>
          </cell>
        </row>
        <row r="147">
          <cell r="A147" t="str">
            <v>11830009</v>
          </cell>
          <cell r="B147" t="str">
            <v>ALQUILER PLANTA VYPACO, LTDA.</v>
          </cell>
          <cell r="C147">
            <v>0</v>
          </cell>
        </row>
        <row r="148">
          <cell r="A148" t="str">
            <v>22110020</v>
          </cell>
          <cell r="B148" t="str">
            <v>EDIFICIOS E INSTALACIONES</v>
          </cell>
          <cell r="C148">
            <v>0</v>
          </cell>
        </row>
        <row r="149">
          <cell r="A149" t="str">
            <v>22110022</v>
          </cell>
          <cell r="B149" t="str">
            <v>EDIFICIO MAQUINA R.L. BEST.</v>
          </cell>
          <cell r="C149">
            <v>0</v>
          </cell>
        </row>
        <row r="150">
          <cell r="A150" t="str">
            <v>22110030</v>
          </cell>
          <cell r="B150" t="str">
            <v>MAQUINARIA Y EQUIPO</v>
          </cell>
          <cell r="C150">
            <v>0</v>
          </cell>
        </row>
        <row r="151">
          <cell r="A151" t="str">
            <v>22110031</v>
          </cell>
          <cell r="B151" t="str">
            <v>MAQUINARIA Y EQUIPO PLANTA DE PINTURA</v>
          </cell>
          <cell r="C151">
            <v>0</v>
          </cell>
        </row>
        <row r="152">
          <cell r="A152" t="str">
            <v>22110032</v>
          </cell>
          <cell r="B152" t="str">
            <v>MAQUINARIA Y EQ. R.L. BEST.</v>
          </cell>
          <cell r="C152">
            <v>0</v>
          </cell>
        </row>
        <row r="153">
          <cell r="A153" t="str">
            <v>22110040</v>
          </cell>
          <cell r="B153" t="str">
            <v>VEHICULOS</v>
          </cell>
          <cell r="C153">
            <v>0</v>
          </cell>
        </row>
        <row r="154">
          <cell r="A154" t="str">
            <v>22110060</v>
          </cell>
          <cell r="B154" t="str">
            <v>MOBILIARIO Y EQUIPO DE OFICINA</v>
          </cell>
          <cell r="C154">
            <v>0</v>
          </cell>
        </row>
        <row r="155">
          <cell r="A155" t="str">
            <v>22110070</v>
          </cell>
          <cell r="B155" t="str">
            <v>MOBILIARIO Y EQUIPO DE BODEGA</v>
          </cell>
          <cell r="C155">
            <v>0</v>
          </cell>
        </row>
        <row r="156">
          <cell r="A156" t="str">
            <v>22110080</v>
          </cell>
          <cell r="B156" t="str">
            <v>EQUIPO DE COMPUTACION</v>
          </cell>
          <cell r="C156">
            <v>0</v>
          </cell>
        </row>
        <row r="157">
          <cell r="A157" t="str">
            <v>22210020</v>
          </cell>
          <cell r="B157" t="str">
            <v>EDIFICIOS</v>
          </cell>
          <cell r="C157">
            <v>0</v>
          </cell>
        </row>
        <row r="158">
          <cell r="A158" t="str">
            <v>22210022</v>
          </cell>
          <cell r="B158" t="str">
            <v>DEP. ACUM  EDIF. MAQUINA R.L. BEST.</v>
          </cell>
          <cell r="C158">
            <v>0</v>
          </cell>
        </row>
        <row r="159">
          <cell r="A159" t="str">
            <v>22210030</v>
          </cell>
          <cell r="B159" t="str">
            <v>MAQUINARIA Y EQUIPO</v>
          </cell>
          <cell r="C159">
            <v>0</v>
          </cell>
        </row>
        <row r="160">
          <cell r="A160" t="str">
            <v>22210031</v>
          </cell>
          <cell r="B160" t="str">
            <v>MAQUINARIA Y EQUIPO PLANTA DE PINTURA</v>
          </cell>
          <cell r="C160">
            <v>0</v>
          </cell>
        </row>
        <row r="161">
          <cell r="A161" t="str">
            <v>22210032</v>
          </cell>
          <cell r="B161" t="str">
            <v>DEPREC. ACUM MAQ. Y EQ. R.L. BEST.</v>
          </cell>
          <cell r="C161">
            <v>0</v>
          </cell>
        </row>
        <row r="162">
          <cell r="A162" t="str">
            <v>22210040</v>
          </cell>
          <cell r="B162" t="str">
            <v>VEHICULOS</v>
          </cell>
          <cell r="C162">
            <v>0</v>
          </cell>
        </row>
        <row r="163">
          <cell r="A163" t="str">
            <v>22210060</v>
          </cell>
          <cell r="B163" t="str">
            <v>MOBILIARIO Y EQUIPO DE OFICINA</v>
          </cell>
          <cell r="C163">
            <v>0</v>
          </cell>
        </row>
        <row r="164">
          <cell r="A164" t="str">
            <v>22210070</v>
          </cell>
          <cell r="B164" t="str">
            <v>MOBILIARIO Y EQUIPO DE BODEGA</v>
          </cell>
          <cell r="C164">
            <v>0</v>
          </cell>
        </row>
        <row r="165">
          <cell r="A165" t="str">
            <v>22210080</v>
          </cell>
          <cell r="B165" t="str">
            <v>EQUIPO DE COMPUTACION</v>
          </cell>
          <cell r="C165">
            <v>0</v>
          </cell>
        </row>
        <row r="166">
          <cell r="A166" t="str">
            <v>22320006</v>
          </cell>
          <cell r="B166" t="str">
            <v>INVERSIONES AFILIADAS SOLAIRE DE GUATE.</v>
          </cell>
          <cell r="C166">
            <v>0</v>
          </cell>
        </row>
        <row r="167">
          <cell r="A167" t="str">
            <v>33120114</v>
          </cell>
          <cell r="B167" t="str">
            <v>BOSS SHIPPING</v>
          </cell>
          <cell r="C167">
            <v>658</v>
          </cell>
        </row>
        <row r="168">
          <cell r="A168" t="str">
            <v>33120116</v>
          </cell>
          <cell r="B168" t="str">
            <v>DUPONT POWDER COATINGS.</v>
          </cell>
          <cell r="C168">
            <v>82904.2</v>
          </cell>
        </row>
        <row r="169">
          <cell r="A169" t="str">
            <v>33120121</v>
          </cell>
          <cell r="B169" t="str">
            <v>OAKITE PRODUCTS, INC</v>
          </cell>
          <cell r="C169">
            <v>4978.2</v>
          </cell>
        </row>
        <row r="170">
          <cell r="A170" t="str">
            <v>33120900</v>
          </cell>
          <cell r="B170" t="str">
            <v>OTRAS CUENTAS POR PAGAR $</v>
          </cell>
          <cell r="C170">
            <v>2591.65</v>
          </cell>
        </row>
        <row r="171">
          <cell r="A171" t="str">
            <v>33120999</v>
          </cell>
          <cell r="B171" t="str">
            <v>DIFERENCIAL CAMBIARIO</v>
          </cell>
          <cell r="C171">
            <v>616052.65</v>
          </cell>
        </row>
        <row r="172">
          <cell r="A172" t="str">
            <v>33130001</v>
          </cell>
          <cell r="B172" t="str">
            <v>AGUINALDOS</v>
          </cell>
          <cell r="C172">
            <v>32103.05</v>
          </cell>
        </row>
        <row r="173">
          <cell r="A173" t="str">
            <v>33130002</v>
          </cell>
          <cell r="B173" t="str">
            <v>BONO 14 DECRETO 42-92</v>
          </cell>
          <cell r="C173">
            <v>98499.32</v>
          </cell>
        </row>
        <row r="174">
          <cell r="A174" t="str">
            <v>33130003</v>
          </cell>
          <cell r="B174" t="str">
            <v>BONO VACACIONAL</v>
          </cell>
          <cell r="C174">
            <v>52200.1</v>
          </cell>
        </row>
        <row r="175">
          <cell r="A175" t="str">
            <v>33130004</v>
          </cell>
          <cell r="B175" t="str">
            <v>INDEMNIZACIONES</v>
          </cell>
          <cell r="C175">
            <v>630669.06999999995</v>
          </cell>
        </row>
        <row r="176">
          <cell r="A176" t="str">
            <v>33140033</v>
          </cell>
          <cell r="B176" t="str">
            <v>DISVA DE GUATEMALA</v>
          </cell>
          <cell r="C176">
            <v>0</v>
          </cell>
        </row>
        <row r="177">
          <cell r="A177" t="str">
            <v>33140069</v>
          </cell>
          <cell r="B177" t="str">
            <v>OROSHELL CENTRAL LUBRICANTES</v>
          </cell>
          <cell r="C177">
            <v>0</v>
          </cell>
        </row>
        <row r="178">
          <cell r="A178" t="str">
            <v>33140075</v>
          </cell>
          <cell r="B178" t="str">
            <v>ZELSA LABORATORIOS S. A.</v>
          </cell>
          <cell r="C178">
            <v>0</v>
          </cell>
        </row>
        <row r="179">
          <cell r="A179" t="str">
            <v>33140090</v>
          </cell>
          <cell r="B179" t="str">
            <v>CAMARA DE INDUSTRIA DE GUATEMA</v>
          </cell>
          <cell r="C179">
            <v>0</v>
          </cell>
        </row>
        <row r="180">
          <cell r="A180" t="str">
            <v>33140117</v>
          </cell>
          <cell r="B180" t="str">
            <v>LIC. PABLO PORRES RODRIGUEZ</v>
          </cell>
          <cell r="C180">
            <v>0</v>
          </cell>
        </row>
        <row r="181">
          <cell r="A181" t="str">
            <v>33140120</v>
          </cell>
          <cell r="B181" t="str">
            <v>DISAGRO</v>
          </cell>
          <cell r="C181">
            <v>2653.11</v>
          </cell>
        </row>
        <row r="182">
          <cell r="A182" t="str">
            <v>33140157</v>
          </cell>
          <cell r="B182" t="str">
            <v>SHELL ASIOLE</v>
          </cell>
          <cell r="C182">
            <v>0</v>
          </cell>
        </row>
        <row r="183">
          <cell r="A183" t="str">
            <v>33140171</v>
          </cell>
          <cell r="B183" t="str">
            <v>ALFA UNO, S.A.</v>
          </cell>
          <cell r="C183">
            <v>0</v>
          </cell>
        </row>
        <row r="184">
          <cell r="A184" t="str">
            <v>33140218</v>
          </cell>
          <cell r="B184" t="str">
            <v>GUANTES DE GUATEMALA S. A.</v>
          </cell>
          <cell r="C184">
            <v>0</v>
          </cell>
        </row>
        <row r="185">
          <cell r="A185" t="str">
            <v>33140240</v>
          </cell>
          <cell r="B185" t="str">
            <v>GAS ZETA S. A.</v>
          </cell>
          <cell r="C185">
            <v>0</v>
          </cell>
        </row>
        <row r="186">
          <cell r="A186" t="str">
            <v>33140266</v>
          </cell>
          <cell r="B186" t="str">
            <v>VYPACO LTDA.</v>
          </cell>
          <cell r="C186">
            <v>40560.949999999997</v>
          </cell>
        </row>
        <row r="187">
          <cell r="A187" t="str">
            <v>33140272</v>
          </cell>
          <cell r="B187" t="str">
            <v>ALCATEL</v>
          </cell>
          <cell r="C187">
            <v>0</v>
          </cell>
        </row>
        <row r="188">
          <cell r="A188" t="str">
            <v>33140274</v>
          </cell>
          <cell r="B188" t="str">
            <v>ALKEMY, S.A.</v>
          </cell>
          <cell r="C188">
            <v>0</v>
          </cell>
        </row>
        <row r="189">
          <cell r="A189" t="str">
            <v>33140289</v>
          </cell>
          <cell r="B189" t="str">
            <v>TRANSACCIONES Y SERVCIOS OL</v>
          </cell>
          <cell r="C189">
            <v>0</v>
          </cell>
        </row>
        <row r="190">
          <cell r="A190" t="str">
            <v>33140299</v>
          </cell>
          <cell r="B190" t="str">
            <v>MULTIACEROS ELIAS, S. A.</v>
          </cell>
          <cell r="C190">
            <v>0</v>
          </cell>
        </row>
        <row r="191">
          <cell r="A191" t="str">
            <v>33140326</v>
          </cell>
          <cell r="B191" t="str">
            <v>PROYECTOS EMPRESARIALES, S.A.</v>
          </cell>
          <cell r="C191">
            <v>0</v>
          </cell>
        </row>
        <row r="192">
          <cell r="A192" t="str">
            <v>33140333</v>
          </cell>
          <cell r="B192" t="str">
            <v>ELECTROTECNIA INDUSTRIAL</v>
          </cell>
          <cell r="C192">
            <v>0</v>
          </cell>
        </row>
        <row r="193">
          <cell r="A193" t="str">
            <v>33140335</v>
          </cell>
          <cell r="B193" t="str">
            <v>TRAFICOS INTERMODALES</v>
          </cell>
          <cell r="C193">
            <v>0</v>
          </cell>
        </row>
        <row r="194">
          <cell r="A194" t="str">
            <v>33140337</v>
          </cell>
          <cell r="B194" t="str">
            <v>CONDEICO</v>
          </cell>
          <cell r="C194">
            <v>0</v>
          </cell>
        </row>
        <row r="195">
          <cell r="A195" t="str">
            <v>33140354</v>
          </cell>
          <cell r="B195" t="str">
            <v>ALMACEN EL ELECTRICO</v>
          </cell>
          <cell r="C195">
            <v>0</v>
          </cell>
        </row>
        <row r="196">
          <cell r="A196" t="str">
            <v>33140374</v>
          </cell>
          <cell r="B196" t="str">
            <v>BOSS SHIPPING, S.A.</v>
          </cell>
          <cell r="C196">
            <v>1060</v>
          </cell>
        </row>
        <row r="197">
          <cell r="A197" t="str">
            <v>33140999</v>
          </cell>
          <cell r="B197" t="str">
            <v>OTRAS CUENTAS POR PAGAR</v>
          </cell>
          <cell r="C197">
            <v>3186.96</v>
          </cell>
        </row>
        <row r="198">
          <cell r="A198" t="str">
            <v>33150102</v>
          </cell>
          <cell r="B198" t="str">
            <v>SOLAIRE DE GUATEMALA FACTURACION</v>
          </cell>
          <cell r="C198">
            <v>0</v>
          </cell>
        </row>
        <row r="199">
          <cell r="A199" t="str">
            <v>33150103</v>
          </cell>
          <cell r="B199" t="str">
            <v>SOLAIRE DE GUATEMALA SERVICIOS</v>
          </cell>
          <cell r="C199">
            <v>0</v>
          </cell>
        </row>
        <row r="200">
          <cell r="A200" t="str">
            <v>33150120</v>
          </cell>
          <cell r="B200" t="str">
            <v>CORINSA  ALQUILER DE BODEGA</v>
          </cell>
          <cell r="C200">
            <v>0</v>
          </cell>
        </row>
        <row r="201">
          <cell r="A201" t="str">
            <v>33150121</v>
          </cell>
          <cell r="B201" t="str">
            <v>CORINSA SERVICIOS DE AUDITORIA</v>
          </cell>
          <cell r="C201">
            <v>0</v>
          </cell>
        </row>
        <row r="202">
          <cell r="A202" t="str">
            <v>33150122</v>
          </cell>
          <cell r="B202" t="str">
            <v>CORINSA INTERESES</v>
          </cell>
          <cell r="C202">
            <v>0</v>
          </cell>
        </row>
        <row r="203">
          <cell r="A203" t="str">
            <v>33150200</v>
          </cell>
          <cell r="B203" t="str">
            <v>SOLAIRE DEL SALVADOR, S.A. DE C.V.</v>
          </cell>
          <cell r="C203">
            <v>2478.73</v>
          </cell>
        </row>
        <row r="204">
          <cell r="A204" t="str">
            <v>33150204</v>
          </cell>
          <cell r="B204" t="str">
            <v>SOLAIRE, S. A. DE C. V.   GASTOS</v>
          </cell>
          <cell r="C204">
            <v>0</v>
          </cell>
        </row>
        <row r="205">
          <cell r="A205" t="str">
            <v>33150220</v>
          </cell>
          <cell r="B205" t="str">
            <v>UNIMETAL DEL SALVADOR</v>
          </cell>
          <cell r="C205">
            <v>148.57</v>
          </cell>
        </row>
        <row r="206">
          <cell r="A206" t="str">
            <v>33150230</v>
          </cell>
          <cell r="B206" t="str">
            <v>POMA HERMANOS</v>
          </cell>
          <cell r="C206">
            <v>8452.43</v>
          </cell>
        </row>
        <row r="207">
          <cell r="A207" t="str">
            <v>33150260</v>
          </cell>
          <cell r="B207" t="str">
            <v>CAST PRODUCTS,  S. A. DE C. V.</v>
          </cell>
          <cell r="C207">
            <v>3421.44</v>
          </cell>
        </row>
        <row r="208">
          <cell r="A208" t="str">
            <v>33150261</v>
          </cell>
          <cell r="B208" t="str">
            <v>GLAXO, INTERTRADE</v>
          </cell>
          <cell r="C208">
            <v>0</v>
          </cell>
        </row>
        <row r="209">
          <cell r="A209" t="str">
            <v>33150262</v>
          </cell>
          <cell r="B209" t="str">
            <v>GLAXO INT. (APORTE FUTURAS CAPITALIZACIO</v>
          </cell>
          <cell r="C209">
            <v>0</v>
          </cell>
        </row>
        <row r="210">
          <cell r="A210" t="str">
            <v>33150270</v>
          </cell>
          <cell r="B210" t="str">
            <v>CORPORACION DE INVERSIONES PRESTAMO DOLA</v>
          </cell>
          <cell r="C210">
            <v>5450000</v>
          </cell>
        </row>
        <row r="211">
          <cell r="A211" t="str">
            <v>33150999</v>
          </cell>
          <cell r="B211" t="str">
            <v>DIFERENCIAL CAMBIARIO</v>
          </cell>
          <cell r="C211">
            <v>36940028.82</v>
          </cell>
        </row>
        <row r="212">
          <cell r="A212" t="str">
            <v>33160028</v>
          </cell>
          <cell r="B212" t="str">
            <v>DISALVI</v>
          </cell>
          <cell r="C212">
            <v>8723.8700000000008</v>
          </cell>
        </row>
        <row r="213">
          <cell r="A213" t="str">
            <v>33160056</v>
          </cell>
          <cell r="B213" t="str">
            <v>MIGUEL RAMOS</v>
          </cell>
          <cell r="C213">
            <v>10.84</v>
          </cell>
        </row>
        <row r="214">
          <cell r="A214" t="str">
            <v>33160098</v>
          </cell>
          <cell r="B214" t="str">
            <v>ACABADOS FINALES, S.A.</v>
          </cell>
          <cell r="C214">
            <v>344.62</v>
          </cell>
        </row>
        <row r="215">
          <cell r="A215" t="str">
            <v>33160100</v>
          </cell>
          <cell r="B215" t="str">
            <v>OTROS ANTICIPOS</v>
          </cell>
          <cell r="C215">
            <v>0</v>
          </cell>
        </row>
        <row r="216">
          <cell r="A216" t="str">
            <v>33160101</v>
          </cell>
          <cell r="B216" t="str">
            <v>ALVIA COMERCIAL, S.A.</v>
          </cell>
          <cell r="C216">
            <v>17798.54</v>
          </cell>
        </row>
        <row r="217">
          <cell r="A217" t="str">
            <v>33160120</v>
          </cell>
          <cell r="B217" t="str">
            <v>VIDRIERIA UNIVERSAL</v>
          </cell>
          <cell r="C217">
            <v>358</v>
          </cell>
        </row>
        <row r="218">
          <cell r="A218" t="str">
            <v>33160128</v>
          </cell>
          <cell r="B218" t="str">
            <v>ERGO</v>
          </cell>
          <cell r="C218">
            <v>0</v>
          </cell>
        </row>
        <row r="219">
          <cell r="A219" t="str">
            <v>33160190</v>
          </cell>
          <cell r="B219" t="str">
            <v>VIDRIERIA SAN JOSE</v>
          </cell>
          <cell r="C219">
            <v>8.41</v>
          </cell>
        </row>
        <row r="220">
          <cell r="A220" t="str">
            <v>33160227</v>
          </cell>
          <cell r="B220" t="str">
            <v>RIGOBERTO DUARTE</v>
          </cell>
          <cell r="C220">
            <v>124.32</v>
          </cell>
        </row>
        <row r="221">
          <cell r="A221" t="str">
            <v>33160251</v>
          </cell>
          <cell r="B221" t="str">
            <v>MARCO TULIO AGUILAR</v>
          </cell>
          <cell r="C221">
            <v>558</v>
          </cell>
        </row>
        <row r="222">
          <cell r="A222" t="str">
            <v>33160258</v>
          </cell>
          <cell r="B222" t="str">
            <v>INMOBILIARIA  BAC, S. A.</v>
          </cell>
          <cell r="C222">
            <v>16927.04</v>
          </cell>
        </row>
        <row r="223">
          <cell r="A223" t="str">
            <v>33160276</v>
          </cell>
          <cell r="B223" t="str">
            <v>MODULEX, S. A.</v>
          </cell>
          <cell r="C223">
            <v>0</v>
          </cell>
        </row>
        <row r="224">
          <cell r="A224" t="str">
            <v>33160281</v>
          </cell>
          <cell r="B224" t="str">
            <v>TECUN, S.A.</v>
          </cell>
          <cell r="C224">
            <v>27</v>
          </cell>
        </row>
        <row r="225">
          <cell r="A225" t="str">
            <v>33160282</v>
          </cell>
          <cell r="B225" t="str">
            <v>VIDRIERIA VENECIA</v>
          </cell>
          <cell r="C225">
            <v>81684.259999999995</v>
          </cell>
        </row>
        <row r="226">
          <cell r="A226" t="str">
            <v>33170001</v>
          </cell>
          <cell r="B226" t="str">
            <v>CUOTA LABORAL I.G.S.S.</v>
          </cell>
          <cell r="C226">
            <v>16771.66</v>
          </cell>
        </row>
        <row r="227">
          <cell r="A227" t="str">
            <v>33170002</v>
          </cell>
          <cell r="B227" t="str">
            <v>CUOTA PATRONAL IGSS</v>
          </cell>
          <cell r="C227">
            <v>21701.91</v>
          </cell>
        </row>
        <row r="228">
          <cell r="A228" t="str">
            <v>33170003</v>
          </cell>
          <cell r="B228" t="str">
            <v>IVA RETENIDO FACTURAS ESPECIALES</v>
          </cell>
          <cell r="C228">
            <v>6046.06</v>
          </cell>
        </row>
        <row r="229">
          <cell r="A229" t="str">
            <v>33170004</v>
          </cell>
          <cell r="B229" t="str">
            <v>RETENCIONES MENSUALES DEL I.S.R.</v>
          </cell>
          <cell r="C229">
            <v>39357.47</v>
          </cell>
        </row>
        <row r="230">
          <cell r="A230" t="str">
            <v>33180001</v>
          </cell>
          <cell r="B230" t="str">
            <v>E.E.G.S.A.  ALDAN, S.A.</v>
          </cell>
          <cell r="C230">
            <v>120000</v>
          </cell>
        </row>
        <row r="231">
          <cell r="A231" t="str">
            <v>33180002</v>
          </cell>
          <cell r="B231" t="str">
            <v>E.E.G.S.A.</v>
          </cell>
          <cell r="C231">
            <v>41500</v>
          </cell>
        </row>
        <row r="232">
          <cell r="A232" t="str">
            <v>33180004</v>
          </cell>
          <cell r="B232" t="str">
            <v>TELGUA</v>
          </cell>
          <cell r="C232">
            <v>17000</v>
          </cell>
        </row>
        <row r="233">
          <cell r="A233" t="str">
            <v>33180006</v>
          </cell>
          <cell r="B233" t="str">
            <v>LA SEGURIDAD DE C.A.</v>
          </cell>
          <cell r="C233">
            <v>130788.06</v>
          </cell>
        </row>
        <row r="234">
          <cell r="A234" t="str">
            <v>33180007</v>
          </cell>
          <cell r="B234" t="str">
            <v>CORDON PARRA y CIA. LTDA.</v>
          </cell>
          <cell r="C234">
            <v>17520</v>
          </cell>
        </row>
        <row r="235">
          <cell r="A235" t="str">
            <v>33180008</v>
          </cell>
          <cell r="B235" t="str">
            <v>FESTEJOS NAVIDEÑOS</v>
          </cell>
          <cell r="C235">
            <v>0</v>
          </cell>
        </row>
        <row r="236">
          <cell r="A236" t="str">
            <v>33180010</v>
          </cell>
          <cell r="B236" t="str">
            <v>CAJAS CHICAS POR PAGAR</v>
          </cell>
          <cell r="C236">
            <v>626.35</v>
          </cell>
        </row>
        <row r="237">
          <cell r="A237" t="str">
            <v>33180011</v>
          </cell>
          <cell r="B237" t="str">
            <v>DIETAS SR. RICARDO POMA</v>
          </cell>
          <cell r="C237">
            <v>171600</v>
          </cell>
        </row>
        <row r="238">
          <cell r="A238" t="str">
            <v>33180012</v>
          </cell>
          <cell r="B238" t="str">
            <v>DIVIDENDOS POR PAGAR</v>
          </cell>
          <cell r="C238">
            <v>680000</v>
          </cell>
        </row>
        <row r="239">
          <cell r="A239" t="str">
            <v>33180013</v>
          </cell>
          <cell r="B239" t="str">
            <v>MUNICIPALIDAD DE AMATITLAN (AGUA)</v>
          </cell>
          <cell r="C239">
            <v>100</v>
          </cell>
        </row>
        <row r="240">
          <cell r="A240" t="str">
            <v>33180016</v>
          </cell>
          <cell r="B240" t="str">
            <v>SUELDOS POR PAGAR</v>
          </cell>
          <cell r="C240">
            <v>0</v>
          </cell>
        </row>
        <row r="241">
          <cell r="A241" t="str">
            <v>33180017</v>
          </cell>
          <cell r="B241" t="str">
            <v>ASEGURADORA GENERAL</v>
          </cell>
          <cell r="C241">
            <v>6328.58</v>
          </cell>
        </row>
        <row r="242">
          <cell r="A242" t="str">
            <v>33180100</v>
          </cell>
          <cell r="B242" t="str">
            <v>INTERESES POR PAGAR EN $</v>
          </cell>
          <cell r="C242">
            <v>0</v>
          </cell>
        </row>
        <row r="243">
          <cell r="A243" t="str">
            <v>33180999</v>
          </cell>
          <cell r="B243" t="str">
            <v>DIFERENCIAL CAMBIARIO</v>
          </cell>
          <cell r="C243">
            <v>0</v>
          </cell>
        </row>
        <row r="244">
          <cell r="A244" t="str">
            <v>33220001</v>
          </cell>
          <cell r="B244" t="str">
            <v>IVA DEBITO</v>
          </cell>
          <cell r="C244">
            <v>0</v>
          </cell>
        </row>
        <row r="245">
          <cell r="A245" t="str">
            <v>33320014</v>
          </cell>
          <cell r="B245" t="str">
            <v>EXIMBANK PRESTAMO 8762</v>
          </cell>
          <cell r="C245">
            <v>0</v>
          </cell>
        </row>
        <row r="246">
          <cell r="A246" t="str">
            <v>33320024</v>
          </cell>
          <cell r="B246" t="str">
            <v>LETRA DE CAMBIO BANCO REFORMADOR</v>
          </cell>
          <cell r="C246">
            <v>0</v>
          </cell>
        </row>
        <row r="247">
          <cell r="A247" t="str">
            <v>33320025</v>
          </cell>
          <cell r="B247" t="str">
            <v>CITIBANK</v>
          </cell>
          <cell r="C247">
            <v>0</v>
          </cell>
        </row>
        <row r="248">
          <cell r="A248" t="str">
            <v>33320999</v>
          </cell>
          <cell r="B248" t="str">
            <v>DIF.CAMBIARIO PRESTAMOS BANCARIOS</v>
          </cell>
          <cell r="C248">
            <v>0</v>
          </cell>
        </row>
        <row r="249">
          <cell r="A249" t="str">
            <v>44110010</v>
          </cell>
          <cell r="B249" t="str">
            <v>CAPITAL AUTORIZADO, SUSCRITO Y PAGADO</v>
          </cell>
          <cell r="C249">
            <v>42420000</v>
          </cell>
        </row>
        <row r="250">
          <cell r="A250" t="str">
            <v>44210001</v>
          </cell>
          <cell r="B250" t="str">
            <v>RESERVA LEGAL</v>
          </cell>
          <cell r="C250">
            <v>242140.88</v>
          </cell>
        </row>
        <row r="251">
          <cell r="A251" t="str">
            <v>44310001</v>
          </cell>
          <cell r="B251" t="str">
            <v>UTILIDADES DEL EJERCICIO</v>
          </cell>
          <cell r="C251">
            <v>937614.37</v>
          </cell>
        </row>
        <row r="252">
          <cell r="A252" t="str">
            <v>44310002</v>
          </cell>
          <cell r="B252" t="str">
            <v>UTILIDADES RETENIDAS</v>
          </cell>
          <cell r="C252">
            <v>-3722875.62</v>
          </cell>
        </row>
        <row r="253">
          <cell r="A253" t="str">
            <v>44310005</v>
          </cell>
          <cell r="B253" t="str">
            <v>UTILIDADES DEL EJERCICIO 1999</v>
          </cell>
          <cell r="C253">
            <v>712228.17</v>
          </cell>
        </row>
        <row r="254">
          <cell r="A254" t="str">
            <v>44310006</v>
          </cell>
          <cell r="B254" t="str">
            <v>UTILIDADES DEL EJERCICIO 2000</v>
          </cell>
          <cell r="C254">
            <v>275294.42</v>
          </cell>
        </row>
        <row r="255">
          <cell r="A255" t="str">
            <v>44310007</v>
          </cell>
          <cell r="B255" t="str">
            <v>UTILIDADES DEL  EJERCICIO 2001</v>
          </cell>
          <cell r="C255">
            <v>-8795040.2699999996</v>
          </cell>
        </row>
        <row r="256">
          <cell r="A256" t="str">
            <v>55110001</v>
          </cell>
          <cell r="B256" t="str">
            <v>VTAS. CTES. LOCALES MILL FINISH</v>
          </cell>
          <cell r="C256">
            <v>4357054.1399999997</v>
          </cell>
        </row>
        <row r="257">
          <cell r="A257" t="str">
            <v>55110002</v>
          </cell>
          <cell r="B257" t="str">
            <v>VTAS. CTES. LOCALES CIELO FALSO</v>
          </cell>
          <cell r="C257">
            <v>1234585.1399999999</v>
          </cell>
        </row>
        <row r="258">
          <cell r="A258" t="str">
            <v>55110003</v>
          </cell>
          <cell r="B258" t="str">
            <v>VTAS. CTES. LOCALES PERFILES ANODIZADO</v>
          </cell>
          <cell r="C258">
            <v>1481969.04</v>
          </cell>
        </row>
        <row r="259">
          <cell r="A259" t="str">
            <v>55110004</v>
          </cell>
          <cell r="B259" t="str">
            <v>VTAS. CTES. LOCALES PERFILES PINTADOS</v>
          </cell>
          <cell r="C259">
            <v>58773.11</v>
          </cell>
        </row>
        <row r="260">
          <cell r="A260" t="str">
            <v>55110005</v>
          </cell>
          <cell r="B260" t="str">
            <v>VTAS. CTES. LOCALES SERVICIO ANODIZADO</v>
          </cell>
          <cell r="C260">
            <v>243066.49</v>
          </cell>
        </row>
        <row r="261">
          <cell r="A261" t="str">
            <v>55110010</v>
          </cell>
          <cell r="B261" t="str">
            <v>VTAS. CTES. LOCALES OTROS</v>
          </cell>
          <cell r="C261">
            <v>17299.38</v>
          </cell>
        </row>
        <row r="262">
          <cell r="A262" t="str">
            <v>55110017</v>
          </cell>
          <cell r="B262" t="str">
            <v>VTAS. CTES. LOCALES SERVICIO PINTADO</v>
          </cell>
          <cell r="C262">
            <v>8346.8799999999992</v>
          </cell>
        </row>
        <row r="263">
          <cell r="A263" t="str">
            <v>55110018</v>
          </cell>
          <cell r="B263" t="str">
            <v>VENTA DE ACTIVOS FIJOS CORINSA</v>
          </cell>
          <cell r="C263">
            <v>2863482.15</v>
          </cell>
        </row>
        <row r="264">
          <cell r="A264" t="str">
            <v>55120001</v>
          </cell>
          <cell r="B264" t="str">
            <v>VTAS. SOLAIRE DE GUAT. MILL FINISH</v>
          </cell>
          <cell r="C264">
            <v>4809188.82</v>
          </cell>
        </row>
        <row r="265">
          <cell r="A265" t="str">
            <v>55120002</v>
          </cell>
          <cell r="B265" t="str">
            <v>VTAS. SOLAIRE DE GUAT. CIELO FALSO</v>
          </cell>
          <cell r="C265">
            <v>614390.71</v>
          </cell>
        </row>
        <row r="266">
          <cell r="A266" t="str">
            <v>55120003</v>
          </cell>
          <cell r="B266" t="str">
            <v>VTAS. SOLAIRE DE GUAT. PERFILES ANODIZAD</v>
          </cell>
          <cell r="C266">
            <v>1311127.83</v>
          </cell>
        </row>
        <row r="267">
          <cell r="A267" t="str">
            <v>55120004</v>
          </cell>
          <cell r="B267" t="str">
            <v>VTAS. SOLAIRE DE GUAT. PERFILES PINTADO</v>
          </cell>
          <cell r="C267">
            <v>430617.98</v>
          </cell>
        </row>
        <row r="268">
          <cell r="A268" t="str">
            <v>55120005</v>
          </cell>
          <cell r="B268" t="str">
            <v>VTAS. SOLAIRE DE GUAT. SERVICIO ANODIZAD</v>
          </cell>
          <cell r="C268">
            <v>219018.1</v>
          </cell>
        </row>
        <row r="269">
          <cell r="A269" t="str">
            <v>55120006</v>
          </cell>
          <cell r="B269" t="str">
            <v>VTAS. SOLAIRE DE GUAT. PRODUCTO TERM.</v>
          </cell>
          <cell r="C269">
            <v>-38697.08</v>
          </cell>
        </row>
        <row r="270">
          <cell r="A270" t="str">
            <v>55120008</v>
          </cell>
          <cell r="B270" t="str">
            <v>VTAS. SOLAIRE DE GUAT. SERVICIO DE PINTA</v>
          </cell>
          <cell r="C270">
            <v>76521.539999999994</v>
          </cell>
        </row>
        <row r="271">
          <cell r="A271" t="str">
            <v>55120010</v>
          </cell>
          <cell r="B271" t="str">
            <v>VTAS. SOLAIRE DE GUAT. OTROS</v>
          </cell>
          <cell r="C271">
            <v>49126.32</v>
          </cell>
        </row>
        <row r="272">
          <cell r="A272" t="str">
            <v>55130001</v>
          </cell>
          <cell r="B272" t="str">
            <v>VTAS. CTES. DEL EXT. MILL FINISH</v>
          </cell>
          <cell r="C272">
            <v>1733677.54</v>
          </cell>
        </row>
        <row r="273">
          <cell r="A273" t="str">
            <v>55130002</v>
          </cell>
          <cell r="B273" t="str">
            <v>VTAS. CTES. DEL EXT. CIELO FALSO</v>
          </cell>
          <cell r="C273">
            <v>3442673.87</v>
          </cell>
        </row>
        <row r="274">
          <cell r="A274" t="str">
            <v>55130003</v>
          </cell>
          <cell r="B274" t="str">
            <v>VTAS. CTES. DEL EXT. PERFILES ANODIZADOS</v>
          </cell>
          <cell r="C274">
            <v>1021495.88</v>
          </cell>
        </row>
        <row r="275">
          <cell r="A275" t="str">
            <v>55130004</v>
          </cell>
          <cell r="B275" t="str">
            <v>VTAS. CTES. DEL EXT. PERFILES PINTADOS</v>
          </cell>
          <cell r="C275">
            <v>1388186.72</v>
          </cell>
        </row>
        <row r="276">
          <cell r="A276" t="str">
            <v>55140001</v>
          </cell>
          <cell r="B276" t="str">
            <v>VTAS. SOLAIRE DE C.V. MILL FINISH</v>
          </cell>
          <cell r="C276">
            <v>3719535.72</v>
          </cell>
        </row>
        <row r="277">
          <cell r="A277" t="str">
            <v>55140002</v>
          </cell>
          <cell r="B277" t="str">
            <v>VTAS. SOLAIRE DE C.V. CIELO FALSO</v>
          </cell>
          <cell r="C277">
            <v>1107696.5</v>
          </cell>
        </row>
        <row r="278">
          <cell r="A278" t="str">
            <v>55140003</v>
          </cell>
          <cell r="B278" t="str">
            <v>VTAS. SOLAIRE DE C.V. PERFILES ANODIZADO</v>
          </cell>
          <cell r="C278">
            <v>2271948.4</v>
          </cell>
        </row>
        <row r="279">
          <cell r="A279" t="str">
            <v>55140004</v>
          </cell>
          <cell r="B279" t="str">
            <v>VTAS. SOLAIRE DE C.V. PERFILES PINTADOS</v>
          </cell>
          <cell r="C279">
            <v>3569540.51</v>
          </cell>
        </row>
        <row r="280">
          <cell r="A280" t="str">
            <v>55140005</v>
          </cell>
          <cell r="B280" t="str">
            <v>VTAS. SOLAIRE DE C.V. SERVICIO ANODIZADO</v>
          </cell>
          <cell r="C280">
            <v>3784</v>
          </cell>
        </row>
        <row r="281">
          <cell r="A281" t="str">
            <v>55140006</v>
          </cell>
          <cell r="B281" t="str">
            <v>VTAS. SOLAIRE DE C.V. PRODUCTO TERM.</v>
          </cell>
          <cell r="C281">
            <v>49115.519999999997</v>
          </cell>
        </row>
        <row r="282">
          <cell r="A282" t="str">
            <v>55140008</v>
          </cell>
          <cell r="B282" t="str">
            <v>VTAS. SOLAIRE DE C.V. SERVICIO PINTURA</v>
          </cell>
          <cell r="C282">
            <v>4133.03</v>
          </cell>
        </row>
        <row r="283">
          <cell r="A283" t="str">
            <v>55140009</v>
          </cell>
          <cell r="B283" t="str">
            <v>VTAS. UNIMETAL S.A. DE C.V. MILL FINISH</v>
          </cell>
          <cell r="C283">
            <v>23641.86</v>
          </cell>
        </row>
        <row r="284">
          <cell r="A284" t="str">
            <v>55140011</v>
          </cell>
          <cell r="B284" t="str">
            <v>VTAS. HONDURAS MILL FINISH</v>
          </cell>
          <cell r="C284">
            <v>59959.14</v>
          </cell>
        </row>
        <row r="285">
          <cell r="A285" t="str">
            <v>55140013</v>
          </cell>
          <cell r="B285" t="str">
            <v>VTAS. HONDURAS PERFILES ANODIZADOS</v>
          </cell>
          <cell r="C285">
            <v>65077.01</v>
          </cell>
        </row>
        <row r="286">
          <cell r="A286" t="str">
            <v>55140021</v>
          </cell>
          <cell r="B286" t="str">
            <v>VTAS. NICARAGUA MILL FINISH</v>
          </cell>
          <cell r="C286">
            <v>98639.58</v>
          </cell>
        </row>
        <row r="287">
          <cell r="A287" t="str">
            <v>55140022</v>
          </cell>
          <cell r="B287" t="str">
            <v>VTAS. NICARAGUA CIELO FALSO</v>
          </cell>
          <cell r="C287">
            <v>78356.84</v>
          </cell>
        </row>
        <row r="288">
          <cell r="A288" t="str">
            <v>55140031</v>
          </cell>
          <cell r="B288" t="str">
            <v>VTAS. COSTA RICA MILL FINISH</v>
          </cell>
          <cell r="C288">
            <v>175128.86</v>
          </cell>
        </row>
        <row r="289">
          <cell r="A289" t="str">
            <v>55140033</v>
          </cell>
          <cell r="B289" t="str">
            <v>VTAS. COSTA RICA PERFILES ANODIZADOS</v>
          </cell>
          <cell r="C289">
            <v>18290.8</v>
          </cell>
        </row>
        <row r="290">
          <cell r="A290" t="str">
            <v>55140037</v>
          </cell>
          <cell r="B290" t="str">
            <v>VTAS. COSTA RICA SERVICIO DE PINTURA</v>
          </cell>
          <cell r="C290">
            <v>42086.93</v>
          </cell>
        </row>
        <row r="291">
          <cell r="A291" t="str">
            <v>55150001</v>
          </cell>
          <cell r="B291" t="str">
            <v>VTAS. EXPORT NATIONAL MILL FINISH</v>
          </cell>
          <cell r="C291">
            <v>547176.25</v>
          </cell>
        </row>
        <row r="292">
          <cell r="A292" t="str">
            <v>55150003</v>
          </cell>
          <cell r="B292" t="str">
            <v>VTAS. EXPORT NATIONAL PERFILES ANODIZADO</v>
          </cell>
          <cell r="C292">
            <v>260687.44</v>
          </cell>
        </row>
        <row r="293">
          <cell r="A293" t="str">
            <v>55150004</v>
          </cell>
          <cell r="B293" t="str">
            <v>VTAS. EXPORT NATIONAL PERFILES PINTADOS</v>
          </cell>
          <cell r="C293">
            <v>5695974.4500000002</v>
          </cell>
        </row>
        <row r="294">
          <cell r="A294" t="str">
            <v>55210002</v>
          </cell>
          <cell r="B294" t="str">
            <v>ESPECIALES</v>
          </cell>
          <cell r="C294">
            <v>4723763.1100000003</v>
          </cell>
        </row>
        <row r="295">
          <cell r="A295" t="str">
            <v>55650017</v>
          </cell>
          <cell r="B295" t="str">
            <v>INGRESOS VARIOS</v>
          </cell>
          <cell r="C295">
            <v>0</v>
          </cell>
        </row>
        <row r="296">
          <cell r="A296" t="str">
            <v>55650100</v>
          </cell>
          <cell r="B296" t="str">
            <v>FLETES</v>
          </cell>
          <cell r="C296">
            <v>81216.08</v>
          </cell>
        </row>
        <row r="297">
          <cell r="A297" t="str">
            <v>55650101</v>
          </cell>
          <cell r="B297" t="str">
            <v>SEGUROS</v>
          </cell>
          <cell r="C297">
            <v>4152</v>
          </cell>
        </row>
        <row r="298">
          <cell r="A298" t="str">
            <v>55650110</v>
          </cell>
          <cell r="B298" t="str">
            <v>VENTAS OTROS</v>
          </cell>
          <cell r="C298">
            <v>74654.960000000006</v>
          </cell>
        </row>
        <row r="299">
          <cell r="A299" t="str">
            <v>66110003</v>
          </cell>
          <cell r="B299" t="str">
            <v>COSTO DE VENTAS ANODIZADO</v>
          </cell>
          <cell r="C299">
            <v>83118.350000000006</v>
          </cell>
        </row>
        <row r="300">
          <cell r="A300" t="str">
            <v>66110005</v>
          </cell>
          <cell r="B300" t="str">
            <v>COSTO DE VENTAS SERVICIO ANODIZADO</v>
          </cell>
          <cell r="C300">
            <v>4457089.5999999996</v>
          </cell>
        </row>
        <row r="301">
          <cell r="A301" t="str">
            <v>66110006</v>
          </cell>
          <cell r="B301" t="str">
            <v>COSTO DE VENTAS PRODUCTO TERMINADO</v>
          </cell>
          <cell r="C301">
            <v>29320.33</v>
          </cell>
        </row>
        <row r="302">
          <cell r="A302" t="str">
            <v>66110007</v>
          </cell>
          <cell r="B302" t="str">
            <v>COSTO DE VENTAS OTROS</v>
          </cell>
          <cell r="C302">
            <v>148282.47</v>
          </cell>
        </row>
        <row r="303">
          <cell r="A303" t="str">
            <v>66110009</v>
          </cell>
          <cell r="B303" t="str">
            <v>COSTO DE VENTAS ALUM. PINTADO</v>
          </cell>
          <cell r="C303">
            <v>8757162.2799999993</v>
          </cell>
        </row>
        <row r="304">
          <cell r="A304" t="str">
            <v>66110010</v>
          </cell>
          <cell r="B304" t="str">
            <v>COSTO DE VENTAS PERFILES</v>
          </cell>
          <cell r="C304">
            <v>20493491.210000001</v>
          </cell>
        </row>
        <row r="305">
          <cell r="A305" t="str">
            <v>66110013</v>
          </cell>
          <cell r="B305" t="str">
            <v>COSTO DE VENTAS ACTIVOS FIJOS</v>
          </cell>
          <cell r="C305">
            <v>4194978.68</v>
          </cell>
        </row>
        <row r="306">
          <cell r="A306" t="str">
            <v>66120001</v>
          </cell>
          <cell r="B306" t="str">
            <v>COSTO VENTAS ESP.  ( Scrap )</v>
          </cell>
          <cell r="C306">
            <v>5857002.0600000005</v>
          </cell>
        </row>
        <row r="307">
          <cell r="A307" t="str">
            <v>66330201</v>
          </cell>
          <cell r="B307" t="str">
            <v>EXTRUSION M.O.  DIRECTA</v>
          </cell>
          <cell r="C307">
            <v>928612.28</v>
          </cell>
        </row>
        <row r="308">
          <cell r="A308" t="str">
            <v>66330202</v>
          </cell>
          <cell r="B308" t="str">
            <v>HORAS EXTRAS</v>
          </cell>
          <cell r="C308">
            <v>509263.81</v>
          </cell>
        </row>
        <row r="309">
          <cell r="A309" t="str">
            <v>66330203</v>
          </cell>
          <cell r="B309" t="str">
            <v>BONIFICACION M. DE O.</v>
          </cell>
          <cell r="C309">
            <v>185067.36</v>
          </cell>
        </row>
        <row r="310">
          <cell r="A310" t="str">
            <v>66330204</v>
          </cell>
          <cell r="B310" t="str">
            <v>M. DE O. EVENTUALES</v>
          </cell>
          <cell r="C310">
            <v>7453.84</v>
          </cell>
        </row>
        <row r="311">
          <cell r="A311" t="str">
            <v>66330207</v>
          </cell>
          <cell r="B311" t="str">
            <v>VACACIONES EXTRUSION</v>
          </cell>
          <cell r="C311">
            <v>67274.429999999993</v>
          </cell>
        </row>
        <row r="312">
          <cell r="A312" t="str">
            <v>66330208</v>
          </cell>
          <cell r="B312" t="str">
            <v>AGUINALDO</v>
          </cell>
          <cell r="C312">
            <v>82782.929999999993</v>
          </cell>
        </row>
        <row r="313">
          <cell r="A313" t="str">
            <v>66330209</v>
          </cell>
          <cell r="B313" t="str">
            <v>BONO VACACIONAL</v>
          </cell>
          <cell r="C313">
            <v>65428.85</v>
          </cell>
        </row>
        <row r="314">
          <cell r="A314" t="str">
            <v>66330210</v>
          </cell>
          <cell r="B314" t="str">
            <v>CUOTA PATRONAL IGSS</v>
          </cell>
          <cell r="C314">
            <v>193806.04</v>
          </cell>
        </row>
        <row r="315">
          <cell r="A315" t="str">
            <v>66330211</v>
          </cell>
          <cell r="B315" t="str">
            <v>INDEMNIZACION</v>
          </cell>
          <cell r="C315">
            <v>124586.22</v>
          </cell>
        </row>
        <row r="316">
          <cell r="A316" t="str">
            <v>66330212</v>
          </cell>
          <cell r="B316" t="str">
            <v>BONO 14</v>
          </cell>
          <cell r="C316">
            <v>75517.88</v>
          </cell>
        </row>
        <row r="317">
          <cell r="A317" t="str">
            <v>66330302</v>
          </cell>
          <cell r="B317" t="str">
            <v>HORAS EXTRAS</v>
          </cell>
          <cell r="C317">
            <v>690</v>
          </cell>
        </row>
        <row r="318">
          <cell r="A318" t="str">
            <v>66330313</v>
          </cell>
          <cell r="B318" t="str">
            <v>CAPACITACION TECNICA</v>
          </cell>
          <cell r="C318">
            <v>26012.81</v>
          </cell>
        </row>
        <row r="319">
          <cell r="A319" t="str">
            <v>66330314</v>
          </cell>
          <cell r="B319" t="str">
            <v>ATENCIONES AL PERSONAL</v>
          </cell>
          <cell r="C319">
            <v>13529.19</v>
          </cell>
        </row>
        <row r="320">
          <cell r="A320" t="str">
            <v>66330315</v>
          </cell>
          <cell r="B320" t="str">
            <v>FESTEJOS NAVIDEÑOS</v>
          </cell>
          <cell r="C320">
            <v>4812.5</v>
          </cell>
        </row>
        <row r="321">
          <cell r="A321" t="str">
            <v>66330316</v>
          </cell>
          <cell r="B321" t="str">
            <v>UNIFORMES Y GUANTES</v>
          </cell>
          <cell r="C321">
            <v>40642.89</v>
          </cell>
        </row>
        <row r="322">
          <cell r="A322" t="str">
            <v>66330317</v>
          </cell>
          <cell r="B322" t="str">
            <v>GASTOS DE TRANSPORTE</v>
          </cell>
          <cell r="C322">
            <v>803.71</v>
          </cell>
        </row>
        <row r="323">
          <cell r="A323" t="str">
            <v>66330319</v>
          </cell>
          <cell r="B323" t="str">
            <v>SEGUROS</v>
          </cell>
          <cell r="C323">
            <v>324140.75</v>
          </cell>
        </row>
        <row r="324">
          <cell r="A324" t="str">
            <v>66330320</v>
          </cell>
          <cell r="B324" t="str">
            <v>COMUNICACIONES Y CORREO</v>
          </cell>
          <cell r="C324">
            <v>204.43</v>
          </cell>
        </row>
        <row r="325">
          <cell r="A325" t="str">
            <v>66330321</v>
          </cell>
          <cell r="B325" t="str">
            <v>VIATICOS Y GTOS. DE VIAJE</v>
          </cell>
          <cell r="C325">
            <v>213.22</v>
          </cell>
        </row>
        <row r="326">
          <cell r="A326" t="str">
            <v>66330322</v>
          </cell>
          <cell r="B326" t="str">
            <v>ENERGIA ELECTRICA</v>
          </cell>
          <cell r="C326">
            <v>1876041.1</v>
          </cell>
        </row>
        <row r="327">
          <cell r="A327" t="str">
            <v>66330324</v>
          </cell>
          <cell r="B327" t="str">
            <v>PAPELERIA Y UTILES</v>
          </cell>
          <cell r="C327">
            <v>3652.68</v>
          </cell>
        </row>
        <row r="328">
          <cell r="A328" t="str">
            <v>66330325</v>
          </cell>
          <cell r="B328" t="str">
            <v>COMBUSTIBLES Y LUBRICANTES</v>
          </cell>
          <cell r="C328">
            <v>577198.27</v>
          </cell>
        </row>
        <row r="329">
          <cell r="A329" t="str">
            <v>66330326</v>
          </cell>
          <cell r="B329" t="str">
            <v>MATERIALES Y UTILES DE ASEO</v>
          </cell>
          <cell r="C329">
            <v>7603.88</v>
          </cell>
        </row>
        <row r="330">
          <cell r="A330" t="str">
            <v>66330327</v>
          </cell>
          <cell r="B330" t="str">
            <v>MANTEN. EDIFICIO E INSTAL.</v>
          </cell>
          <cell r="C330">
            <v>94502.01</v>
          </cell>
        </row>
        <row r="331">
          <cell r="A331" t="str">
            <v>66330329</v>
          </cell>
          <cell r="B331" t="str">
            <v>MANTENIMIENTO MAQ. Y EQUIPO</v>
          </cell>
          <cell r="C331">
            <v>267054.03999999998</v>
          </cell>
        </row>
        <row r="332">
          <cell r="A332" t="str">
            <v>66330330</v>
          </cell>
          <cell r="B332" t="str">
            <v>MANT. MOB. Y EQUIPO</v>
          </cell>
          <cell r="C332">
            <v>1394.2</v>
          </cell>
        </row>
        <row r="333">
          <cell r="A333" t="str">
            <v>66330332</v>
          </cell>
          <cell r="B333" t="str">
            <v>HERRAMIENTAS UTILIZADAS</v>
          </cell>
          <cell r="C333">
            <v>32173.83</v>
          </cell>
        </row>
        <row r="334">
          <cell r="A334" t="str">
            <v>66330333</v>
          </cell>
          <cell r="B334" t="str">
            <v>DEPRECIACION Y AMORT MAQ. Y EQ</v>
          </cell>
          <cell r="C334">
            <v>563908.85</v>
          </cell>
        </row>
        <row r="335">
          <cell r="A335" t="str">
            <v>66330334</v>
          </cell>
          <cell r="B335" t="str">
            <v>DEP. MAQUINARIA Y EQ. R.L. BEST.</v>
          </cell>
          <cell r="C335">
            <v>2060896.2</v>
          </cell>
        </row>
        <row r="336">
          <cell r="A336" t="str">
            <v>66330336</v>
          </cell>
          <cell r="B336" t="str">
            <v>DEPRECIACION EDIFICIO E INST.</v>
          </cell>
          <cell r="C336">
            <v>27168.47</v>
          </cell>
        </row>
        <row r="337">
          <cell r="A337" t="str">
            <v>66330337</v>
          </cell>
          <cell r="B337" t="str">
            <v>ALQUILERES</v>
          </cell>
          <cell r="C337">
            <v>194057.16</v>
          </cell>
        </row>
        <row r="338">
          <cell r="A338" t="str">
            <v>66330338</v>
          </cell>
          <cell r="B338" t="str">
            <v>DEPRECIACION MOB. FABRICA</v>
          </cell>
          <cell r="C338">
            <v>7197.93</v>
          </cell>
        </row>
        <row r="339">
          <cell r="A339" t="str">
            <v>66330339</v>
          </cell>
          <cell r="B339" t="str">
            <v>DEP. EDIFICIO MAQUINA R.L. BEST.</v>
          </cell>
          <cell r="C339">
            <v>198659.16</v>
          </cell>
        </row>
        <row r="340">
          <cell r="A340" t="str">
            <v>66330341</v>
          </cell>
          <cell r="B340" t="str">
            <v>IMPUESTOS FISCALES Y MINICIP.</v>
          </cell>
          <cell r="C340">
            <v>54340.65</v>
          </cell>
        </row>
        <row r="341">
          <cell r="A341" t="str">
            <v>66330342</v>
          </cell>
          <cell r="B341" t="str">
            <v>ALINES CONSUMIDOS</v>
          </cell>
          <cell r="C341">
            <v>96638.19</v>
          </cell>
        </row>
        <row r="342">
          <cell r="A342" t="str">
            <v>66330351</v>
          </cell>
          <cell r="B342" t="str">
            <v>MATERIAL Y SUMINISTROS</v>
          </cell>
          <cell r="C342">
            <v>96153.44</v>
          </cell>
        </row>
        <row r="343">
          <cell r="A343" t="str">
            <v>66330352</v>
          </cell>
          <cell r="B343" t="str">
            <v>FLETES, ACARREOS Y PARQUEOS</v>
          </cell>
          <cell r="C343">
            <v>7791.2</v>
          </cell>
        </row>
        <row r="344">
          <cell r="A344" t="str">
            <v>66330362</v>
          </cell>
          <cell r="B344" t="str">
            <v>GASTOS VARIOS</v>
          </cell>
          <cell r="C344">
            <v>1655.6</v>
          </cell>
        </row>
        <row r="345">
          <cell r="A345" t="str">
            <v>66330399</v>
          </cell>
          <cell r="B345" t="str">
            <v>GASTOS AL COSTO</v>
          </cell>
          <cell r="C345">
            <v>-8818930</v>
          </cell>
        </row>
        <row r="346">
          <cell r="A346" t="str">
            <v>66330602</v>
          </cell>
          <cell r="B346" t="str">
            <v>AGUINALDO</v>
          </cell>
          <cell r="C346">
            <v>3166.28</v>
          </cell>
        </row>
        <row r="347">
          <cell r="A347" t="str">
            <v>66330603</v>
          </cell>
          <cell r="B347" t="str">
            <v>HORNO DE FUNDICION</v>
          </cell>
          <cell r="C347">
            <v>37482.36</v>
          </cell>
        </row>
        <row r="348">
          <cell r="A348" t="str">
            <v>66330604</v>
          </cell>
          <cell r="B348" t="str">
            <v>HORAS EXTRAS HORNO</v>
          </cell>
          <cell r="C348">
            <v>30689.31</v>
          </cell>
        </row>
        <row r="349">
          <cell r="A349" t="str">
            <v>66330605</v>
          </cell>
          <cell r="B349" t="str">
            <v>VACACIONES</v>
          </cell>
          <cell r="C349">
            <v>2134.9899999999998</v>
          </cell>
        </row>
        <row r="350">
          <cell r="A350" t="str">
            <v>66330606</v>
          </cell>
          <cell r="B350" t="str">
            <v>INDEMNIZACION</v>
          </cell>
          <cell r="C350">
            <v>5603</v>
          </cell>
        </row>
        <row r="351">
          <cell r="A351" t="str">
            <v>66330607</v>
          </cell>
          <cell r="B351" t="str">
            <v>BONO 14</v>
          </cell>
          <cell r="C351">
            <v>2878.44</v>
          </cell>
        </row>
        <row r="352">
          <cell r="A352" t="str">
            <v>66330608</v>
          </cell>
          <cell r="B352" t="str">
            <v>BONIFICACION</v>
          </cell>
          <cell r="C352">
            <v>10012.5</v>
          </cell>
        </row>
        <row r="353">
          <cell r="A353" t="str">
            <v>66330609</v>
          </cell>
          <cell r="B353" t="str">
            <v>BONO VACACIONAL</v>
          </cell>
          <cell r="C353">
            <v>3020.93</v>
          </cell>
        </row>
        <row r="354">
          <cell r="A354" t="str">
            <v>66330610</v>
          </cell>
          <cell r="B354" t="str">
            <v>CUOTA PATRONAL IGSS</v>
          </cell>
          <cell r="C354">
            <v>8715.99</v>
          </cell>
        </row>
        <row r="355">
          <cell r="A355" t="str">
            <v>66330651</v>
          </cell>
          <cell r="B355" t="str">
            <v>MATERIAL Y SUMINISTROS</v>
          </cell>
          <cell r="C355">
            <v>66105.960000000006</v>
          </cell>
        </row>
        <row r="356">
          <cell r="A356" t="str">
            <v>66330699</v>
          </cell>
          <cell r="B356" t="str">
            <v>GASTOS AL HORNO</v>
          </cell>
          <cell r="C356">
            <v>-169809.76</v>
          </cell>
        </row>
        <row r="357">
          <cell r="A357" t="str">
            <v>66350301</v>
          </cell>
          <cell r="B357" t="str">
            <v>SUELDO</v>
          </cell>
          <cell r="C357">
            <v>258312.63</v>
          </cell>
        </row>
        <row r="358">
          <cell r="A358" t="str">
            <v>66350302</v>
          </cell>
          <cell r="B358" t="str">
            <v>HORAS EXTRAS</v>
          </cell>
          <cell r="C358">
            <v>71723.960000000006</v>
          </cell>
        </row>
        <row r="359">
          <cell r="A359" t="str">
            <v>66350304</v>
          </cell>
          <cell r="B359" t="str">
            <v>AGUINALDO</v>
          </cell>
          <cell r="C359">
            <v>23538.21</v>
          </cell>
        </row>
        <row r="360">
          <cell r="A360" t="str">
            <v>66350305</v>
          </cell>
          <cell r="B360" t="str">
            <v>VACACIONES</v>
          </cell>
          <cell r="C360">
            <v>12343.7</v>
          </cell>
        </row>
        <row r="361">
          <cell r="A361" t="str">
            <v>66350306</v>
          </cell>
          <cell r="B361" t="str">
            <v>INDEMNIZACION</v>
          </cell>
          <cell r="C361">
            <v>27217.84</v>
          </cell>
        </row>
        <row r="362">
          <cell r="A362" t="str">
            <v>66350307</v>
          </cell>
          <cell r="B362" t="str">
            <v>BONO 14 DEC. 42-92</v>
          </cell>
          <cell r="C362">
            <v>21398.32</v>
          </cell>
        </row>
        <row r="363">
          <cell r="A363" t="str">
            <v>66350308</v>
          </cell>
          <cell r="B363" t="str">
            <v>BONIFICACION</v>
          </cell>
          <cell r="C363">
            <v>39741.660000000003</v>
          </cell>
        </row>
        <row r="364">
          <cell r="A364" t="str">
            <v>66350309</v>
          </cell>
          <cell r="B364" t="str">
            <v>BONO VACACIONAL</v>
          </cell>
          <cell r="C364">
            <v>15427.94</v>
          </cell>
        </row>
        <row r="365">
          <cell r="A365" t="str">
            <v>66350310</v>
          </cell>
          <cell r="B365" t="str">
            <v>CUOTA PATRONAL IGSS</v>
          </cell>
          <cell r="C365">
            <v>42384.97</v>
          </cell>
        </row>
        <row r="366">
          <cell r="A366" t="str">
            <v>66350312</v>
          </cell>
          <cell r="B366" t="str">
            <v>HONORARIOS PROFESIONALES</v>
          </cell>
          <cell r="C366">
            <v>11802</v>
          </cell>
        </row>
        <row r="367">
          <cell r="A367" t="str">
            <v>66350314</v>
          </cell>
          <cell r="B367" t="str">
            <v>ATENCION AL PERSONAL</v>
          </cell>
          <cell r="C367">
            <v>5015.05</v>
          </cell>
        </row>
        <row r="368">
          <cell r="A368" t="str">
            <v>66350315</v>
          </cell>
          <cell r="B368" t="str">
            <v>FESTEJOS NAVIDEÑOS</v>
          </cell>
          <cell r="C368">
            <v>3500</v>
          </cell>
        </row>
        <row r="369">
          <cell r="A369" t="str">
            <v>66350316</v>
          </cell>
          <cell r="B369" t="str">
            <v>UNIFORME Y GUANTES</v>
          </cell>
          <cell r="C369">
            <v>910.71</v>
          </cell>
        </row>
        <row r="370">
          <cell r="A370" t="str">
            <v>66350317</v>
          </cell>
          <cell r="B370" t="str">
            <v>GTOS. DE TRANSPORTE</v>
          </cell>
          <cell r="C370">
            <v>1018.86</v>
          </cell>
        </row>
        <row r="371">
          <cell r="A371" t="str">
            <v>66350319</v>
          </cell>
          <cell r="B371" t="str">
            <v>SEGUROS</v>
          </cell>
          <cell r="C371">
            <v>11160.75</v>
          </cell>
        </row>
        <row r="372">
          <cell r="A372" t="str">
            <v>66350320</v>
          </cell>
          <cell r="B372" t="str">
            <v>COMUNICACION Y CORREO</v>
          </cell>
          <cell r="C372">
            <v>17820.54</v>
          </cell>
        </row>
        <row r="373">
          <cell r="A373" t="str">
            <v>66350322</v>
          </cell>
          <cell r="B373" t="str">
            <v>ENERGIA ELECTRICA</v>
          </cell>
          <cell r="C373">
            <v>270454.21999999997</v>
          </cell>
        </row>
        <row r="374">
          <cell r="A374" t="str">
            <v>66350323</v>
          </cell>
          <cell r="B374" t="str">
            <v>AGUA POTABLE</v>
          </cell>
          <cell r="C374">
            <v>75580.37</v>
          </cell>
        </row>
        <row r="375">
          <cell r="A375" t="str">
            <v>66350324</v>
          </cell>
          <cell r="B375" t="str">
            <v>PAPELERIA Y UTILES</v>
          </cell>
          <cell r="C375">
            <v>5066.28</v>
          </cell>
        </row>
        <row r="376">
          <cell r="A376" t="str">
            <v>66350325</v>
          </cell>
          <cell r="B376" t="str">
            <v>COMBUSTIBLE Y LUBRICANTES</v>
          </cell>
          <cell r="C376">
            <v>67353.850000000006</v>
          </cell>
        </row>
        <row r="377">
          <cell r="A377" t="str">
            <v>66350326</v>
          </cell>
          <cell r="B377" t="str">
            <v>MATERIAL Y UTILES DE ASEO</v>
          </cell>
          <cell r="C377">
            <v>1398.67</v>
          </cell>
        </row>
        <row r="378">
          <cell r="A378" t="str">
            <v>66350327</v>
          </cell>
          <cell r="B378" t="str">
            <v>MANT. EDIFICIO e INSTALACION</v>
          </cell>
          <cell r="C378">
            <v>3731.51</v>
          </cell>
        </row>
        <row r="379">
          <cell r="A379" t="str">
            <v>66350329</v>
          </cell>
          <cell r="B379" t="str">
            <v>MANT. MAQUINARIA Y EQUIPO</v>
          </cell>
          <cell r="C379">
            <v>44489.54</v>
          </cell>
        </row>
        <row r="380">
          <cell r="A380" t="str">
            <v>66350332</v>
          </cell>
          <cell r="B380" t="str">
            <v>HERRAMIENTA UTILIZADA</v>
          </cell>
          <cell r="C380">
            <v>1968.73</v>
          </cell>
        </row>
        <row r="381">
          <cell r="A381" t="str">
            <v>66350337</v>
          </cell>
          <cell r="B381" t="str">
            <v>ALQUILER</v>
          </cell>
          <cell r="C381">
            <v>992740.61</v>
          </cell>
        </row>
        <row r="382">
          <cell r="A382" t="str">
            <v>66350341</v>
          </cell>
          <cell r="B382" t="str">
            <v>IMPUESTO FISCAL Y MUNICIPAL</v>
          </cell>
          <cell r="C382">
            <v>1365.9</v>
          </cell>
        </row>
        <row r="383">
          <cell r="A383" t="str">
            <v>66350351</v>
          </cell>
          <cell r="B383" t="str">
            <v>MATERIAL Y SUMINISTROS</v>
          </cell>
          <cell r="C383">
            <v>229610.6</v>
          </cell>
        </row>
        <row r="384">
          <cell r="A384" t="str">
            <v>66350352</v>
          </cell>
          <cell r="B384" t="str">
            <v>FLETES, ACARREOS Y PARQUEOS</v>
          </cell>
          <cell r="C384">
            <v>14278.56</v>
          </cell>
        </row>
        <row r="385">
          <cell r="A385" t="str">
            <v>66350356</v>
          </cell>
          <cell r="B385" t="str">
            <v>GTOS. NO DEDUCIBLES</v>
          </cell>
          <cell r="C385">
            <v>25389.119999999999</v>
          </cell>
        </row>
        <row r="386">
          <cell r="A386" t="str">
            <v>66350399</v>
          </cell>
          <cell r="B386" t="str">
            <v>OTROS</v>
          </cell>
          <cell r="C386">
            <v>4586.03</v>
          </cell>
        </row>
        <row r="387">
          <cell r="A387" t="str">
            <v>66360301</v>
          </cell>
          <cell r="B387" t="str">
            <v>SUELDOS</v>
          </cell>
          <cell r="C387">
            <v>192324.39</v>
          </cell>
        </row>
        <row r="388">
          <cell r="A388" t="str">
            <v>66360302</v>
          </cell>
          <cell r="B388" t="str">
            <v>HORAS EXTRAS</v>
          </cell>
          <cell r="C388">
            <v>100246.58</v>
          </cell>
        </row>
        <row r="389">
          <cell r="A389" t="str">
            <v>66360304</v>
          </cell>
          <cell r="B389" t="str">
            <v>AGUINALDOS</v>
          </cell>
          <cell r="C389">
            <v>16931.990000000002</v>
          </cell>
        </row>
        <row r="390">
          <cell r="A390" t="str">
            <v>66360305</v>
          </cell>
          <cell r="B390" t="str">
            <v>VACACIONES</v>
          </cell>
          <cell r="C390">
            <v>10246.98</v>
          </cell>
        </row>
        <row r="391">
          <cell r="A391" t="str">
            <v>66360306</v>
          </cell>
          <cell r="B391" t="str">
            <v>INDEMNIZACIONES</v>
          </cell>
          <cell r="C391">
            <v>25976.84</v>
          </cell>
        </row>
        <row r="392">
          <cell r="A392" t="str">
            <v>66360307</v>
          </cell>
          <cell r="B392" t="str">
            <v>BONO 14 DECRETO 42-92</v>
          </cell>
          <cell r="C392">
            <v>15880.03</v>
          </cell>
        </row>
        <row r="393">
          <cell r="A393" t="str">
            <v>66360308</v>
          </cell>
          <cell r="B393" t="str">
            <v>BONIFICACION</v>
          </cell>
          <cell r="C393">
            <v>33631.94</v>
          </cell>
        </row>
        <row r="394">
          <cell r="A394" t="str">
            <v>66360309</v>
          </cell>
          <cell r="B394" t="str">
            <v>BONO VACACIONAL</v>
          </cell>
          <cell r="C394">
            <v>13502.45</v>
          </cell>
        </row>
        <row r="395">
          <cell r="A395" t="str">
            <v>66360310</v>
          </cell>
          <cell r="B395" t="str">
            <v>CUOTA PATRONAL IGSS</v>
          </cell>
          <cell r="C395">
            <v>38814.129999999997</v>
          </cell>
        </row>
        <row r="396">
          <cell r="A396" t="str">
            <v>66360314</v>
          </cell>
          <cell r="B396" t="str">
            <v>ATENCIONES AL PERSONAL</v>
          </cell>
          <cell r="C396">
            <v>2263.35</v>
          </cell>
        </row>
        <row r="397">
          <cell r="A397" t="str">
            <v>66360315</v>
          </cell>
          <cell r="B397" t="str">
            <v>FESTEJOS NAVIDEÑOS</v>
          </cell>
          <cell r="C397">
            <v>3937.5</v>
          </cell>
        </row>
        <row r="398">
          <cell r="A398" t="str">
            <v>66360316</v>
          </cell>
          <cell r="B398" t="str">
            <v>UNIFORMES Y GUANTES</v>
          </cell>
          <cell r="C398">
            <v>473.12</v>
          </cell>
        </row>
        <row r="399">
          <cell r="A399" t="str">
            <v>66360317</v>
          </cell>
          <cell r="B399" t="str">
            <v>GASTOS DE TRANSPORTE</v>
          </cell>
          <cell r="C399">
            <v>458.42</v>
          </cell>
        </row>
        <row r="400">
          <cell r="A400" t="str">
            <v>66360321</v>
          </cell>
          <cell r="B400" t="str">
            <v>VIATICOS Y GASTOS DE VIAJE</v>
          </cell>
          <cell r="C400">
            <v>2400</v>
          </cell>
        </row>
        <row r="401">
          <cell r="A401" t="str">
            <v>66360325</v>
          </cell>
          <cell r="B401" t="str">
            <v>COMBUSTIBLES Y LUBRICANTES</v>
          </cell>
          <cell r="C401">
            <v>515767.38</v>
          </cell>
        </row>
        <row r="402">
          <cell r="A402" t="str">
            <v>66360326</v>
          </cell>
          <cell r="B402" t="str">
            <v>MATERIALES Y UTILES DE ASEO</v>
          </cell>
          <cell r="C402">
            <v>288.33</v>
          </cell>
        </row>
        <row r="403">
          <cell r="A403" t="str">
            <v>66360327</v>
          </cell>
          <cell r="B403" t="str">
            <v>MANTTO. EDIFICIOS E INSTALACIONES</v>
          </cell>
          <cell r="C403">
            <v>13367.54</v>
          </cell>
        </row>
        <row r="404">
          <cell r="A404" t="str">
            <v>66360329</v>
          </cell>
          <cell r="B404" t="str">
            <v>MANTENIMIENTO MAQUINARIA</v>
          </cell>
          <cell r="C404">
            <v>133783.31</v>
          </cell>
        </row>
        <row r="405">
          <cell r="A405" t="str">
            <v>66360332</v>
          </cell>
          <cell r="B405" t="str">
            <v>HERRAMIENTAS UTILIZADAS</v>
          </cell>
          <cell r="C405">
            <v>517.9</v>
          </cell>
        </row>
        <row r="406">
          <cell r="A406" t="str">
            <v>66360333</v>
          </cell>
          <cell r="B406" t="str">
            <v>DEPRECIACION MAQUINARIA</v>
          </cell>
          <cell r="C406">
            <v>231698.34</v>
          </cell>
        </row>
        <row r="407">
          <cell r="A407" t="str">
            <v>66360339</v>
          </cell>
          <cell r="B407" t="str">
            <v>SUMINISTROS</v>
          </cell>
          <cell r="C407">
            <v>340417.67</v>
          </cell>
        </row>
        <row r="408">
          <cell r="A408" t="str">
            <v>66360341</v>
          </cell>
          <cell r="B408" t="str">
            <v>IMPUESTOS</v>
          </cell>
          <cell r="C408">
            <v>33009.9</v>
          </cell>
        </row>
        <row r="409">
          <cell r="A409" t="str">
            <v>66360351</v>
          </cell>
          <cell r="B409" t="str">
            <v>MATERIALES</v>
          </cell>
          <cell r="C409">
            <v>1185808.01</v>
          </cell>
        </row>
        <row r="410">
          <cell r="A410" t="str">
            <v>66360352</v>
          </cell>
          <cell r="B410" t="str">
            <v>FLETES, ACARREOS Y PARQUEOS</v>
          </cell>
          <cell r="C410">
            <v>500.8</v>
          </cell>
        </row>
        <row r="411">
          <cell r="A411" t="str">
            <v>66360362</v>
          </cell>
          <cell r="B411" t="str">
            <v>GASTOS VARIOS</v>
          </cell>
          <cell r="C411">
            <v>3174.81</v>
          </cell>
        </row>
        <row r="412">
          <cell r="A412" t="str">
            <v>77110001</v>
          </cell>
          <cell r="B412" t="str">
            <v>SUELDOS</v>
          </cell>
          <cell r="C412">
            <v>300705.12</v>
          </cell>
        </row>
        <row r="413">
          <cell r="A413" t="str">
            <v>77110002</v>
          </cell>
          <cell r="B413" t="str">
            <v>HORAS EXTRAS</v>
          </cell>
          <cell r="C413">
            <v>31136.91</v>
          </cell>
        </row>
        <row r="414">
          <cell r="A414" t="str">
            <v>77110003</v>
          </cell>
          <cell r="B414" t="str">
            <v>COMISIONES S/VENTAS</v>
          </cell>
          <cell r="C414">
            <v>2875.17</v>
          </cell>
        </row>
        <row r="415">
          <cell r="A415" t="str">
            <v>77110004</v>
          </cell>
          <cell r="B415" t="str">
            <v>AGUINALDOS</v>
          </cell>
          <cell r="C415">
            <v>26684.26</v>
          </cell>
        </row>
        <row r="416">
          <cell r="A416" t="str">
            <v>77110005</v>
          </cell>
          <cell r="B416" t="str">
            <v>VACACIONES</v>
          </cell>
          <cell r="C416">
            <v>13301.67</v>
          </cell>
        </row>
        <row r="417">
          <cell r="A417" t="str">
            <v>77110006</v>
          </cell>
          <cell r="B417" t="str">
            <v>INDEMNIZACIONES</v>
          </cell>
          <cell r="C417">
            <v>27875.02</v>
          </cell>
        </row>
        <row r="418">
          <cell r="A418" t="str">
            <v>77110007</v>
          </cell>
          <cell r="B418" t="str">
            <v>BONO 14 DEC. 42-92</v>
          </cell>
          <cell r="C418">
            <v>24258.3</v>
          </cell>
        </row>
        <row r="419">
          <cell r="A419" t="str">
            <v>77110008</v>
          </cell>
          <cell r="B419" t="str">
            <v>BONIFICACION</v>
          </cell>
          <cell r="C419">
            <v>30658.33</v>
          </cell>
        </row>
        <row r="420">
          <cell r="A420" t="str">
            <v>77110009</v>
          </cell>
          <cell r="B420" t="str">
            <v>BONO VACACIONAL</v>
          </cell>
          <cell r="C420">
            <v>15469.4</v>
          </cell>
        </row>
        <row r="421">
          <cell r="A421" t="str">
            <v>77110010</v>
          </cell>
          <cell r="B421" t="str">
            <v>CUOTA PATRONAL IGSS</v>
          </cell>
          <cell r="C421">
            <v>43408.3</v>
          </cell>
        </row>
        <row r="422">
          <cell r="A422" t="str">
            <v>77110012</v>
          </cell>
          <cell r="B422" t="str">
            <v>HONORARIOS PROFESIONALES</v>
          </cell>
          <cell r="C422">
            <v>15213.5</v>
          </cell>
        </row>
        <row r="423">
          <cell r="A423" t="str">
            <v>77110013</v>
          </cell>
          <cell r="B423" t="str">
            <v>CAPACITACION TECNICA</v>
          </cell>
          <cell r="C423">
            <v>4274.55</v>
          </cell>
        </row>
        <row r="424">
          <cell r="A424" t="str">
            <v>77110014</v>
          </cell>
          <cell r="B424" t="str">
            <v>ATENCIONES AL PERSONAL</v>
          </cell>
          <cell r="C424">
            <v>769.55</v>
          </cell>
        </row>
        <row r="425">
          <cell r="A425" t="str">
            <v>77110015</v>
          </cell>
          <cell r="B425" t="str">
            <v>FESTEJOS NAVIDEÑOS</v>
          </cell>
          <cell r="C425">
            <v>4812.5</v>
          </cell>
        </row>
        <row r="426">
          <cell r="A426" t="str">
            <v>77110019</v>
          </cell>
          <cell r="B426" t="str">
            <v>SEGUROS</v>
          </cell>
          <cell r="C426">
            <v>278951.84000000003</v>
          </cell>
        </row>
        <row r="427">
          <cell r="A427" t="str">
            <v>77110020</v>
          </cell>
          <cell r="B427" t="str">
            <v>COMUNICACIONES Y CORREO</v>
          </cell>
          <cell r="C427">
            <v>118847.4</v>
          </cell>
        </row>
        <row r="428">
          <cell r="A428" t="str">
            <v>77110021</v>
          </cell>
          <cell r="B428" t="str">
            <v>VIATICOS Y GTOS. DE VIAJE</v>
          </cell>
          <cell r="C428">
            <v>3377.48</v>
          </cell>
        </row>
        <row r="429">
          <cell r="A429" t="str">
            <v>77110024</v>
          </cell>
          <cell r="B429" t="str">
            <v>PAPELERIA Y UTILES</v>
          </cell>
          <cell r="C429">
            <v>8029.31</v>
          </cell>
        </row>
        <row r="430">
          <cell r="A430" t="str">
            <v>77110025</v>
          </cell>
          <cell r="B430" t="str">
            <v>COMBUSTIBLES Y LUBRICANTES</v>
          </cell>
          <cell r="C430">
            <v>38096.879999999997</v>
          </cell>
        </row>
        <row r="431">
          <cell r="A431" t="str">
            <v>77110030</v>
          </cell>
          <cell r="B431" t="str">
            <v>MANTENIMIENTO MOB. Y EQUIPO</v>
          </cell>
          <cell r="C431">
            <v>409.92</v>
          </cell>
        </row>
        <row r="432">
          <cell r="A432" t="str">
            <v>77110034</v>
          </cell>
          <cell r="B432" t="str">
            <v>DEPRECIACIONES MOB. Y EQUIPO</v>
          </cell>
          <cell r="C432">
            <v>402.09</v>
          </cell>
        </row>
        <row r="433">
          <cell r="A433" t="str">
            <v>77110041</v>
          </cell>
          <cell r="B433" t="str">
            <v>IMPUESTOS FISCALES Y MUNICIPAL</v>
          </cell>
          <cell r="C433">
            <v>57.64</v>
          </cell>
        </row>
        <row r="434">
          <cell r="A434" t="str">
            <v>77110045</v>
          </cell>
          <cell r="B434" t="str">
            <v>PUBLICIDAD Y PROPAGANDA</v>
          </cell>
          <cell r="C434">
            <v>16363.73</v>
          </cell>
        </row>
        <row r="435">
          <cell r="A435" t="str">
            <v>77110051</v>
          </cell>
          <cell r="B435" t="str">
            <v>MATERIAL DE EMPAQUE Y SUMINST.</v>
          </cell>
          <cell r="C435">
            <v>314336.71999999997</v>
          </cell>
        </row>
        <row r="436">
          <cell r="A436" t="str">
            <v>77110052</v>
          </cell>
          <cell r="B436" t="str">
            <v>FLETES,  ACARREOS Y PARQUEOS</v>
          </cell>
          <cell r="C436">
            <v>643940.81999999995</v>
          </cell>
        </row>
        <row r="437">
          <cell r="A437" t="str">
            <v>77110057</v>
          </cell>
          <cell r="B437" t="str">
            <v>GASTOS DE EXPORTACION</v>
          </cell>
          <cell r="C437">
            <v>149638.03</v>
          </cell>
        </row>
        <row r="438">
          <cell r="A438" t="str">
            <v>77110099</v>
          </cell>
          <cell r="B438" t="str">
            <v>OTROS</v>
          </cell>
          <cell r="C438">
            <v>1808.77</v>
          </cell>
        </row>
        <row r="439">
          <cell r="A439" t="str">
            <v>88110001</v>
          </cell>
          <cell r="B439" t="str">
            <v>SUELDOS</v>
          </cell>
          <cell r="C439">
            <v>853423.77</v>
          </cell>
        </row>
        <row r="440">
          <cell r="A440" t="str">
            <v>88110002</v>
          </cell>
          <cell r="B440" t="str">
            <v>HORAS EXTRAS</v>
          </cell>
          <cell r="C440">
            <v>80358.38</v>
          </cell>
        </row>
        <row r="441">
          <cell r="A441" t="str">
            <v>88110004</v>
          </cell>
          <cell r="B441" t="str">
            <v>AGUINALDOS</v>
          </cell>
          <cell r="C441">
            <v>54082.77</v>
          </cell>
        </row>
        <row r="442">
          <cell r="A442" t="str">
            <v>88110005</v>
          </cell>
          <cell r="B442" t="str">
            <v>VACACIONES</v>
          </cell>
          <cell r="C442">
            <v>34679.47</v>
          </cell>
        </row>
        <row r="443">
          <cell r="A443" t="str">
            <v>88110006</v>
          </cell>
          <cell r="B443" t="str">
            <v>INDEMINIZACIONES</v>
          </cell>
          <cell r="C443">
            <v>58283.72</v>
          </cell>
        </row>
        <row r="444">
          <cell r="A444" t="str">
            <v>88110007</v>
          </cell>
          <cell r="B444" t="str">
            <v>BONO 14 DEC. 42-92</v>
          </cell>
          <cell r="C444">
            <v>49166.34</v>
          </cell>
        </row>
        <row r="445">
          <cell r="A445" t="str">
            <v>88110008</v>
          </cell>
          <cell r="B445" t="str">
            <v>BONIFICACION</v>
          </cell>
          <cell r="C445">
            <v>45416.66</v>
          </cell>
        </row>
        <row r="446">
          <cell r="A446" t="str">
            <v>88110009</v>
          </cell>
          <cell r="B446" t="str">
            <v>BONO VACACIONAL</v>
          </cell>
          <cell r="C446">
            <v>32604.19</v>
          </cell>
        </row>
        <row r="447">
          <cell r="A447" t="str">
            <v>88110010</v>
          </cell>
          <cell r="B447" t="str">
            <v>CUOTA PATRONAL IGSS</v>
          </cell>
          <cell r="C447">
            <v>92084.69</v>
          </cell>
        </row>
        <row r="448">
          <cell r="A448" t="str">
            <v>88110012</v>
          </cell>
          <cell r="B448" t="str">
            <v>HONORARIOS PROFESIONALES</v>
          </cell>
          <cell r="C448">
            <v>41627.410000000003</v>
          </cell>
        </row>
        <row r="449">
          <cell r="A449" t="str">
            <v>88110013</v>
          </cell>
          <cell r="B449" t="str">
            <v>CAPACITACION TECNICA</v>
          </cell>
          <cell r="C449">
            <v>7087.39</v>
          </cell>
        </row>
        <row r="450">
          <cell r="A450" t="str">
            <v>88110014</v>
          </cell>
          <cell r="B450" t="str">
            <v>ATENCIONES AL PERSONAL</v>
          </cell>
          <cell r="C450">
            <v>26903.34</v>
          </cell>
        </row>
        <row r="451">
          <cell r="A451" t="str">
            <v>88110015</v>
          </cell>
          <cell r="B451" t="str">
            <v>FESTEJOS NAVIDEÑOS</v>
          </cell>
          <cell r="C451">
            <v>2239.8000000000002</v>
          </cell>
        </row>
        <row r="452">
          <cell r="A452" t="str">
            <v>88110017</v>
          </cell>
          <cell r="B452" t="str">
            <v>TRANSPORTES AL PERSONAL</v>
          </cell>
          <cell r="C452">
            <v>2403.4299999999998</v>
          </cell>
        </row>
        <row r="453">
          <cell r="A453" t="str">
            <v>88110019</v>
          </cell>
          <cell r="B453" t="str">
            <v>SEGUROS</v>
          </cell>
          <cell r="C453">
            <v>301028.34999999998</v>
          </cell>
        </row>
        <row r="454">
          <cell r="A454" t="str">
            <v>88110020</v>
          </cell>
          <cell r="B454" t="str">
            <v>COMUNICACIONES Y CORREO</v>
          </cell>
          <cell r="C454">
            <v>128403.54</v>
          </cell>
        </row>
        <row r="455">
          <cell r="A455" t="str">
            <v>88110021</v>
          </cell>
          <cell r="B455" t="str">
            <v>VIATICOS Y GTOS. DE VIAJE</v>
          </cell>
          <cell r="C455">
            <v>125120.84</v>
          </cell>
        </row>
        <row r="456">
          <cell r="A456" t="str">
            <v>88110022</v>
          </cell>
          <cell r="B456" t="str">
            <v>ENERGIA ELECTRICA</v>
          </cell>
          <cell r="C456">
            <v>73237.62</v>
          </cell>
        </row>
        <row r="457">
          <cell r="A457" t="str">
            <v>88110023</v>
          </cell>
          <cell r="B457" t="str">
            <v>AGUA POTABLE</v>
          </cell>
          <cell r="C457">
            <v>1000</v>
          </cell>
        </row>
        <row r="458">
          <cell r="A458" t="str">
            <v>88110024</v>
          </cell>
          <cell r="B458" t="str">
            <v>PAPELERIA Y UTILES</v>
          </cell>
          <cell r="C458">
            <v>40284.03</v>
          </cell>
        </row>
        <row r="459">
          <cell r="A459" t="str">
            <v>88110025</v>
          </cell>
          <cell r="B459" t="str">
            <v>COMBUSTIBLES Y LUBRICANTES</v>
          </cell>
          <cell r="C459">
            <v>21157.77</v>
          </cell>
        </row>
        <row r="460">
          <cell r="A460" t="str">
            <v>88110026</v>
          </cell>
          <cell r="B460" t="str">
            <v>MATERIALES Y UTILES DE ASEO</v>
          </cell>
          <cell r="C460">
            <v>6249.23</v>
          </cell>
        </row>
        <row r="461">
          <cell r="A461" t="str">
            <v>88110027</v>
          </cell>
          <cell r="B461" t="str">
            <v>MANT. EDIF. INSTAL.Y OFICINAS</v>
          </cell>
          <cell r="C461">
            <v>8640.73</v>
          </cell>
        </row>
        <row r="462">
          <cell r="A462" t="str">
            <v>88110028</v>
          </cell>
          <cell r="B462" t="str">
            <v>HONORARIOS POR AMPLIACION DE CAPITAL</v>
          </cell>
          <cell r="C462">
            <v>62147</v>
          </cell>
        </row>
        <row r="463">
          <cell r="A463" t="str">
            <v>88110030</v>
          </cell>
          <cell r="B463" t="str">
            <v>MANTENIMIENTO MOB. Y EQUIPO</v>
          </cell>
          <cell r="C463">
            <v>13077.01</v>
          </cell>
        </row>
        <row r="464">
          <cell r="A464" t="str">
            <v>88110031</v>
          </cell>
          <cell r="B464" t="str">
            <v>MANTENIMIENTO VEHICULOS</v>
          </cell>
          <cell r="C464">
            <v>1037.47</v>
          </cell>
        </row>
        <row r="465">
          <cell r="A465" t="str">
            <v>88110034</v>
          </cell>
          <cell r="B465" t="str">
            <v>DEPRECIACION MOB. Y EQUIPO</v>
          </cell>
          <cell r="C465">
            <v>39806.959999999999</v>
          </cell>
        </row>
        <row r="466">
          <cell r="A466" t="str">
            <v>88110036</v>
          </cell>
          <cell r="B466" t="str">
            <v>DEPRECIACION Y AMORT. EDIF. IN</v>
          </cell>
          <cell r="C466">
            <v>11557.12</v>
          </cell>
        </row>
        <row r="467">
          <cell r="A467" t="str">
            <v>88110038</v>
          </cell>
          <cell r="B467" t="str">
            <v>SEGURIDAD Y VIGILANCIA</v>
          </cell>
          <cell r="C467">
            <v>22572.04</v>
          </cell>
        </row>
        <row r="468">
          <cell r="A468" t="str">
            <v>88110041</v>
          </cell>
          <cell r="B468" t="str">
            <v>IMPUESTOS FISCALES Y MUNICIP.</v>
          </cell>
          <cell r="C468">
            <v>18112.400000000001</v>
          </cell>
        </row>
        <row r="469">
          <cell r="A469" t="str">
            <v>88110044</v>
          </cell>
          <cell r="B469" t="str">
            <v>GASTOS DE REPRESENTACION</v>
          </cell>
          <cell r="C469">
            <v>2843.18</v>
          </cell>
        </row>
        <row r="470">
          <cell r="A470" t="str">
            <v>88110046</v>
          </cell>
          <cell r="B470" t="str">
            <v>SUSCRIPCIONES Y PUBLICACIONES</v>
          </cell>
          <cell r="C470">
            <v>17547.330000000002</v>
          </cell>
        </row>
        <row r="471">
          <cell r="A471" t="str">
            <v>88110049</v>
          </cell>
          <cell r="B471" t="str">
            <v>DEPREC. VEHICULO</v>
          </cell>
          <cell r="C471">
            <v>23000.17</v>
          </cell>
        </row>
        <row r="472">
          <cell r="A472" t="str">
            <v>88110052</v>
          </cell>
          <cell r="B472" t="str">
            <v>FLETES  ACARREOS Y PARQUEOS</v>
          </cell>
          <cell r="C472">
            <v>3803.88</v>
          </cell>
        </row>
        <row r="473">
          <cell r="A473" t="str">
            <v>88110056</v>
          </cell>
          <cell r="B473" t="str">
            <v>GASTOS NO DEDUCIBLES</v>
          </cell>
          <cell r="C473">
            <v>50263.839999999997</v>
          </cell>
        </row>
        <row r="474">
          <cell r="A474" t="str">
            <v>88110062</v>
          </cell>
          <cell r="B474" t="str">
            <v>ASESORIA TECNICA</v>
          </cell>
          <cell r="C474">
            <v>364800</v>
          </cell>
        </row>
        <row r="475">
          <cell r="A475" t="str">
            <v>88110067</v>
          </cell>
          <cell r="B475" t="str">
            <v>DEPRECIACIONES EQUIPO DE COMP.</v>
          </cell>
          <cell r="C475">
            <v>47302.62</v>
          </cell>
        </row>
        <row r="476">
          <cell r="A476" t="str">
            <v>88110071</v>
          </cell>
          <cell r="B476" t="str">
            <v>ATENCION A EJECUTIVOS</v>
          </cell>
          <cell r="C476">
            <v>11373.37</v>
          </cell>
        </row>
        <row r="477">
          <cell r="A477" t="str">
            <v>88110078</v>
          </cell>
          <cell r="B477" t="str">
            <v>AUDITORIA CORPORATIVA(INTERNA)</v>
          </cell>
          <cell r="C477">
            <v>132657</v>
          </cell>
        </row>
        <row r="478">
          <cell r="A478" t="str">
            <v>88110080</v>
          </cell>
          <cell r="B478" t="str">
            <v>AUDITORIA EXTERNA</v>
          </cell>
          <cell r="C478">
            <v>42132</v>
          </cell>
        </row>
        <row r="479">
          <cell r="A479" t="str">
            <v>88110081</v>
          </cell>
          <cell r="B479" t="str">
            <v>DIETAS</v>
          </cell>
          <cell r="C479">
            <v>42900</v>
          </cell>
        </row>
        <row r="480">
          <cell r="A480" t="str">
            <v>88110082</v>
          </cell>
          <cell r="B480" t="str">
            <v>MULTAS</v>
          </cell>
          <cell r="C480">
            <v>10350</v>
          </cell>
        </row>
        <row r="481">
          <cell r="A481" t="str">
            <v>88110083</v>
          </cell>
          <cell r="B481" t="str">
            <v>GASTOS POR COMISIONES VARIAS</v>
          </cell>
          <cell r="C481">
            <v>9660</v>
          </cell>
        </row>
        <row r="482">
          <cell r="A482" t="str">
            <v>88110099</v>
          </cell>
          <cell r="B482" t="str">
            <v>OTROS</v>
          </cell>
          <cell r="C482">
            <v>23764.9</v>
          </cell>
        </row>
        <row r="483">
          <cell r="A483" t="str">
            <v>99600000</v>
          </cell>
          <cell r="B483" t="str">
            <v>GASTOS FINANCIEROS BANCARIOS</v>
          </cell>
          <cell r="C483">
            <v>59114519.030000001</v>
          </cell>
        </row>
        <row r="484">
          <cell r="A484" t="str">
            <v>99600100</v>
          </cell>
          <cell r="B484" t="str">
            <v>INTERESES CUSCATLAN BANK</v>
          </cell>
          <cell r="C484">
            <v>2415449.96</v>
          </cell>
        </row>
        <row r="485">
          <cell r="A485" t="str">
            <v>99600101</v>
          </cell>
          <cell r="B485" t="str">
            <v>INTERESES CUSCATLAN CTA.CORRIENTE</v>
          </cell>
          <cell r="C485">
            <v>241867.66</v>
          </cell>
        </row>
        <row r="486">
          <cell r="A486" t="str">
            <v>99600102</v>
          </cell>
          <cell r="B486" t="str">
            <v>INTERESES EXIMBANK</v>
          </cell>
          <cell r="C486">
            <v>185107.61</v>
          </cell>
        </row>
        <row r="487">
          <cell r="A487" t="str">
            <v>99600103</v>
          </cell>
          <cell r="B487" t="str">
            <v>INTERESES LETRA DE CAMBIO BCO.REFORMADOR</v>
          </cell>
          <cell r="C487">
            <v>253020.85</v>
          </cell>
        </row>
        <row r="488">
          <cell r="A488" t="str">
            <v>99600104</v>
          </cell>
          <cell r="B488" t="str">
            <v>GASTOS BANCARIOS</v>
          </cell>
          <cell r="C488">
            <v>47533.75</v>
          </cell>
        </row>
        <row r="489">
          <cell r="A489" t="str">
            <v>99600105</v>
          </cell>
          <cell r="B489" t="str">
            <v>INTERESES NACOBRE</v>
          </cell>
          <cell r="C489">
            <v>68350.91</v>
          </cell>
        </row>
        <row r="490">
          <cell r="A490" t="str">
            <v>99600106</v>
          </cell>
          <cell r="B490" t="str">
            <v>INTERESES PECHINEY</v>
          </cell>
          <cell r="C490">
            <v>29196.240000000002</v>
          </cell>
        </row>
        <row r="491">
          <cell r="A491" t="str">
            <v>99600107</v>
          </cell>
          <cell r="B491" t="str">
            <v>INTERESES MARUBENI</v>
          </cell>
          <cell r="C491">
            <v>5953.6</v>
          </cell>
        </row>
        <row r="492">
          <cell r="A492" t="str">
            <v>99600108</v>
          </cell>
          <cell r="B492" t="str">
            <v>GASTOS CARTA DE CREDITO</v>
          </cell>
          <cell r="C492">
            <v>225659.01</v>
          </cell>
        </row>
        <row r="493">
          <cell r="A493" t="str">
            <v>99600109</v>
          </cell>
          <cell r="B493" t="str">
            <v>DIFERENCIAL CAMBIARIO</v>
          </cell>
          <cell r="C493">
            <v>-781206.9</v>
          </cell>
        </row>
        <row r="494">
          <cell r="A494" t="str">
            <v>99600110</v>
          </cell>
          <cell r="B494" t="str">
            <v>INTERESES OTROS PROVEEDORES</v>
          </cell>
          <cell r="C494">
            <v>18648.46</v>
          </cell>
        </row>
        <row r="495">
          <cell r="A495" t="str">
            <v>99600111</v>
          </cell>
          <cell r="B495" t="str">
            <v>INTERESES CITIBANK</v>
          </cell>
          <cell r="C495">
            <v>63530.93</v>
          </cell>
        </row>
        <row r="496">
          <cell r="A496" t="str">
            <v>99600112</v>
          </cell>
          <cell r="B496" t="str">
            <v>INTERESES PTMO.CORINSA</v>
          </cell>
          <cell r="C496">
            <v>1320432.04</v>
          </cell>
        </row>
        <row r="497">
          <cell r="A497" t="str">
            <v>99610001</v>
          </cell>
          <cell r="B497" t="str">
            <v>GASTOS VARIOS</v>
          </cell>
          <cell r="C497">
            <v>4481.3599999999997</v>
          </cell>
        </row>
        <row r="498">
          <cell r="A498" t="str">
            <v>99610005</v>
          </cell>
          <cell r="B498" t="str">
            <v>PERDIDAS EXTRAORDINARIAS</v>
          </cell>
          <cell r="C498">
            <v>11736339.68</v>
          </cell>
        </row>
        <row r="499">
          <cell r="A499" t="str">
            <v>99610006</v>
          </cell>
          <cell r="B499" t="str">
            <v>PERDIDAS EXTRAORD. POR APORTACION DE ACT</v>
          </cell>
          <cell r="C499">
            <v>29089608.43</v>
          </cell>
        </row>
        <row r="500">
          <cell r="A500" t="str">
            <v>99610007</v>
          </cell>
          <cell r="B500" t="str">
            <v>PERDIDAS EXTRAORD.POR RECISION DE CONTRA</v>
          </cell>
          <cell r="C500">
            <v>0</v>
          </cell>
        </row>
        <row r="501">
          <cell r="A501" t="str">
            <v>99610008</v>
          </cell>
          <cell r="B501" t="str">
            <v>PERDIDAS EXTRAORD. IMPTOS. NO RECUPERABL</v>
          </cell>
          <cell r="C501">
            <v>14163825.58</v>
          </cell>
        </row>
        <row r="502">
          <cell r="A502" t="str">
            <v>99610010</v>
          </cell>
          <cell r="B502" t="str">
            <v>OTROS COSTOS</v>
          </cell>
          <cell r="C502">
            <v>26719.86</v>
          </cell>
        </row>
        <row r="503">
          <cell r="A503" t="str">
            <v>99700000</v>
          </cell>
          <cell r="B503" t="str">
            <v>INGRESOS FINANCIEROS</v>
          </cell>
          <cell r="C503">
            <v>-229590.07</v>
          </cell>
        </row>
        <row r="504">
          <cell r="A504" t="str">
            <v>99700001</v>
          </cell>
          <cell r="B504" t="str">
            <v>INTERESES CUENTAS DE AHORRO</v>
          </cell>
          <cell r="C504">
            <v>-28822.79</v>
          </cell>
        </row>
        <row r="505">
          <cell r="A505" t="str">
            <v>99710001</v>
          </cell>
          <cell r="B505" t="str">
            <v>INGRESOS VARIOS</v>
          </cell>
          <cell r="C505">
            <v>-11292.22</v>
          </cell>
        </row>
        <row r="506">
          <cell r="A506" t="str">
            <v>99710002</v>
          </cell>
          <cell r="B506" t="str">
            <v>GANANCIA EN VENTA DE ACTIVOS</v>
          </cell>
          <cell r="C506">
            <v>-180859.35</v>
          </cell>
        </row>
        <row r="507">
          <cell r="A507" t="str">
            <v>99710005</v>
          </cell>
          <cell r="B507" t="str">
            <v>CHEQUES CADUCADOS</v>
          </cell>
          <cell r="C507">
            <v>-117.54</v>
          </cell>
        </row>
        <row r="508">
          <cell r="A508" t="str">
            <v>99710006</v>
          </cell>
          <cell r="B508" t="str">
            <v>INGRESOS EJERCICIOS ANTERIORES</v>
          </cell>
          <cell r="C508">
            <v>-8498.17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QUETE INFORM."/>
      <sheetName val="INFORMACION POR EMPRESA"/>
      <sheetName val="CIF-1"/>
      <sheetName val="CIF-2"/>
      <sheetName val="CIF-3"/>
      <sheetName val="CIF-4RES"/>
      <sheetName val="CIF-4BAL"/>
      <sheetName val="ANEXO 1"/>
      <sheetName val="ANEXO-2"/>
      <sheetName val="ANEXO-3"/>
      <sheetName val="ANEXO-4"/>
      <sheetName val="ANEXO-5"/>
      <sheetName val="ANEXO-6"/>
      <sheetName val="ANEXO-7"/>
      <sheetName val="ANEXO-8"/>
      <sheetName val="DATOS OP HIST"/>
      <sheetName val="EVOL TARIF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TELECOMUNICACIONES DE GUATEMALA, S.A.</v>
          </cell>
        </row>
        <row r="2">
          <cell r="A2" t="str">
            <v>ESTADO DE RESULTADOS INSTITUCIONAL</v>
          </cell>
          <cell r="I2" t="str">
            <v>CIF: 3</v>
          </cell>
        </row>
        <row r="3">
          <cell r="A3" t="str">
            <v>(QUETZALES)</v>
          </cell>
        </row>
        <row r="5">
          <cell r="A5" t="str">
            <v>MES MAYO</v>
          </cell>
          <cell r="C5" t="str">
            <v xml:space="preserve">% </v>
          </cell>
          <cell r="E5" t="str">
            <v>ACUMULADO MAYO</v>
          </cell>
          <cell r="G5" t="str">
            <v xml:space="preserve">% </v>
          </cell>
          <cell r="I5" t="str">
            <v>%</v>
          </cell>
        </row>
        <row r="6">
          <cell r="A6" t="str">
            <v>REAL</v>
          </cell>
          <cell r="B6" t="str">
            <v>PTO.</v>
          </cell>
          <cell r="C6" t="str">
            <v xml:space="preserve">DE </v>
          </cell>
          <cell r="D6" t="str">
            <v>CONCEPTO</v>
          </cell>
          <cell r="E6" t="str">
            <v>REAL</v>
          </cell>
          <cell r="F6" t="str">
            <v>PTO.</v>
          </cell>
          <cell r="G6" t="str">
            <v xml:space="preserve">DE </v>
          </cell>
          <cell r="H6" t="str">
            <v>META</v>
          </cell>
          <cell r="I6" t="str">
            <v>CUMPLIM.</v>
          </cell>
        </row>
        <row r="7">
          <cell r="A7">
            <v>1999</v>
          </cell>
          <cell r="B7">
            <v>1999</v>
          </cell>
          <cell r="C7" t="str">
            <v>AVA.</v>
          </cell>
          <cell r="E7">
            <v>1999</v>
          </cell>
          <cell r="F7">
            <v>1999</v>
          </cell>
          <cell r="G7" t="str">
            <v>AVA.</v>
          </cell>
          <cell r="H7">
            <v>1999</v>
          </cell>
          <cell r="I7" t="str">
            <v>S/META</v>
          </cell>
        </row>
        <row r="9">
          <cell r="D9" t="str">
            <v>INGRESOS TOTALES</v>
          </cell>
        </row>
        <row r="10">
          <cell r="A10">
            <v>50510864</v>
          </cell>
          <cell r="B10">
            <v>39727273</v>
          </cell>
          <cell r="C10">
            <v>1.2714405038573879</v>
          </cell>
          <cell r="D10" t="str">
            <v>TELEFONIA LOCAL</v>
          </cell>
        </row>
        <row r="11">
          <cell r="A11">
            <v>21445409</v>
          </cell>
          <cell r="B11">
            <v>21571743</v>
          </cell>
          <cell r="C11">
            <v>0.99414354231830038</v>
          </cell>
          <cell r="D11" t="str">
            <v>TELEFONIA ITERURBANA</v>
          </cell>
        </row>
        <row r="12">
          <cell r="A12">
            <v>32260099</v>
          </cell>
          <cell r="B12">
            <v>28585428</v>
          </cell>
          <cell r="C12">
            <v>1.1285504978270746</v>
          </cell>
          <cell r="D12" t="str">
            <v>TELEFONIA INTERNACIONAL (SALIDA(</v>
          </cell>
        </row>
        <row r="13">
          <cell r="A13">
            <v>18714387</v>
          </cell>
          <cell r="B13">
            <v>14035684</v>
          </cell>
          <cell r="C13">
            <v>1.3333434266545185</v>
          </cell>
          <cell r="D13" t="str">
            <v>TELEFONIA INTERNACIONAL (ENTRADA)</v>
          </cell>
        </row>
        <row r="14">
          <cell r="A14">
            <v>6111244</v>
          </cell>
          <cell r="B14">
            <v>9739742</v>
          </cell>
          <cell r="C14">
            <v>0.62745440279629583</v>
          </cell>
          <cell r="D14" t="str">
            <v>CONEXIONES DE LINEAS</v>
          </cell>
        </row>
        <row r="15">
          <cell r="A15">
            <v>733872</v>
          </cell>
          <cell r="B15">
            <v>560891</v>
          </cell>
          <cell r="C15">
            <v>1.3084039501436109</v>
          </cell>
          <cell r="D15" t="str">
            <v>SERVICIOS DIGITALES</v>
          </cell>
        </row>
        <row r="16">
          <cell r="A16">
            <v>1457685</v>
          </cell>
          <cell r="B16">
            <v>2670218</v>
          </cell>
          <cell r="C16">
            <v>0.54590486619444556</v>
          </cell>
          <cell r="D16" t="str">
            <v>TELEFONIA PUBLICA</v>
          </cell>
        </row>
        <row r="17">
          <cell r="A17">
            <v>8000000</v>
          </cell>
          <cell r="D17" t="str">
            <v>TRANSMISION DE DATOS</v>
          </cell>
        </row>
        <row r="18">
          <cell r="A18">
            <v>1080956</v>
          </cell>
          <cell r="B18">
            <v>3450699</v>
          </cell>
          <cell r="C18">
            <v>0.31325711109546212</v>
          </cell>
          <cell r="D18" t="str">
            <v>OTROS INGRESOS (CIF 4)</v>
          </cell>
        </row>
        <row r="19">
          <cell r="A19">
            <v>-564473</v>
          </cell>
          <cell r="B19">
            <v>-326467</v>
          </cell>
          <cell r="C19">
            <v>1.7290354002089032</v>
          </cell>
          <cell r="D19" t="str">
            <v>REDUCCIONES Y REBAJAS</v>
          </cell>
        </row>
        <row r="20">
          <cell r="A20">
            <v>139750043</v>
          </cell>
          <cell r="B20">
            <v>120015211</v>
          </cell>
          <cell r="C20">
            <v>1.1644360896886645</v>
          </cell>
          <cell r="D20" t="str">
            <v>SUMA</v>
          </cell>
        </row>
        <row r="22">
          <cell r="D22" t="str">
            <v>COSTOS Y GASTOS TOTALES</v>
          </cell>
        </row>
        <row r="23">
          <cell r="A23">
            <v>0</v>
          </cell>
          <cell r="B23">
            <v>0</v>
          </cell>
          <cell r="D23" t="str">
            <v>SUELDOS Y SALARIOS</v>
          </cell>
        </row>
        <row r="24">
          <cell r="A24">
            <v>0</v>
          </cell>
          <cell r="B24">
            <v>0</v>
          </cell>
          <cell r="D24" t="str">
            <v>PRESTACIONES</v>
          </cell>
        </row>
        <row r="25">
          <cell r="A25">
            <v>0</v>
          </cell>
          <cell r="B25">
            <v>0</v>
          </cell>
          <cell r="D25" t="str">
            <v>ATENCIONES A EMPLEADOS</v>
          </cell>
        </row>
        <row r="26">
          <cell r="D26" t="str">
            <v>DEPRECIACION Y AMORTIZACION</v>
          </cell>
        </row>
        <row r="27">
          <cell r="D27" t="str">
            <v>ASESORIA Y ASISTENCIA TECNICA</v>
          </cell>
        </row>
        <row r="28">
          <cell r="D28" t="str">
            <v>MANTENIMIENTO</v>
          </cell>
        </row>
        <row r="29">
          <cell r="D29" t="str">
            <v>SUMINISTROS</v>
          </cell>
        </row>
        <row r="30">
          <cell r="D30" t="str">
            <v>SERVICIOS PUBLICOS</v>
          </cell>
        </row>
        <row r="31">
          <cell r="D31" t="str">
            <v>IMPUESTOS</v>
          </cell>
        </row>
        <row r="32">
          <cell r="D32" t="str">
            <v>ARRENDAMIENTOS</v>
          </cell>
        </row>
        <row r="33">
          <cell r="D33" t="str">
            <v>GASTOS Y COMISIONES BANCARIAS</v>
          </cell>
        </row>
        <row r="34">
          <cell r="D34" t="str">
            <v>GASTOS POR UTILIZACION DE SIST. SATELITAL</v>
          </cell>
        </row>
        <row r="35">
          <cell r="D35" t="str">
            <v>SERVICIOS DE TERCEROS</v>
          </cell>
        </row>
        <row r="36">
          <cell r="D36" t="str">
            <v>OTROS SERVICIOS DIVERSOS</v>
          </cell>
        </row>
        <row r="37">
          <cell r="D37" t="str">
            <v>SEGUROS</v>
          </cell>
        </row>
        <row r="38">
          <cell r="D38" t="str">
            <v>PUBLICIDAD Y RELACIONES</v>
          </cell>
        </row>
        <row r="39">
          <cell r="D39" t="str">
            <v>GASTOS DE TRANSPORTE</v>
          </cell>
        </row>
        <row r="40">
          <cell r="D40" t="str">
            <v>GASTOS DE VEHICULOS</v>
          </cell>
        </row>
        <row r="41">
          <cell r="D41" t="str">
            <v>OTROS GASTOS (CIF 4)</v>
          </cell>
        </row>
        <row r="42">
          <cell r="A42">
            <v>0</v>
          </cell>
          <cell r="B42">
            <v>0</v>
          </cell>
          <cell r="D42" t="str">
            <v>SUMA</v>
          </cell>
        </row>
        <row r="44">
          <cell r="A44">
            <v>0</v>
          </cell>
          <cell r="B44">
            <v>0</v>
          </cell>
          <cell r="D44" t="str">
            <v>UTILIDAD DE OPERACION</v>
          </cell>
        </row>
        <row r="45">
          <cell r="A45">
            <v>0</v>
          </cell>
          <cell r="B45">
            <v>0</v>
          </cell>
          <cell r="D45" t="str">
            <v>EBITDA</v>
          </cell>
        </row>
        <row r="47">
          <cell r="A47">
            <v>0</v>
          </cell>
          <cell r="B47">
            <v>0</v>
          </cell>
          <cell r="D47" t="str">
            <v>PAGO HONORARIOS LUCA</v>
          </cell>
        </row>
        <row r="48">
          <cell r="A48">
            <v>0</v>
          </cell>
          <cell r="B48">
            <v>0</v>
          </cell>
          <cell r="D48" t="str">
            <v>COSTO OPERADOR TELMEX</v>
          </cell>
        </row>
        <row r="50">
          <cell r="A50">
            <v>0</v>
          </cell>
          <cell r="B50">
            <v>0</v>
          </cell>
          <cell r="D50" t="str">
            <v>CTO. INT. DE FINANCIAMIENTO</v>
          </cell>
        </row>
        <row r="51">
          <cell r="A51">
            <v>0</v>
          </cell>
          <cell r="B51">
            <v>0</v>
          </cell>
          <cell r="D51" t="str">
            <v>INTERESES PAGADOS</v>
          </cell>
        </row>
        <row r="52">
          <cell r="A52">
            <v>0</v>
          </cell>
          <cell r="B52">
            <v>0</v>
          </cell>
          <cell r="D52" t="str">
            <v>INTERESES COBRADOS</v>
          </cell>
        </row>
        <row r="53">
          <cell r="A53">
            <v>0</v>
          </cell>
          <cell r="B53">
            <v>0</v>
          </cell>
          <cell r="D53" t="str">
            <v>DIFERENCIA EN CAMBIOS</v>
          </cell>
        </row>
        <row r="54">
          <cell r="A54">
            <v>0</v>
          </cell>
          <cell r="B54">
            <v>0</v>
          </cell>
        </row>
        <row r="55">
          <cell r="A55">
            <v>0</v>
          </cell>
          <cell r="B55">
            <v>0</v>
          </cell>
          <cell r="D55" t="str">
            <v>SUMA</v>
          </cell>
        </row>
        <row r="57">
          <cell r="A57">
            <v>0</v>
          </cell>
          <cell r="B57">
            <v>0</v>
          </cell>
          <cell r="D57" t="str">
            <v>UTILIDAD ANTES DE IMPUESTOS</v>
          </cell>
        </row>
        <row r="58">
          <cell r="A58">
            <v>0</v>
          </cell>
          <cell r="B58">
            <v>0</v>
          </cell>
        </row>
        <row r="59">
          <cell r="A59">
            <v>0</v>
          </cell>
          <cell r="B59">
            <v>0</v>
          </cell>
          <cell r="D59" t="str">
            <v xml:space="preserve">IMPUESTOS </v>
          </cell>
        </row>
        <row r="60">
          <cell r="A60">
            <v>0</v>
          </cell>
          <cell r="B60">
            <v>0</v>
          </cell>
          <cell r="D60" t="str">
            <v>I S R</v>
          </cell>
        </row>
        <row r="61">
          <cell r="A61">
            <v>0</v>
          </cell>
          <cell r="B61">
            <v>0</v>
          </cell>
          <cell r="D61" t="str">
            <v>SUMA</v>
          </cell>
        </row>
        <row r="62">
          <cell r="A62">
            <v>0</v>
          </cell>
          <cell r="B62">
            <v>0</v>
          </cell>
        </row>
        <row r="63">
          <cell r="A63">
            <v>0</v>
          </cell>
          <cell r="B63">
            <v>0</v>
          </cell>
          <cell r="D63" t="str">
            <v>UTILIDAD NETA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le"/>
      <sheetName val="Ecuador"/>
      <sheetName val="Venezuela"/>
      <sheetName val="panama"/>
      <sheetName val="Peru"/>
      <sheetName val="Brasil"/>
      <sheetName val="Otros"/>
      <sheetName val="Total"/>
      <sheetName val="Vent Ene"/>
      <sheetName val="Vent Feb"/>
      <sheetName val="Vent Mar"/>
      <sheetName val="Vent Ab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020117454</v>
          </cell>
          <cell r="L4">
            <v>0</v>
          </cell>
          <cell r="M4">
            <v>0</v>
          </cell>
        </row>
        <row r="5">
          <cell r="A5" t="str">
            <v>032518275</v>
          </cell>
          <cell r="L5">
            <v>0</v>
          </cell>
          <cell r="M5">
            <v>0</v>
          </cell>
        </row>
        <row r="6">
          <cell r="A6" t="str">
            <v>032633109</v>
          </cell>
          <cell r="D6">
            <v>25000</v>
          </cell>
          <cell r="L6">
            <v>25000</v>
          </cell>
          <cell r="M6">
            <v>25000</v>
          </cell>
        </row>
        <row r="7">
          <cell r="A7">
            <v>231603229</v>
          </cell>
          <cell r="E7">
            <v>5020</v>
          </cell>
          <cell r="L7">
            <v>5020</v>
          </cell>
          <cell r="M7">
            <v>0</v>
          </cell>
        </row>
        <row r="8">
          <cell r="A8">
            <v>231603233</v>
          </cell>
          <cell r="E8">
            <v>9960</v>
          </cell>
          <cell r="L8">
            <v>9960</v>
          </cell>
          <cell r="M8">
            <v>0</v>
          </cell>
        </row>
        <row r="9">
          <cell r="A9">
            <v>231603234</v>
          </cell>
          <cell r="E9">
            <v>10000</v>
          </cell>
          <cell r="L9">
            <v>10000</v>
          </cell>
          <cell r="M9">
            <v>0</v>
          </cell>
        </row>
        <row r="10">
          <cell r="A10">
            <v>231603235</v>
          </cell>
          <cell r="L10">
            <v>0</v>
          </cell>
          <cell r="M10">
            <v>0</v>
          </cell>
        </row>
        <row r="11">
          <cell r="A11">
            <v>231603236</v>
          </cell>
          <cell r="L11">
            <v>0</v>
          </cell>
          <cell r="M11">
            <v>0</v>
          </cell>
        </row>
        <row r="12">
          <cell r="A12" t="str">
            <v>ARB0060</v>
          </cell>
          <cell r="L12">
            <v>0</v>
          </cell>
          <cell r="M12">
            <v>0</v>
          </cell>
        </row>
        <row r="13">
          <cell r="A13" t="str">
            <v>ARB0062</v>
          </cell>
          <cell r="G13">
            <v>1594</v>
          </cell>
          <cell r="L13">
            <v>1594</v>
          </cell>
          <cell r="M13">
            <v>0</v>
          </cell>
        </row>
        <row r="14">
          <cell r="A14" t="str">
            <v>ARB0063</v>
          </cell>
          <cell r="G14">
            <v>30000</v>
          </cell>
          <cell r="L14">
            <v>30000</v>
          </cell>
          <cell r="M14">
            <v>0</v>
          </cell>
        </row>
        <row r="15">
          <cell r="A15" t="str">
            <v>ARB0064</v>
          </cell>
          <cell r="L15">
            <v>0</v>
          </cell>
          <cell r="M15">
            <v>0</v>
          </cell>
        </row>
        <row r="16">
          <cell r="A16" t="str">
            <v>ARB0081</v>
          </cell>
          <cell r="G16">
            <v>2900</v>
          </cell>
          <cell r="L16">
            <v>2900</v>
          </cell>
          <cell r="M16">
            <v>0</v>
          </cell>
        </row>
        <row r="17">
          <cell r="A17" t="str">
            <v>ARB0162</v>
          </cell>
          <cell r="H17">
            <v>3168</v>
          </cell>
          <cell r="L17">
            <v>3168</v>
          </cell>
          <cell r="M17">
            <v>0</v>
          </cell>
        </row>
        <row r="18">
          <cell r="A18" t="str">
            <v>ARB0163</v>
          </cell>
          <cell r="B18">
            <v>750</v>
          </cell>
          <cell r="C18">
            <v>3000</v>
          </cell>
          <cell r="L18">
            <v>3750</v>
          </cell>
          <cell r="M18">
            <v>0</v>
          </cell>
        </row>
        <row r="19">
          <cell r="A19" t="str">
            <v>ARB0164</v>
          </cell>
          <cell r="L19">
            <v>0</v>
          </cell>
          <cell r="M19">
            <v>0</v>
          </cell>
        </row>
        <row r="20">
          <cell r="A20" t="str">
            <v>ARB0253</v>
          </cell>
          <cell r="L20">
            <v>0</v>
          </cell>
          <cell r="M20">
            <v>0</v>
          </cell>
        </row>
        <row r="21">
          <cell r="A21" t="str">
            <v>ARB0254</v>
          </cell>
          <cell r="H21">
            <v>368</v>
          </cell>
          <cell r="L21">
            <v>368</v>
          </cell>
          <cell r="M21">
            <v>0</v>
          </cell>
        </row>
        <row r="22">
          <cell r="A22" t="str">
            <v>ARB0264</v>
          </cell>
          <cell r="L22">
            <v>0</v>
          </cell>
          <cell r="M22">
            <v>0</v>
          </cell>
        </row>
        <row r="23">
          <cell r="A23" t="str">
            <v>ARB0302</v>
          </cell>
          <cell r="L23">
            <v>0</v>
          </cell>
          <cell r="M23">
            <v>0</v>
          </cell>
        </row>
        <row r="24">
          <cell r="A24" t="str">
            <v>ARB0303</v>
          </cell>
          <cell r="G24">
            <v>6460</v>
          </cell>
          <cell r="L24">
            <v>6460</v>
          </cell>
          <cell r="M24">
            <v>0</v>
          </cell>
        </row>
        <row r="25">
          <cell r="A25" t="str">
            <v>ARB0304</v>
          </cell>
          <cell r="L25">
            <v>0</v>
          </cell>
          <cell r="M25">
            <v>0</v>
          </cell>
        </row>
        <row r="26">
          <cell r="A26" t="str">
            <v>ARB0790</v>
          </cell>
          <cell r="L26">
            <v>0</v>
          </cell>
          <cell r="M26">
            <v>0</v>
          </cell>
        </row>
        <row r="27">
          <cell r="A27" t="str">
            <v>ARB0791</v>
          </cell>
          <cell r="L27">
            <v>0</v>
          </cell>
          <cell r="M27">
            <v>0</v>
          </cell>
        </row>
        <row r="28">
          <cell r="A28" t="str">
            <v>ARB0802</v>
          </cell>
          <cell r="L28">
            <v>0</v>
          </cell>
          <cell r="M28">
            <v>0</v>
          </cell>
        </row>
        <row r="29">
          <cell r="A29" t="str">
            <v>ARB0808</v>
          </cell>
          <cell r="L29">
            <v>0</v>
          </cell>
          <cell r="M29">
            <v>0</v>
          </cell>
        </row>
        <row r="30">
          <cell r="A30" t="str">
            <v>ARB0832</v>
          </cell>
          <cell r="L30">
            <v>0</v>
          </cell>
          <cell r="M30">
            <v>0</v>
          </cell>
        </row>
        <row r="31">
          <cell r="A31" t="str">
            <v>ARB0842</v>
          </cell>
          <cell r="L31">
            <v>0</v>
          </cell>
          <cell r="M31">
            <v>0</v>
          </cell>
        </row>
        <row r="32">
          <cell r="A32" t="str">
            <v>ARB1063</v>
          </cell>
          <cell r="L32">
            <v>0</v>
          </cell>
          <cell r="M32">
            <v>0</v>
          </cell>
        </row>
        <row r="33">
          <cell r="A33" t="str">
            <v>ARB1064</v>
          </cell>
          <cell r="L33">
            <v>0</v>
          </cell>
          <cell r="M33">
            <v>0</v>
          </cell>
        </row>
        <row r="34">
          <cell r="A34" t="str">
            <v>ARB1072</v>
          </cell>
          <cell r="G34">
            <v>3388</v>
          </cell>
          <cell r="L34">
            <v>3388</v>
          </cell>
          <cell r="M34">
            <v>0</v>
          </cell>
        </row>
        <row r="35">
          <cell r="A35" t="str">
            <v>ARB1073</v>
          </cell>
          <cell r="G35">
            <v>11700</v>
          </cell>
          <cell r="L35">
            <v>11700</v>
          </cell>
          <cell r="M35">
            <v>0</v>
          </cell>
        </row>
        <row r="36">
          <cell r="A36" t="str">
            <v>ARB1082</v>
          </cell>
          <cell r="L36">
            <v>0</v>
          </cell>
          <cell r="M36">
            <v>0</v>
          </cell>
        </row>
        <row r="37">
          <cell r="A37" t="str">
            <v>ARB1083</v>
          </cell>
          <cell r="B37">
            <v>780</v>
          </cell>
          <cell r="L37">
            <v>780</v>
          </cell>
          <cell r="M37">
            <v>0</v>
          </cell>
        </row>
        <row r="38">
          <cell r="A38" t="str">
            <v>ARB1084</v>
          </cell>
          <cell r="K38">
            <v>78624</v>
          </cell>
          <cell r="L38">
            <v>78624</v>
          </cell>
          <cell r="M38">
            <v>78624</v>
          </cell>
        </row>
        <row r="39">
          <cell r="A39" t="str">
            <v>ARB1300</v>
          </cell>
          <cell r="L39">
            <v>0</v>
          </cell>
          <cell r="M39">
            <v>0</v>
          </cell>
        </row>
        <row r="40">
          <cell r="A40" t="str">
            <v>ARB1301</v>
          </cell>
          <cell r="L40">
            <v>0</v>
          </cell>
          <cell r="M40">
            <v>0</v>
          </cell>
        </row>
        <row r="41">
          <cell r="A41" t="str">
            <v>ARB1302</v>
          </cell>
          <cell r="C41">
            <v>21975</v>
          </cell>
          <cell r="G41">
            <v>103414</v>
          </cell>
          <cell r="L41">
            <v>125389</v>
          </cell>
          <cell r="M41">
            <v>0</v>
          </cell>
        </row>
        <row r="42">
          <cell r="A42" t="str">
            <v>ARB1322</v>
          </cell>
          <cell r="C42">
            <v>10032</v>
          </cell>
          <cell r="G42">
            <v>25008</v>
          </cell>
          <cell r="L42">
            <v>35040</v>
          </cell>
          <cell r="M42">
            <v>0</v>
          </cell>
        </row>
        <row r="43">
          <cell r="A43" t="str">
            <v>ARB1323</v>
          </cell>
          <cell r="B43">
            <v>6780</v>
          </cell>
          <cell r="C43">
            <v>18000</v>
          </cell>
          <cell r="G43">
            <v>56820</v>
          </cell>
          <cell r="I43">
            <v>5940</v>
          </cell>
          <cell r="L43">
            <v>87540</v>
          </cell>
          <cell r="M43">
            <v>0</v>
          </cell>
        </row>
        <row r="44">
          <cell r="A44" t="str">
            <v>ARB1324</v>
          </cell>
          <cell r="C44">
            <v>6400</v>
          </cell>
          <cell r="I44">
            <v>30000</v>
          </cell>
          <cell r="L44">
            <v>36400</v>
          </cell>
          <cell r="M44">
            <v>0</v>
          </cell>
        </row>
        <row r="45">
          <cell r="A45" t="str">
            <v>ARB2303</v>
          </cell>
          <cell r="H45">
            <v>11880</v>
          </cell>
          <cell r="L45">
            <v>11880</v>
          </cell>
          <cell r="M45">
            <v>0</v>
          </cell>
        </row>
        <row r="46">
          <cell r="A46" t="str">
            <v>ARB2304</v>
          </cell>
          <cell r="L46">
            <v>0</v>
          </cell>
          <cell r="M46">
            <v>0</v>
          </cell>
        </row>
        <row r="47">
          <cell r="A47" t="str">
            <v>ARB2322</v>
          </cell>
          <cell r="L47">
            <v>0</v>
          </cell>
          <cell r="M47">
            <v>0</v>
          </cell>
        </row>
        <row r="48">
          <cell r="A48" t="str">
            <v>ARB2323</v>
          </cell>
          <cell r="C48">
            <v>3000</v>
          </cell>
          <cell r="L48">
            <v>3000</v>
          </cell>
          <cell r="M48">
            <v>0</v>
          </cell>
        </row>
        <row r="49">
          <cell r="A49" t="str">
            <v>ARB2324</v>
          </cell>
          <cell r="C49">
            <v>70000</v>
          </cell>
          <cell r="I49">
            <v>2000</v>
          </cell>
          <cell r="L49">
            <v>72000</v>
          </cell>
          <cell r="M49">
            <v>0</v>
          </cell>
        </row>
        <row r="50">
          <cell r="A50" t="str">
            <v>ARB3200</v>
          </cell>
          <cell r="L50">
            <v>0</v>
          </cell>
          <cell r="M50">
            <v>0</v>
          </cell>
        </row>
        <row r="51">
          <cell r="A51" t="str">
            <v>ARB3210</v>
          </cell>
          <cell r="L51">
            <v>0</v>
          </cell>
          <cell r="M51">
            <v>0</v>
          </cell>
        </row>
        <row r="52">
          <cell r="A52" t="str">
            <v>ARB4043</v>
          </cell>
          <cell r="L52">
            <v>0</v>
          </cell>
          <cell r="M52">
            <v>0</v>
          </cell>
        </row>
        <row r="53">
          <cell r="A53" t="str">
            <v>ARB5161</v>
          </cell>
          <cell r="L53">
            <v>0</v>
          </cell>
          <cell r="M53">
            <v>0</v>
          </cell>
        </row>
        <row r="54">
          <cell r="A54" t="str">
            <v>ARB5163</v>
          </cell>
          <cell r="L54">
            <v>0</v>
          </cell>
          <cell r="M54">
            <v>0</v>
          </cell>
        </row>
        <row r="55">
          <cell r="A55" t="str">
            <v>ARB5167</v>
          </cell>
          <cell r="G55">
            <v>4584</v>
          </cell>
          <cell r="L55">
            <v>4584</v>
          </cell>
          <cell r="M55">
            <v>0</v>
          </cell>
        </row>
        <row r="56">
          <cell r="A56" t="str">
            <v>ARB5168</v>
          </cell>
          <cell r="H56">
            <v>792</v>
          </cell>
          <cell r="L56">
            <v>792</v>
          </cell>
          <cell r="M56">
            <v>0</v>
          </cell>
        </row>
        <row r="57">
          <cell r="A57" t="str">
            <v>ARB5177</v>
          </cell>
          <cell r="G57">
            <v>648</v>
          </cell>
          <cell r="L57">
            <v>648</v>
          </cell>
          <cell r="M57">
            <v>0</v>
          </cell>
        </row>
        <row r="58">
          <cell r="A58" t="str">
            <v>ARB5178</v>
          </cell>
          <cell r="H58">
            <v>792</v>
          </cell>
          <cell r="L58">
            <v>792</v>
          </cell>
          <cell r="M58">
            <v>0</v>
          </cell>
        </row>
        <row r="59">
          <cell r="A59" t="str">
            <v>ARB5181</v>
          </cell>
          <cell r="G59">
            <v>500</v>
          </cell>
          <cell r="L59">
            <v>500</v>
          </cell>
          <cell r="M59">
            <v>0</v>
          </cell>
        </row>
        <row r="60">
          <cell r="A60" t="str">
            <v>ARB5187</v>
          </cell>
          <cell r="G60">
            <v>4002</v>
          </cell>
          <cell r="L60">
            <v>4002</v>
          </cell>
          <cell r="M60">
            <v>0</v>
          </cell>
        </row>
        <row r="61">
          <cell r="A61" t="str">
            <v>ARB5188</v>
          </cell>
          <cell r="L61">
            <v>0</v>
          </cell>
          <cell r="M61">
            <v>0</v>
          </cell>
        </row>
        <row r="62">
          <cell r="A62" t="str">
            <v>ARB5193</v>
          </cell>
          <cell r="L62">
            <v>0</v>
          </cell>
          <cell r="M62">
            <v>0</v>
          </cell>
        </row>
        <row r="63">
          <cell r="A63" t="str">
            <v>ARB5194</v>
          </cell>
          <cell r="G63">
            <v>1197</v>
          </cell>
          <cell r="L63">
            <v>1197</v>
          </cell>
          <cell r="M63">
            <v>0</v>
          </cell>
        </row>
        <row r="64">
          <cell r="A64" t="str">
            <v>ARB5195</v>
          </cell>
          <cell r="L64">
            <v>0</v>
          </cell>
          <cell r="M64">
            <v>0</v>
          </cell>
        </row>
        <row r="65">
          <cell r="A65" t="str">
            <v>ARB6153</v>
          </cell>
          <cell r="L65">
            <v>0</v>
          </cell>
          <cell r="M65">
            <v>0</v>
          </cell>
        </row>
        <row r="66">
          <cell r="A66" t="str">
            <v>ARB6404</v>
          </cell>
          <cell r="L66">
            <v>0</v>
          </cell>
          <cell r="M66">
            <v>0</v>
          </cell>
        </row>
        <row r="67">
          <cell r="A67" t="str">
            <v>ARB6404L</v>
          </cell>
          <cell r="L67">
            <v>0</v>
          </cell>
          <cell r="M67">
            <v>0</v>
          </cell>
        </row>
        <row r="68">
          <cell r="A68" t="str">
            <v>ARB6413</v>
          </cell>
          <cell r="L68">
            <v>0</v>
          </cell>
          <cell r="M68">
            <v>0</v>
          </cell>
        </row>
        <row r="69">
          <cell r="A69" t="str">
            <v>ARB6437</v>
          </cell>
          <cell r="L69">
            <v>0</v>
          </cell>
          <cell r="M69">
            <v>0</v>
          </cell>
        </row>
        <row r="70">
          <cell r="A70" t="str">
            <v>ARB6437L</v>
          </cell>
          <cell r="L70">
            <v>0</v>
          </cell>
          <cell r="M70">
            <v>0</v>
          </cell>
        </row>
        <row r="71">
          <cell r="A71" t="str">
            <v>ARB7003</v>
          </cell>
          <cell r="L71">
            <v>0</v>
          </cell>
          <cell r="M71">
            <v>0</v>
          </cell>
        </row>
        <row r="72">
          <cell r="A72" t="str">
            <v>ARB7013</v>
          </cell>
          <cell r="L72">
            <v>0</v>
          </cell>
          <cell r="M72">
            <v>0</v>
          </cell>
        </row>
        <row r="73">
          <cell r="A73" t="str">
            <v>ARB7023</v>
          </cell>
          <cell r="L73">
            <v>0</v>
          </cell>
          <cell r="M73">
            <v>0</v>
          </cell>
        </row>
        <row r="74">
          <cell r="A74" t="str">
            <v>ARB7024</v>
          </cell>
          <cell r="L74">
            <v>0</v>
          </cell>
          <cell r="M74">
            <v>0</v>
          </cell>
        </row>
        <row r="75">
          <cell r="A75" t="str">
            <v>ARB7033</v>
          </cell>
          <cell r="L75">
            <v>0</v>
          </cell>
          <cell r="M75">
            <v>0</v>
          </cell>
        </row>
        <row r="76">
          <cell r="A76" t="str">
            <v>ARB7034</v>
          </cell>
          <cell r="L76">
            <v>0</v>
          </cell>
          <cell r="M76">
            <v>0</v>
          </cell>
        </row>
        <row r="77">
          <cell r="A77" t="str">
            <v>ARB7317</v>
          </cell>
          <cell r="C77">
            <v>1000</v>
          </cell>
          <cell r="G77">
            <v>1700</v>
          </cell>
          <cell r="H77">
            <v>1650</v>
          </cell>
          <cell r="I77">
            <v>1500</v>
          </cell>
          <cell r="L77">
            <v>5850</v>
          </cell>
          <cell r="M77">
            <v>0</v>
          </cell>
        </row>
        <row r="78">
          <cell r="A78" t="str">
            <v>ARB7487</v>
          </cell>
          <cell r="H78">
            <v>3825</v>
          </cell>
          <cell r="L78">
            <v>3825</v>
          </cell>
          <cell r="M78">
            <v>0</v>
          </cell>
        </row>
        <row r="79">
          <cell r="A79" t="str">
            <v>ARB7925</v>
          </cell>
          <cell r="C79">
            <v>6000</v>
          </cell>
          <cell r="I79">
            <v>2500</v>
          </cell>
          <cell r="L79">
            <v>8500</v>
          </cell>
          <cell r="M79">
            <v>0</v>
          </cell>
        </row>
        <row r="80">
          <cell r="A80" t="str">
            <v>ARB8029</v>
          </cell>
          <cell r="L80">
            <v>0</v>
          </cell>
          <cell r="M80">
            <v>0</v>
          </cell>
        </row>
        <row r="81">
          <cell r="A81" t="str">
            <v>ARB8102P</v>
          </cell>
          <cell r="L81">
            <v>0</v>
          </cell>
          <cell r="M81">
            <v>0</v>
          </cell>
        </row>
        <row r="82">
          <cell r="A82" t="str">
            <v>ARB8112</v>
          </cell>
          <cell r="L82">
            <v>0</v>
          </cell>
          <cell r="M82">
            <v>0</v>
          </cell>
        </row>
        <row r="83">
          <cell r="A83" t="str">
            <v>ARB8114</v>
          </cell>
          <cell r="L83">
            <v>0</v>
          </cell>
          <cell r="M83">
            <v>0</v>
          </cell>
        </row>
        <row r="84">
          <cell r="A84" t="str">
            <v>ARB8134</v>
          </cell>
          <cell r="L84">
            <v>0</v>
          </cell>
          <cell r="M84">
            <v>0</v>
          </cell>
        </row>
        <row r="85">
          <cell r="A85" t="str">
            <v>ARB8152</v>
          </cell>
          <cell r="E85">
            <v>7400</v>
          </cell>
          <cell r="L85">
            <v>7400</v>
          </cell>
          <cell r="M85">
            <v>0</v>
          </cell>
        </row>
        <row r="86">
          <cell r="A86" t="str">
            <v>ARB8187</v>
          </cell>
          <cell r="L86">
            <v>0</v>
          </cell>
          <cell r="M86">
            <v>0</v>
          </cell>
        </row>
        <row r="87">
          <cell r="A87" t="str">
            <v>ARB8603</v>
          </cell>
          <cell r="L87">
            <v>0</v>
          </cell>
          <cell r="M87">
            <v>0</v>
          </cell>
        </row>
        <row r="88">
          <cell r="A88" t="str">
            <v>ARB8604</v>
          </cell>
          <cell r="L88">
            <v>0</v>
          </cell>
          <cell r="M88">
            <v>0</v>
          </cell>
        </row>
        <row r="89">
          <cell r="A89" t="str">
            <v>ARB8607</v>
          </cell>
          <cell r="L89">
            <v>0</v>
          </cell>
          <cell r="M89">
            <v>0</v>
          </cell>
        </row>
        <row r="90">
          <cell r="A90" t="str">
            <v>ARB9710</v>
          </cell>
          <cell r="L90">
            <v>0</v>
          </cell>
          <cell r="M90">
            <v>0</v>
          </cell>
        </row>
        <row r="91">
          <cell r="A91" t="str">
            <v>ARB9711</v>
          </cell>
          <cell r="L91">
            <v>0</v>
          </cell>
          <cell r="M91">
            <v>0</v>
          </cell>
        </row>
        <row r="92">
          <cell r="A92" t="str">
            <v>ARB9712</v>
          </cell>
          <cell r="L92">
            <v>0</v>
          </cell>
          <cell r="M92">
            <v>0</v>
          </cell>
        </row>
        <row r="93">
          <cell r="A93" t="str">
            <v>ARB9806</v>
          </cell>
          <cell r="C93">
            <v>5004</v>
          </cell>
          <cell r="G93">
            <v>25980</v>
          </cell>
          <cell r="H93">
            <v>5940</v>
          </cell>
          <cell r="L93">
            <v>36924</v>
          </cell>
          <cell r="M93">
            <v>0</v>
          </cell>
        </row>
        <row r="94">
          <cell r="A94" t="str">
            <v>ARB9808</v>
          </cell>
          <cell r="H94">
            <v>3168</v>
          </cell>
          <cell r="L94">
            <v>3168</v>
          </cell>
          <cell r="M94">
            <v>0</v>
          </cell>
        </row>
        <row r="95">
          <cell r="A95" t="str">
            <v>ARB9816</v>
          </cell>
          <cell r="C95">
            <v>5436</v>
          </cell>
          <cell r="H95">
            <v>7920</v>
          </cell>
          <cell r="L95">
            <v>13356</v>
          </cell>
          <cell r="M95">
            <v>0</v>
          </cell>
        </row>
        <row r="96">
          <cell r="A96" t="str">
            <v>ARB9818</v>
          </cell>
          <cell r="D96">
            <v>175</v>
          </cell>
          <cell r="H96">
            <v>5940</v>
          </cell>
          <cell r="I96">
            <v>336</v>
          </cell>
          <cell r="L96">
            <v>6451</v>
          </cell>
          <cell r="M96">
            <v>175</v>
          </cell>
        </row>
        <row r="97">
          <cell r="A97" t="str">
            <v>ARB9826</v>
          </cell>
          <cell r="C97">
            <v>3996</v>
          </cell>
          <cell r="H97">
            <v>792</v>
          </cell>
          <cell r="L97">
            <v>4788</v>
          </cell>
          <cell r="M97">
            <v>0</v>
          </cell>
        </row>
        <row r="98">
          <cell r="A98" t="str">
            <v>ARB9828</v>
          </cell>
          <cell r="D98">
            <v>55</v>
          </cell>
          <cell r="I98">
            <v>3396</v>
          </cell>
          <cell r="L98">
            <v>3451</v>
          </cell>
          <cell r="M98">
            <v>55</v>
          </cell>
        </row>
        <row r="99">
          <cell r="A99" t="str">
            <v>ARC0050P</v>
          </cell>
          <cell r="L99">
            <v>0</v>
          </cell>
          <cell r="M99">
            <v>0</v>
          </cell>
        </row>
        <row r="100">
          <cell r="A100" t="str">
            <v>ARC0473P</v>
          </cell>
          <cell r="L100">
            <v>0</v>
          </cell>
          <cell r="M100">
            <v>0</v>
          </cell>
        </row>
        <row r="101">
          <cell r="A101" t="str">
            <v>ARC1006P</v>
          </cell>
          <cell r="L101">
            <v>0</v>
          </cell>
          <cell r="M101">
            <v>0</v>
          </cell>
        </row>
        <row r="102">
          <cell r="A102" t="str">
            <v>ARC1008</v>
          </cell>
          <cell r="L102">
            <v>0</v>
          </cell>
          <cell r="M102">
            <v>0</v>
          </cell>
        </row>
        <row r="103">
          <cell r="A103" t="str">
            <v>ARC1964</v>
          </cell>
          <cell r="L103">
            <v>0</v>
          </cell>
          <cell r="M103">
            <v>0</v>
          </cell>
        </row>
        <row r="104">
          <cell r="A104" t="str">
            <v>ARC2006</v>
          </cell>
          <cell r="L104">
            <v>0</v>
          </cell>
          <cell r="M104">
            <v>0</v>
          </cell>
        </row>
        <row r="105">
          <cell r="A105" t="str">
            <v>ARC2006P</v>
          </cell>
          <cell r="L105">
            <v>0</v>
          </cell>
          <cell r="M105">
            <v>0</v>
          </cell>
        </row>
        <row r="106">
          <cell r="A106" t="str">
            <v>ARC2220</v>
          </cell>
          <cell r="L106">
            <v>0</v>
          </cell>
          <cell r="M106">
            <v>0</v>
          </cell>
        </row>
        <row r="107">
          <cell r="A107" t="str">
            <v>ARC2421</v>
          </cell>
          <cell r="H107">
            <v>200</v>
          </cell>
          <cell r="I107">
            <v>23480</v>
          </cell>
          <cell r="L107">
            <v>23680</v>
          </cell>
          <cell r="M107">
            <v>0</v>
          </cell>
        </row>
        <row r="108">
          <cell r="A108" t="str">
            <v>ARC2421P</v>
          </cell>
          <cell r="L108">
            <v>0</v>
          </cell>
          <cell r="M108">
            <v>0</v>
          </cell>
        </row>
        <row r="109">
          <cell r="A109" t="str">
            <v>ARC4002</v>
          </cell>
          <cell r="I109">
            <v>240</v>
          </cell>
          <cell r="L109">
            <v>240</v>
          </cell>
          <cell r="M109">
            <v>0</v>
          </cell>
        </row>
        <row r="110">
          <cell r="A110" t="str">
            <v>ARC4005</v>
          </cell>
          <cell r="L110">
            <v>0</v>
          </cell>
          <cell r="M110">
            <v>0</v>
          </cell>
        </row>
        <row r="111">
          <cell r="A111" t="str">
            <v>ARC4006</v>
          </cell>
          <cell r="L111">
            <v>0</v>
          </cell>
          <cell r="M111">
            <v>0</v>
          </cell>
        </row>
        <row r="112">
          <cell r="A112" t="str">
            <v>ARC5404</v>
          </cell>
          <cell r="I112">
            <v>59563</v>
          </cell>
          <cell r="L112">
            <v>59563</v>
          </cell>
          <cell r="M112">
            <v>0</v>
          </cell>
        </row>
        <row r="113">
          <cell r="A113" t="str">
            <v>ARC7501</v>
          </cell>
          <cell r="L113">
            <v>0</v>
          </cell>
          <cell r="M113">
            <v>0</v>
          </cell>
        </row>
        <row r="114">
          <cell r="A114" t="str">
            <v>ARC7502</v>
          </cell>
          <cell r="L114">
            <v>0</v>
          </cell>
          <cell r="M114">
            <v>0</v>
          </cell>
        </row>
        <row r="115">
          <cell r="A115" t="str">
            <v>ARC7503</v>
          </cell>
          <cell r="L115">
            <v>0</v>
          </cell>
          <cell r="M115">
            <v>0</v>
          </cell>
        </row>
        <row r="116">
          <cell r="A116" t="str">
            <v>ARC7511</v>
          </cell>
          <cell r="L116">
            <v>0</v>
          </cell>
          <cell r="M116">
            <v>0</v>
          </cell>
        </row>
        <row r="117">
          <cell r="A117" t="str">
            <v>ARD0001</v>
          </cell>
          <cell r="C117">
            <v>6000</v>
          </cell>
          <cell r="H117">
            <v>1800</v>
          </cell>
          <cell r="L117">
            <v>7800</v>
          </cell>
          <cell r="M117">
            <v>0</v>
          </cell>
        </row>
        <row r="118">
          <cell r="A118" t="str">
            <v>ARD0002</v>
          </cell>
          <cell r="L118">
            <v>0</v>
          </cell>
          <cell r="M118">
            <v>0</v>
          </cell>
        </row>
        <row r="119">
          <cell r="A119" t="str">
            <v>ARD0004</v>
          </cell>
          <cell r="C119">
            <v>1000</v>
          </cell>
          <cell r="L119">
            <v>1000</v>
          </cell>
          <cell r="M119">
            <v>0</v>
          </cell>
        </row>
        <row r="120">
          <cell r="A120" t="str">
            <v>ARD2926R</v>
          </cell>
        </row>
        <row r="121">
          <cell r="A121" t="str">
            <v>ARD5633</v>
          </cell>
          <cell r="C121">
            <v>2490</v>
          </cell>
          <cell r="L121">
            <v>2490</v>
          </cell>
          <cell r="M121">
            <v>0</v>
          </cell>
        </row>
        <row r="122">
          <cell r="A122" t="str">
            <v>ARL3203</v>
          </cell>
          <cell r="L122">
            <v>0</v>
          </cell>
          <cell r="M122">
            <v>0</v>
          </cell>
        </row>
        <row r="123">
          <cell r="A123" t="str">
            <v>ARL3213</v>
          </cell>
          <cell r="L123">
            <v>0</v>
          </cell>
          <cell r="M123">
            <v>0</v>
          </cell>
        </row>
        <row r="124">
          <cell r="A124" t="str">
            <v>ARL3300</v>
          </cell>
          <cell r="L124">
            <v>0</v>
          </cell>
          <cell r="M124">
            <v>0</v>
          </cell>
        </row>
        <row r="125">
          <cell r="A125" t="str">
            <v>ARL3303</v>
          </cell>
          <cell r="L125">
            <v>0</v>
          </cell>
          <cell r="M125">
            <v>0</v>
          </cell>
        </row>
        <row r="126">
          <cell r="A126" t="str">
            <v>ARL3310</v>
          </cell>
          <cell r="L126">
            <v>0</v>
          </cell>
          <cell r="M126">
            <v>0</v>
          </cell>
        </row>
        <row r="127">
          <cell r="A127" t="str">
            <v>ARL3313</v>
          </cell>
          <cell r="L127">
            <v>0</v>
          </cell>
          <cell r="M127">
            <v>0</v>
          </cell>
        </row>
        <row r="128">
          <cell r="A128" t="str">
            <v>ARL3320</v>
          </cell>
          <cell r="L128">
            <v>0</v>
          </cell>
          <cell r="M128">
            <v>0</v>
          </cell>
        </row>
        <row r="129">
          <cell r="A129" t="str">
            <v>ARL3323</v>
          </cell>
          <cell r="L129">
            <v>0</v>
          </cell>
          <cell r="M129">
            <v>0</v>
          </cell>
        </row>
        <row r="130">
          <cell r="A130" t="str">
            <v>ARL3330</v>
          </cell>
          <cell r="L130">
            <v>0</v>
          </cell>
          <cell r="M130">
            <v>0</v>
          </cell>
        </row>
        <row r="131">
          <cell r="A131" t="str">
            <v>ARL3333</v>
          </cell>
          <cell r="L131">
            <v>0</v>
          </cell>
          <cell r="M131">
            <v>0</v>
          </cell>
        </row>
        <row r="132">
          <cell r="A132" t="str">
            <v>ARL3340</v>
          </cell>
          <cell r="L132">
            <v>0</v>
          </cell>
          <cell r="M132">
            <v>0</v>
          </cell>
        </row>
        <row r="133">
          <cell r="A133" t="str">
            <v>ARL3343</v>
          </cell>
          <cell r="L133">
            <v>0</v>
          </cell>
          <cell r="M133">
            <v>0</v>
          </cell>
        </row>
        <row r="134">
          <cell r="A134" t="str">
            <v>ARL3353</v>
          </cell>
          <cell r="L134">
            <v>0</v>
          </cell>
          <cell r="M134">
            <v>0</v>
          </cell>
        </row>
        <row r="135">
          <cell r="A135" t="str">
            <v>ARL3363</v>
          </cell>
          <cell r="L135">
            <v>0</v>
          </cell>
          <cell r="M135">
            <v>0</v>
          </cell>
        </row>
        <row r="136">
          <cell r="A136" t="str">
            <v>ARL3373</v>
          </cell>
          <cell r="L136">
            <v>0</v>
          </cell>
          <cell r="M136">
            <v>0</v>
          </cell>
        </row>
        <row r="137">
          <cell r="A137" t="str">
            <v>ARL3383</v>
          </cell>
          <cell r="L137">
            <v>0</v>
          </cell>
          <cell r="M137">
            <v>0</v>
          </cell>
        </row>
        <row r="138">
          <cell r="A138" t="str">
            <v>ARL3393</v>
          </cell>
          <cell r="L138">
            <v>0</v>
          </cell>
          <cell r="M138">
            <v>0</v>
          </cell>
        </row>
        <row r="139">
          <cell r="A139" t="str">
            <v>ARL8030</v>
          </cell>
          <cell r="L139">
            <v>0</v>
          </cell>
          <cell r="M139">
            <v>0</v>
          </cell>
        </row>
        <row r="140">
          <cell r="A140" t="str">
            <v>ARM1278P</v>
          </cell>
          <cell r="H140">
            <v>19890</v>
          </cell>
          <cell r="L140">
            <v>19890</v>
          </cell>
          <cell r="M140">
            <v>0</v>
          </cell>
        </row>
        <row r="141">
          <cell r="A141" t="str">
            <v>ARM4226</v>
          </cell>
          <cell r="D141">
            <v>240</v>
          </cell>
          <cell r="L141">
            <v>240</v>
          </cell>
          <cell r="M141">
            <v>240</v>
          </cell>
        </row>
        <row r="142">
          <cell r="A142" t="str">
            <v>ARM4226P</v>
          </cell>
          <cell r="C142">
            <v>19980</v>
          </cell>
          <cell r="I142">
            <v>34980</v>
          </cell>
          <cell r="L142">
            <v>54960</v>
          </cell>
          <cell r="M142">
            <v>0</v>
          </cell>
        </row>
        <row r="143">
          <cell r="A143" t="str">
            <v>ARw0012</v>
          </cell>
          <cell r="L143">
            <v>0</v>
          </cell>
          <cell r="M143">
            <v>0</v>
          </cell>
        </row>
        <row r="144">
          <cell r="A144" t="str">
            <v>BRB7713</v>
          </cell>
          <cell r="L144">
            <v>0</v>
          </cell>
          <cell r="M144">
            <v>0</v>
          </cell>
        </row>
        <row r="145">
          <cell r="A145" t="str">
            <v>BRA1429</v>
          </cell>
          <cell r="L145">
            <v>0</v>
          </cell>
          <cell r="M145">
            <v>0</v>
          </cell>
        </row>
        <row r="146">
          <cell r="A146" t="str">
            <v>BRA3329</v>
          </cell>
          <cell r="L146">
            <v>0</v>
          </cell>
          <cell r="M146">
            <v>0</v>
          </cell>
        </row>
        <row r="147">
          <cell r="A147" t="str">
            <v>BRA5729</v>
          </cell>
          <cell r="L147">
            <v>0</v>
          </cell>
          <cell r="M147">
            <v>0</v>
          </cell>
        </row>
        <row r="148">
          <cell r="A148" t="str">
            <v>BRB3401</v>
          </cell>
          <cell r="L148">
            <v>0</v>
          </cell>
          <cell r="M148">
            <v>0</v>
          </cell>
        </row>
        <row r="149">
          <cell r="A149" t="str">
            <v>BRB3404</v>
          </cell>
          <cell r="L149">
            <v>0</v>
          </cell>
          <cell r="M149">
            <v>0</v>
          </cell>
        </row>
        <row r="150">
          <cell r="A150" t="str">
            <v>BRB6613</v>
          </cell>
          <cell r="L150">
            <v>0</v>
          </cell>
          <cell r="M150">
            <v>0</v>
          </cell>
        </row>
        <row r="151">
          <cell r="A151" t="str">
            <v>BRB6623</v>
          </cell>
          <cell r="L151">
            <v>0</v>
          </cell>
          <cell r="M151">
            <v>0</v>
          </cell>
        </row>
        <row r="152">
          <cell r="A152" t="str">
            <v>BRB7713</v>
          </cell>
          <cell r="L152">
            <v>0</v>
          </cell>
          <cell r="M152">
            <v>0</v>
          </cell>
        </row>
        <row r="153">
          <cell r="A153" t="str">
            <v>BRB7721</v>
          </cell>
          <cell r="L153">
            <v>0</v>
          </cell>
          <cell r="M153">
            <v>0</v>
          </cell>
        </row>
        <row r="154">
          <cell r="A154" t="str">
            <v>BRB7722</v>
          </cell>
          <cell r="L154">
            <v>0</v>
          </cell>
          <cell r="M154">
            <v>0</v>
          </cell>
        </row>
        <row r="155">
          <cell r="A155" t="str">
            <v>BRB8005</v>
          </cell>
          <cell r="L155">
            <v>0</v>
          </cell>
          <cell r="M155">
            <v>0</v>
          </cell>
        </row>
        <row r="156">
          <cell r="A156" t="str">
            <v>BRD0021</v>
          </cell>
          <cell r="L156">
            <v>0</v>
          </cell>
          <cell r="M156">
            <v>0</v>
          </cell>
        </row>
        <row r="157">
          <cell r="A157" t="str">
            <v>BRD0202</v>
          </cell>
          <cell r="L157">
            <v>0</v>
          </cell>
          <cell r="M157">
            <v>0</v>
          </cell>
        </row>
        <row r="158">
          <cell r="A158" t="str">
            <v>BRM6503G</v>
          </cell>
          <cell r="L158">
            <v>0</v>
          </cell>
          <cell r="M158">
            <v>0</v>
          </cell>
        </row>
        <row r="159">
          <cell r="A159" t="str">
            <v>BRM6504G</v>
          </cell>
          <cell r="L159">
            <v>0</v>
          </cell>
          <cell r="M159">
            <v>0</v>
          </cell>
        </row>
        <row r="160">
          <cell r="A160" t="str">
            <v>BRM6505G</v>
          </cell>
          <cell r="L160">
            <v>0</v>
          </cell>
          <cell r="M160">
            <v>0</v>
          </cell>
        </row>
        <row r="161">
          <cell r="A161" t="str">
            <v>BRM7198</v>
          </cell>
          <cell r="L161">
            <v>0</v>
          </cell>
          <cell r="M161">
            <v>0</v>
          </cell>
        </row>
        <row r="162">
          <cell r="A162" t="str">
            <v>BRM7198B</v>
          </cell>
          <cell r="L162">
            <v>0</v>
          </cell>
          <cell r="M162">
            <v>0</v>
          </cell>
        </row>
        <row r="163">
          <cell r="A163" t="str">
            <v>BRM7216</v>
          </cell>
          <cell r="K163">
            <v>3100</v>
          </cell>
          <cell r="L163">
            <v>3100</v>
          </cell>
          <cell r="M163">
            <v>3100</v>
          </cell>
        </row>
        <row r="164">
          <cell r="A164" t="str">
            <v>BRM7216B</v>
          </cell>
          <cell r="L164">
            <v>0</v>
          </cell>
          <cell r="M164">
            <v>0</v>
          </cell>
        </row>
        <row r="165">
          <cell r="A165" t="str">
            <v>BRM7709B</v>
          </cell>
          <cell r="C165">
            <v>7000</v>
          </cell>
          <cell r="L165">
            <v>7000</v>
          </cell>
          <cell r="M165">
            <v>0</v>
          </cell>
        </row>
        <row r="166">
          <cell r="A166" t="str">
            <v>CRB0064</v>
          </cell>
          <cell r="L166">
            <v>0</v>
          </cell>
          <cell r="M166">
            <v>0</v>
          </cell>
        </row>
        <row r="167">
          <cell r="A167" t="str">
            <v>CRB1302</v>
          </cell>
          <cell r="I167">
            <v>35649</v>
          </cell>
          <cell r="L167">
            <v>35649</v>
          </cell>
          <cell r="M167">
            <v>0</v>
          </cell>
        </row>
        <row r="168">
          <cell r="A168" t="str">
            <v>CRB1322</v>
          </cell>
          <cell r="I168">
            <v>23075</v>
          </cell>
          <cell r="L168">
            <v>23075</v>
          </cell>
          <cell r="M168">
            <v>0</v>
          </cell>
        </row>
        <row r="169">
          <cell r="A169" t="str">
            <v>CRB1323</v>
          </cell>
          <cell r="L169">
            <v>0</v>
          </cell>
          <cell r="M169">
            <v>0</v>
          </cell>
        </row>
        <row r="170">
          <cell r="A170" t="str">
            <v>CRB1324</v>
          </cell>
          <cell r="I170">
            <v>24000</v>
          </cell>
          <cell r="L170">
            <v>24000</v>
          </cell>
          <cell r="M170">
            <v>0</v>
          </cell>
        </row>
        <row r="171">
          <cell r="A171" t="str">
            <v>CRB6437</v>
          </cell>
          <cell r="I171">
            <v>4059</v>
          </cell>
          <cell r="L171">
            <v>4059</v>
          </cell>
          <cell r="M171">
            <v>0</v>
          </cell>
        </row>
        <row r="172">
          <cell r="A172" t="str">
            <v>CRB9806</v>
          </cell>
          <cell r="L172">
            <v>0</v>
          </cell>
          <cell r="M172">
            <v>0</v>
          </cell>
        </row>
        <row r="173">
          <cell r="A173" t="str">
            <v>CRB9808</v>
          </cell>
          <cell r="L173">
            <v>0</v>
          </cell>
          <cell r="M173">
            <v>0</v>
          </cell>
        </row>
        <row r="174">
          <cell r="A174" t="str">
            <v>CRB9816</v>
          </cell>
          <cell r="L174">
            <v>0</v>
          </cell>
          <cell r="M174">
            <v>0</v>
          </cell>
        </row>
        <row r="175">
          <cell r="A175" t="str">
            <v>CRB9818</v>
          </cell>
          <cell r="L175">
            <v>0</v>
          </cell>
          <cell r="M175">
            <v>0</v>
          </cell>
        </row>
        <row r="176">
          <cell r="A176" t="str">
            <v>CRB9826</v>
          </cell>
          <cell r="L176">
            <v>0</v>
          </cell>
          <cell r="M176">
            <v>0</v>
          </cell>
        </row>
        <row r="177">
          <cell r="A177" t="str">
            <v>CRB9828</v>
          </cell>
          <cell r="L177">
            <v>0</v>
          </cell>
          <cell r="M177">
            <v>0</v>
          </cell>
        </row>
        <row r="178">
          <cell r="A178" t="str">
            <v>MRC0001</v>
          </cell>
          <cell r="J178">
            <v>2000</v>
          </cell>
          <cell r="L178">
            <v>2000</v>
          </cell>
          <cell r="M178">
            <v>2000</v>
          </cell>
        </row>
        <row r="179">
          <cell r="A179" t="str">
            <v>MRC0001P</v>
          </cell>
          <cell r="L179">
            <v>0</v>
          </cell>
          <cell r="M179">
            <v>0</v>
          </cell>
        </row>
        <row r="180">
          <cell r="A180" t="str">
            <v>MRC0002P</v>
          </cell>
          <cell r="L180">
            <v>0</v>
          </cell>
          <cell r="M180">
            <v>0</v>
          </cell>
        </row>
        <row r="181">
          <cell r="A181" t="str">
            <v>MRC0005</v>
          </cell>
          <cell r="L181">
            <v>0</v>
          </cell>
          <cell r="M181">
            <v>0</v>
          </cell>
        </row>
        <row r="182">
          <cell r="A182" t="str">
            <v>MRC0005S</v>
          </cell>
          <cell r="L182">
            <v>0</v>
          </cell>
          <cell r="M182">
            <v>0</v>
          </cell>
        </row>
        <row r="183">
          <cell r="A183" t="str">
            <v>MRC0005SP</v>
          </cell>
          <cell r="L183">
            <v>0</v>
          </cell>
          <cell r="M183">
            <v>0</v>
          </cell>
        </row>
        <row r="184">
          <cell r="A184" t="str">
            <v>MRC0012</v>
          </cell>
          <cell r="L184">
            <v>0</v>
          </cell>
          <cell r="M184">
            <v>0</v>
          </cell>
        </row>
        <row r="185">
          <cell r="A185" t="str">
            <v>MRC0012P</v>
          </cell>
          <cell r="L185">
            <v>0</v>
          </cell>
          <cell r="M185">
            <v>0</v>
          </cell>
        </row>
        <row r="186">
          <cell r="A186" t="str">
            <v>MRC1007SP</v>
          </cell>
          <cell r="C186">
            <v>3000</v>
          </cell>
          <cell r="L186">
            <v>3000</v>
          </cell>
          <cell r="M186">
            <v>0</v>
          </cell>
        </row>
        <row r="187">
          <cell r="A187" t="str">
            <v>MRC2104</v>
          </cell>
          <cell r="F187">
            <v>14560</v>
          </cell>
          <cell r="I187">
            <v>8470</v>
          </cell>
          <cell r="L187">
            <v>23030</v>
          </cell>
          <cell r="M187">
            <v>14560</v>
          </cell>
        </row>
        <row r="188">
          <cell r="A188" t="str">
            <v>MRC2104P</v>
          </cell>
          <cell r="L188">
            <v>0</v>
          </cell>
          <cell r="M188">
            <v>0</v>
          </cell>
        </row>
        <row r="189">
          <cell r="A189" t="str">
            <v>MRC2106</v>
          </cell>
          <cell r="C189">
            <v>7980</v>
          </cell>
          <cell r="L189">
            <v>7980</v>
          </cell>
          <cell r="M189">
            <v>0</v>
          </cell>
        </row>
        <row r="190">
          <cell r="A190" t="str">
            <v>MRC2106P</v>
          </cell>
          <cell r="L190">
            <v>0</v>
          </cell>
          <cell r="M190">
            <v>0</v>
          </cell>
        </row>
        <row r="191">
          <cell r="A191" t="str">
            <v>MRC2182</v>
          </cell>
          <cell r="L191">
            <v>0</v>
          </cell>
          <cell r="M191">
            <v>0</v>
          </cell>
        </row>
        <row r="192">
          <cell r="A192" t="str">
            <v>MRC2182P</v>
          </cell>
          <cell r="L192">
            <v>0</v>
          </cell>
          <cell r="M192">
            <v>0</v>
          </cell>
        </row>
        <row r="193">
          <cell r="A193" t="str">
            <v>MRC9604P</v>
          </cell>
          <cell r="L193">
            <v>0</v>
          </cell>
          <cell r="M193">
            <v>0</v>
          </cell>
        </row>
        <row r="194">
          <cell r="A194" t="str">
            <v>MRD2923</v>
          </cell>
          <cell r="L194">
            <v>0</v>
          </cell>
          <cell r="M194">
            <v>0</v>
          </cell>
        </row>
        <row r="195">
          <cell r="A195" t="str">
            <v>MRD2926</v>
          </cell>
          <cell r="G195">
            <v>9900</v>
          </cell>
          <cell r="L195">
            <v>9900</v>
          </cell>
          <cell r="M195">
            <v>0</v>
          </cell>
        </row>
        <row r="196">
          <cell r="A196" t="str">
            <v>MRD2926M</v>
          </cell>
          <cell r="C196">
            <v>900</v>
          </cell>
          <cell r="H196">
            <v>1200</v>
          </cell>
          <cell r="I196">
            <v>1320</v>
          </cell>
          <cell r="L196">
            <v>3420</v>
          </cell>
          <cell r="M196">
            <v>0</v>
          </cell>
        </row>
        <row r="197">
          <cell r="A197" t="str">
            <v>MRM2602</v>
          </cell>
          <cell r="L197">
            <v>0</v>
          </cell>
          <cell r="M197">
            <v>0</v>
          </cell>
        </row>
        <row r="198">
          <cell r="A198" t="str">
            <v>MRM2603</v>
          </cell>
          <cell r="L198">
            <v>0</v>
          </cell>
          <cell r="M198">
            <v>0</v>
          </cell>
        </row>
        <row r="199">
          <cell r="A199" t="str">
            <v>MRM2604</v>
          </cell>
          <cell r="L199">
            <v>0</v>
          </cell>
          <cell r="M199">
            <v>0</v>
          </cell>
        </row>
        <row r="200">
          <cell r="A200" t="str">
            <v>MRM2606</v>
          </cell>
          <cell r="J200">
            <v>1260</v>
          </cell>
          <cell r="L200">
            <v>1260</v>
          </cell>
          <cell r="M200">
            <v>1260</v>
          </cell>
        </row>
        <row r="201">
          <cell r="A201" t="str">
            <v>MRM2607</v>
          </cell>
          <cell r="L201">
            <v>0</v>
          </cell>
          <cell r="M201">
            <v>0</v>
          </cell>
        </row>
        <row r="202">
          <cell r="A202" t="str">
            <v>MRM2608</v>
          </cell>
          <cell r="L202">
            <v>0</v>
          </cell>
          <cell r="M202">
            <v>0</v>
          </cell>
        </row>
        <row r="203">
          <cell r="A203" t="str">
            <v>MRM4093</v>
          </cell>
          <cell r="L203">
            <v>0</v>
          </cell>
          <cell r="M203">
            <v>0</v>
          </cell>
        </row>
        <row r="204">
          <cell r="A204" t="str">
            <v>MRM4262</v>
          </cell>
          <cell r="L204">
            <v>0</v>
          </cell>
          <cell r="M204">
            <v>0</v>
          </cell>
        </row>
        <row r="205">
          <cell r="A205" t="str">
            <v>MRM4283</v>
          </cell>
          <cell r="H205">
            <v>1800</v>
          </cell>
          <cell r="L205">
            <v>1800</v>
          </cell>
          <cell r="M205">
            <v>0</v>
          </cell>
        </row>
        <row r="206">
          <cell r="A206" t="str">
            <v>MRM4366</v>
          </cell>
          <cell r="L206">
            <v>0</v>
          </cell>
          <cell r="M206">
            <v>0</v>
          </cell>
        </row>
        <row r="207">
          <cell r="A207" t="str">
            <v>MRM4464</v>
          </cell>
          <cell r="L207">
            <v>0</v>
          </cell>
          <cell r="M207">
            <v>0</v>
          </cell>
        </row>
        <row r="208">
          <cell r="A208" t="str">
            <v>MRM4469</v>
          </cell>
          <cell r="G208">
            <v>8790</v>
          </cell>
          <cell r="L208">
            <v>8790</v>
          </cell>
          <cell r="M208">
            <v>0</v>
          </cell>
        </row>
        <row r="209">
          <cell r="A209" t="str">
            <v>MRM4469P</v>
          </cell>
          <cell r="E209">
            <v>30240</v>
          </cell>
          <cell r="L209">
            <v>30240</v>
          </cell>
          <cell r="M209">
            <v>0</v>
          </cell>
        </row>
        <row r="210">
          <cell r="A210" t="str">
            <v>MRM4491</v>
          </cell>
          <cell r="H210">
            <v>1776</v>
          </cell>
          <cell r="L210">
            <v>1776</v>
          </cell>
          <cell r="M210">
            <v>0</v>
          </cell>
        </row>
        <row r="211">
          <cell r="A211" t="str">
            <v>PRC4128P</v>
          </cell>
          <cell r="E211">
            <v>4200</v>
          </cell>
          <cell r="L211">
            <v>4200</v>
          </cell>
          <cell r="M211">
            <v>0</v>
          </cell>
        </row>
        <row r="212">
          <cell r="A212" t="str">
            <v>PRC4134P</v>
          </cell>
          <cell r="E212">
            <v>3500</v>
          </cell>
          <cell r="L212">
            <v>3500</v>
          </cell>
          <cell r="M212">
            <v>0</v>
          </cell>
        </row>
        <row r="213">
          <cell r="A213" t="str">
            <v>VRB1301</v>
          </cell>
          <cell r="L213">
            <v>0</v>
          </cell>
          <cell r="M213">
            <v>0</v>
          </cell>
        </row>
        <row r="214">
          <cell r="A214" t="str">
            <v>VRB1323</v>
          </cell>
          <cell r="G214">
            <v>154430</v>
          </cell>
          <cell r="L214">
            <v>154430</v>
          </cell>
          <cell r="M214">
            <v>0</v>
          </cell>
        </row>
        <row r="215">
          <cell r="A215" t="str">
            <v>VRB2303</v>
          </cell>
          <cell r="L215">
            <v>0</v>
          </cell>
          <cell r="M215">
            <v>0</v>
          </cell>
        </row>
        <row r="216">
          <cell r="A216" t="str">
            <v>VRL3303</v>
          </cell>
          <cell r="L216">
            <v>0</v>
          </cell>
          <cell r="M216">
            <v>0</v>
          </cell>
        </row>
        <row r="217">
          <cell r="A217" t="str">
            <v>VRL3313</v>
          </cell>
          <cell r="L217">
            <v>0</v>
          </cell>
          <cell r="M217">
            <v>0</v>
          </cell>
        </row>
        <row r="218">
          <cell r="A218" t="str">
            <v>VRL3373</v>
          </cell>
          <cell r="L218">
            <v>0</v>
          </cell>
          <cell r="M218">
            <v>0</v>
          </cell>
        </row>
      </sheetData>
      <sheetData sheetId="9">
        <row r="4">
          <cell r="A4" t="str">
            <v>020117454</v>
          </cell>
          <cell r="F4">
            <v>30</v>
          </cell>
          <cell r="L4">
            <v>30</v>
          </cell>
          <cell r="M4">
            <v>30</v>
          </cell>
        </row>
        <row r="5">
          <cell r="A5" t="str">
            <v>032518275</v>
          </cell>
          <cell r="E5">
            <v>9988</v>
          </cell>
          <cell r="L5">
            <v>9988</v>
          </cell>
          <cell r="M5">
            <v>0</v>
          </cell>
        </row>
        <row r="6">
          <cell r="A6" t="str">
            <v>032633109</v>
          </cell>
          <cell r="M6">
            <v>0</v>
          </cell>
        </row>
        <row r="7">
          <cell r="A7">
            <v>231603229</v>
          </cell>
          <cell r="E7">
            <v>16058</v>
          </cell>
          <cell r="L7">
            <v>16058</v>
          </cell>
          <cell r="M7">
            <v>0</v>
          </cell>
        </row>
        <row r="8">
          <cell r="A8">
            <v>231603233</v>
          </cell>
          <cell r="E8">
            <v>33437</v>
          </cell>
          <cell r="L8">
            <v>33437</v>
          </cell>
          <cell r="M8">
            <v>0</v>
          </cell>
        </row>
        <row r="9">
          <cell r="A9">
            <v>231603234</v>
          </cell>
          <cell r="L9">
            <v>0</v>
          </cell>
          <cell r="M9">
            <v>0</v>
          </cell>
        </row>
        <row r="10">
          <cell r="A10">
            <v>231603235</v>
          </cell>
          <cell r="L10">
            <v>0</v>
          </cell>
          <cell r="M10">
            <v>0</v>
          </cell>
        </row>
        <row r="11">
          <cell r="A11">
            <v>231603236</v>
          </cell>
          <cell r="L11">
            <v>0</v>
          </cell>
          <cell r="M11">
            <v>0</v>
          </cell>
        </row>
        <row r="12">
          <cell r="A12" t="str">
            <v>ARB0060</v>
          </cell>
          <cell r="C12">
            <v>7950</v>
          </cell>
          <cell r="L12">
            <v>7950</v>
          </cell>
          <cell r="M12">
            <v>0</v>
          </cell>
        </row>
        <row r="13">
          <cell r="A13" t="str">
            <v>ARB0062</v>
          </cell>
          <cell r="C13">
            <v>6000</v>
          </cell>
          <cell r="D13">
            <v>4032</v>
          </cell>
          <cell r="L13">
            <v>10032</v>
          </cell>
          <cell r="M13">
            <v>0</v>
          </cell>
        </row>
        <row r="14">
          <cell r="A14" t="str">
            <v>ARB0063</v>
          </cell>
          <cell r="L14">
            <v>0</v>
          </cell>
          <cell r="M14">
            <v>0</v>
          </cell>
        </row>
        <row r="15">
          <cell r="A15" t="str">
            <v>ARB0064</v>
          </cell>
          <cell r="C15">
            <v>5600</v>
          </cell>
          <cell r="D15">
            <v>45008</v>
          </cell>
          <cell r="L15">
            <v>50608</v>
          </cell>
          <cell r="M15">
            <v>0</v>
          </cell>
        </row>
        <row r="16">
          <cell r="A16" t="str">
            <v>ARB0081</v>
          </cell>
          <cell r="C16">
            <v>12000</v>
          </cell>
          <cell r="L16">
            <v>12000</v>
          </cell>
          <cell r="M16">
            <v>0</v>
          </cell>
        </row>
        <row r="17">
          <cell r="A17" t="str">
            <v>ARB0162</v>
          </cell>
          <cell r="H17">
            <v>1584</v>
          </cell>
          <cell r="L17">
            <v>1584</v>
          </cell>
          <cell r="M17">
            <v>0</v>
          </cell>
        </row>
        <row r="18">
          <cell r="A18" t="str">
            <v>ARB0163</v>
          </cell>
          <cell r="G18">
            <v>10020</v>
          </cell>
          <cell r="L18">
            <v>10020</v>
          </cell>
          <cell r="M18">
            <v>0</v>
          </cell>
        </row>
        <row r="19">
          <cell r="A19" t="str">
            <v>ARB0164</v>
          </cell>
          <cell r="C19">
            <v>512</v>
          </cell>
          <cell r="D19">
            <v>5008</v>
          </cell>
          <cell r="L19">
            <v>5520</v>
          </cell>
          <cell r="M19">
            <v>0</v>
          </cell>
        </row>
        <row r="20">
          <cell r="A20" t="str">
            <v>ARB0253</v>
          </cell>
          <cell r="L20">
            <v>0</v>
          </cell>
          <cell r="M20">
            <v>0</v>
          </cell>
        </row>
        <row r="21">
          <cell r="A21" t="str">
            <v>ARB0254</v>
          </cell>
          <cell r="H21">
            <v>240</v>
          </cell>
          <cell r="L21">
            <v>240</v>
          </cell>
          <cell r="M21">
            <v>0</v>
          </cell>
        </row>
        <row r="22">
          <cell r="A22" t="str">
            <v>ARB0264</v>
          </cell>
          <cell r="L22">
            <v>0</v>
          </cell>
          <cell r="M22">
            <v>0</v>
          </cell>
        </row>
        <row r="23">
          <cell r="A23" t="str">
            <v>ARB0302</v>
          </cell>
          <cell r="D23">
            <v>432</v>
          </cell>
          <cell r="L23">
            <v>432</v>
          </cell>
          <cell r="M23">
            <v>0</v>
          </cell>
        </row>
        <row r="24">
          <cell r="A24" t="str">
            <v>ARB0303</v>
          </cell>
          <cell r="D24">
            <v>300</v>
          </cell>
          <cell r="L24">
            <v>300</v>
          </cell>
          <cell r="M24">
            <v>0</v>
          </cell>
        </row>
        <row r="25">
          <cell r="A25" t="str">
            <v>ARB0304</v>
          </cell>
          <cell r="L25">
            <v>0</v>
          </cell>
          <cell r="M25">
            <v>0</v>
          </cell>
        </row>
        <row r="26">
          <cell r="A26" t="str">
            <v>ARB0790</v>
          </cell>
          <cell r="M26">
            <v>0</v>
          </cell>
        </row>
        <row r="27">
          <cell r="A27" t="str">
            <v>ARB0791</v>
          </cell>
          <cell r="L27">
            <v>0</v>
          </cell>
          <cell r="M27">
            <v>0</v>
          </cell>
        </row>
        <row r="28">
          <cell r="A28" t="str">
            <v>ARB0802</v>
          </cell>
          <cell r="L28">
            <v>0</v>
          </cell>
          <cell r="M28">
            <v>0</v>
          </cell>
        </row>
        <row r="29">
          <cell r="A29" t="str">
            <v>ARB0808</v>
          </cell>
          <cell r="L29">
            <v>0</v>
          </cell>
          <cell r="M29">
            <v>0</v>
          </cell>
        </row>
        <row r="30">
          <cell r="A30" t="str">
            <v>ARB0832</v>
          </cell>
          <cell r="L30">
            <v>0</v>
          </cell>
          <cell r="M30">
            <v>0</v>
          </cell>
        </row>
        <row r="31">
          <cell r="A31" t="str">
            <v>ARB0842</v>
          </cell>
          <cell r="L31">
            <v>0</v>
          </cell>
          <cell r="M31">
            <v>0</v>
          </cell>
        </row>
        <row r="32">
          <cell r="A32" t="str">
            <v>ARB1063</v>
          </cell>
          <cell r="C32">
            <v>3450</v>
          </cell>
          <cell r="D32">
            <v>1020</v>
          </cell>
          <cell r="G32">
            <v>40020</v>
          </cell>
          <cell r="L32">
            <v>44490</v>
          </cell>
          <cell r="M32">
            <v>0</v>
          </cell>
        </row>
        <row r="33">
          <cell r="A33" t="str">
            <v>ARB1064</v>
          </cell>
          <cell r="C33">
            <v>2400</v>
          </cell>
          <cell r="D33">
            <v>46000</v>
          </cell>
          <cell r="L33">
            <v>48400</v>
          </cell>
          <cell r="M33">
            <v>0</v>
          </cell>
        </row>
        <row r="34">
          <cell r="A34" t="str">
            <v>ARB1072</v>
          </cell>
          <cell r="L34">
            <v>0</v>
          </cell>
          <cell r="M34">
            <v>0</v>
          </cell>
        </row>
        <row r="35">
          <cell r="A35" t="str">
            <v>ARB1073</v>
          </cell>
          <cell r="G35">
            <v>20010</v>
          </cell>
          <cell r="L35">
            <v>20010</v>
          </cell>
          <cell r="M35">
            <v>0</v>
          </cell>
        </row>
        <row r="36">
          <cell r="A36" t="str">
            <v>ARB1082</v>
          </cell>
          <cell r="C36">
            <v>1200</v>
          </cell>
          <cell r="L36">
            <v>1200</v>
          </cell>
          <cell r="M36">
            <v>0</v>
          </cell>
        </row>
        <row r="37">
          <cell r="A37" t="str">
            <v>ARB1083</v>
          </cell>
          <cell r="C37">
            <v>900</v>
          </cell>
          <cell r="L37">
            <v>900</v>
          </cell>
          <cell r="M37">
            <v>0</v>
          </cell>
        </row>
        <row r="38">
          <cell r="A38" t="str">
            <v>ARB1084</v>
          </cell>
          <cell r="K38">
            <v>111008</v>
          </cell>
          <cell r="L38">
            <v>111008</v>
          </cell>
          <cell r="M38">
            <v>111008</v>
          </cell>
        </row>
        <row r="39">
          <cell r="A39" t="str">
            <v>ARB1300</v>
          </cell>
          <cell r="L39">
            <v>0</v>
          </cell>
          <cell r="M39">
            <v>0</v>
          </cell>
        </row>
        <row r="40">
          <cell r="A40" t="str">
            <v>ARB1301</v>
          </cell>
          <cell r="L40">
            <v>0</v>
          </cell>
          <cell r="M40">
            <v>0</v>
          </cell>
        </row>
        <row r="41">
          <cell r="A41" t="str">
            <v>ARB1302</v>
          </cell>
          <cell r="D41">
            <v>30000</v>
          </cell>
          <cell r="L41">
            <v>30000</v>
          </cell>
          <cell r="M41">
            <v>0</v>
          </cell>
        </row>
        <row r="42">
          <cell r="A42" t="str">
            <v>ARB1322</v>
          </cell>
          <cell r="C42">
            <v>2544</v>
          </cell>
          <cell r="L42">
            <v>2544</v>
          </cell>
          <cell r="M42">
            <v>0</v>
          </cell>
        </row>
        <row r="43">
          <cell r="A43" t="str">
            <v>ARB1323</v>
          </cell>
          <cell r="C43">
            <v>26400</v>
          </cell>
          <cell r="G43">
            <v>97800</v>
          </cell>
          <cell r="L43">
            <v>124200</v>
          </cell>
          <cell r="M43">
            <v>0</v>
          </cell>
        </row>
        <row r="44">
          <cell r="A44" t="str">
            <v>ARB1324</v>
          </cell>
          <cell r="D44">
            <v>137504</v>
          </cell>
          <cell r="L44">
            <v>137504</v>
          </cell>
          <cell r="M44">
            <v>0</v>
          </cell>
        </row>
        <row r="45">
          <cell r="A45" t="str">
            <v>ARB2303</v>
          </cell>
          <cell r="H45">
            <v>3960</v>
          </cell>
          <cell r="L45">
            <v>3960</v>
          </cell>
          <cell r="M45">
            <v>0</v>
          </cell>
        </row>
        <row r="46">
          <cell r="A46" t="str">
            <v>ARB2304</v>
          </cell>
          <cell r="L46">
            <v>0</v>
          </cell>
          <cell r="M46">
            <v>0</v>
          </cell>
        </row>
        <row r="47">
          <cell r="A47" t="str">
            <v>ARB2322</v>
          </cell>
          <cell r="L47">
            <v>0</v>
          </cell>
          <cell r="M47">
            <v>0</v>
          </cell>
        </row>
        <row r="48">
          <cell r="A48" t="str">
            <v>ARB2323</v>
          </cell>
          <cell r="D48">
            <v>10020</v>
          </cell>
          <cell r="L48">
            <v>10020</v>
          </cell>
          <cell r="M48">
            <v>0</v>
          </cell>
        </row>
        <row r="49">
          <cell r="A49" t="str">
            <v>ARB2324</v>
          </cell>
          <cell r="I49">
            <v>2000</v>
          </cell>
          <cell r="L49">
            <v>2000</v>
          </cell>
          <cell r="M49">
            <v>0</v>
          </cell>
        </row>
        <row r="50">
          <cell r="A50" t="str">
            <v>ARB3200</v>
          </cell>
          <cell r="L50">
            <v>0</v>
          </cell>
          <cell r="M50">
            <v>0</v>
          </cell>
        </row>
        <row r="51">
          <cell r="A51" t="str">
            <v>ARB3210</v>
          </cell>
          <cell r="L51">
            <v>0</v>
          </cell>
          <cell r="M51">
            <v>0</v>
          </cell>
        </row>
        <row r="52">
          <cell r="A52" t="str">
            <v>ARB4043</v>
          </cell>
          <cell r="L52">
            <v>0</v>
          </cell>
          <cell r="M52">
            <v>0</v>
          </cell>
        </row>
        <row r="53">
          <cell r="A53" t="str">
            <v>ARB5161</v>
          </cell>
          <cell r="L53">
            <v>0</v>
          </cell>
          <cell r="M53">
            <v>0</v>
          </cell>
        </row>
        <row r="54">
          <cell r="A54" t="str">
            <v>ARB5163</v>
          </cell>
          <cell r="L54">
            <v>0</v>
          </cell>
          <cell r="M54">
            <v>0</v>
          </cell>
        </row>
        <row r="55">
          <cell r="A55" t="str">
            <v>ARB5167</v>
          </cell>
          <cell r="L55">
            <v>0</v>
          </cell>
          <cell r="M55">
            <v>0</v>
          </cell>
        </row>
        <row r="56">
          <cell r="A56" t="str">
            <v>ARB5168</v>
          </cell>
          <cell r="H56">
            <v>792</v>
          </cell>
          <cell r="L56">
            <v>792</v>
          </cell>
          <cell r="M56">
            <v>0</v>
          </cell>
        </row>
        <row r="57">
          <cell r="A57" t="str">
            <v>ARB5177</v>
          </cell>
          <cell r="L57">
            <v>0</v>
          </cell>
          <cell r="M57">
            <v>0</v>
          </cell>
        </row>
        <row r="58">
          <cell r="A58" t="str">
            <v>ARB5178</v>
          </cell>
          <cell r="H58">
            <v>1188</v>
          </cell>
          <cell r="L58">
            <v>1188</v>
          </cell>
          <cell r="M58">
            <v>0</v>
          </cell>
        </row>
        <row r="59">
          <cell r="A59" t="str">
            <v>ARB5181</v>
          </cell>
          <cell r="L59">
            <v>0</v>
          </cell>
          <cell r="M59">
            <v>0</v>
          </cell>
        </row>
        <row r="60">
          <cell r="A60" t="str">
            <v>ARB5187</v>
          </cell>
          <cell r="L60">
            <v>0</v>
          </cell>
          <cell r="M60">
            <v>0</v>
          </cell>
        </row>
        <row r="61">
          <cell r="A61" t="str">
            <v>ARB5188</v>
          </cell>
          <cell r="H61">
            <v>198</v>
          </cell>
          <cell r="L61">
            <v>198</v>
          </cell>
          <cell r="M61">
            <v>0</v>
          </cell>
        </row>
        <row r="62">
          <cell r="A62" t="str">
            <v>ARB5193</v>
          </cell>
          <cell r="D62">
            <v>120</v>
          </cell>
          <cell r="L62">
            <v>120</v>
          </cell>
          <cell r="M62">
            <v>0</v>
          </cell>
        </row>
        <row r="63">
          <cell r="A63" t="str">
            <v>ARB5194</v>
          </cell>
          <cell r="D63">
            <v>222</v>
          </cell>
          <cell r="L63">
            <v>222</v>
          </cell>
          <cell r="M63">
            <v>0</v>
          </cell>
        </row>
        <row r="64">
          <cell r="A64" t="str">
            <v>ARB5195</v>
          </cell>
          <cell r="D64">
            <v>120</v>
          </cell>
          <cell r="L64">
            <v>120</v>
          </cell>
          <cell r="M64">
            <v>0</v>
          </cell>
        </row>
        <row r="65">
          <cell r="A65" t="str">
            <v>ARB6153</v>
          </cell>
          <cell r="L65">
            <v>0</v>
          </cell>
          <cell r="M65">
            <v>0</v>
          </cell>
        </row>
        <row r="66">
          <cell r="A66" t="str">
            <v>ARB6404</v>
          </cell>
          <cell r="L66">
            <v>0</v>
          </cell>
          <cell r="M66">
            <v>0</v>
          </cell>
        </row>
        <row r="67">
          <cell r="A67" t="str">
            <v>ARB6404L</v>
          </cell>
          <cell r="L67">
            <v>0</v>
          </cell>
          <cell r="M67">
            <v>0</v>
          </cell>
        </row>
        <row r="68">
          <cell r="A68" t="str">
            <v>ARB6413</v>
          </cell>
          <cell r="L68">
            <v>0</v>
          </cell>
          <cell r="M68">
            <v>0</v>
          </cell>
        </row>
        <row r="69">
          <cell r="A69" t="str">
            <v>ARB6437</v>
          </cell>
          <cell r="I69">
            <v>1940</v>
          </cell>
          <cell r="L69">
            <v>1940</v>
          </cell>
          <cell r="M69">
            <v>0</v>
          </cell>
        </row>
        <row r="70">
          <cell r="A70" t="str">
            <v>ARB6437L</v>
          </cell>
          <cell r="L70">
            <v>0</v>
          </cell>
          <cell r="M70">
            <v>0</v>
          </cell>
        </row>
        <row r="71">
          <cell r="A71" t="str">
            <v>ARB7003</v>
          </cell>
          <cell r="L71">
            <v>0</v>
          </cell>
          <cell r="M71">
            <v>0</v>
          </cell>
        </row>
        <row r="72">
          <cell r="A72" t="str">
            <v>ARB7013</v>
          </cell>
          <cell r="L72">
            <v>0</v>
          </cell>
          <cell r="M72">
            <v>0</v>
          </cell>
        </row>
        <row r="73">
          <cell r="A73" t="str">
            <v>ARB7023</v>
          </cell>
          <cell r="L73">
            <v>0</v>
          </cell>
          <cell r="M73">
            <v>0</v>
          </cell>
        </row>
        <row r="74">
          <cell r="A74" t="str">
            <v>ARB7024</v>
          </cell>
          <cell r="L74">
            <v>0</v>
          </cell>
          <cell r="M74">
            <v>0</v>
          </cell>
        </row>
        <row r="75">
          <cell r="A75" t="str">
            <v>ARB7033</v>
          </cell>
          <cell r="L75">
            <v>0</v>
          </cell>
          <cell r="M75">
            <v>0</v>
          </cell>
        </row>
        <row r="76">
          <cell r="A76" t="str">
            <v>ARB7034</v>
          </cell>
          <cell r="L76">
            <v>0</v>
          </cell>
          <cell r="M76">
            <v>0</v>
          </cell>
        </row>
        <row r="77">
          <cell r="A77" t="str">
            <v>ARB7317</v>
          </cell>
          <cell r="C77">
            <v>-800</v>
          </cell>
          <cell r="H77">
            <v>1320</v>
          </cell>
          <cell r="I77">
            <v>2000</v>
          </cell>
          <cell r="L77">
            <v>2520</v>
          </cell>
          <cell r="M77">
            <v>0</v>
          </cell>
        </row>
        <row r="78">
          <cell r="A78" t="str">
            <v>ARB7487</v>
          </cell>
          <cell r="H78">
            <v>2310</v>
          </cell>
          <cell r="L78">
            <v>2310</v>
          </cell>
          <cell r="M78">
            <v>0</v>
          </cell>
        </row>
        <row r="79">
          <cell r="A79" t="str">
            <v>ARB7925</v>
          </cell>
          <cell r="D79">
            <v>3000</v>
          </cell>
          <cell r="L79">
            <v>3000</v>
          </cell>
          <cell r="M79">
            <v>0</v>
          </cell>
        </row>
        <row r="80">
          <cell r="A80" t="str">
            <v>ARB8029</v>
          </cell>
          <cell r="L80">
            <v>0</v>
          </cell>
          <cell r="M80">
            <v>0</v>
          </cell>
        </row>
        <row r="81">
          <cell r="A81" t="str">
            <v>ARB8102P</v>
          </cell>
          <cell r="L81">
            <v>0</v>
          </cell>
          <cell r="M81">
            <v>0</v>
          </cell>
        </row>
        <row r="82">
          <cell r="A82" t="str">
            <v>ARB8112</v>
          </cell>
          <cell r="L82">
            <v>0</v>
          </cell>
          <cell r="M82">
            <v>0</v>
          </cell>
        </row>
        <row r="83">
          <cell r="A83" t="str">
            <v>ARB8114</v>
          </cell>
          <cell r="L83">
            <v>0</v>
          </cell>
          <cell r="M83">
            <v>0</v>
          </cell>
        </row>
        <row r="84">
          <cell r="A84" t="str">
            <v>ARB8134</v>
          </cell>
          <cell r="L84">
            <v>0</v>
          </cell>
          <cell r="M84">
            <v>0</v>
          </cell>
        </row>
        <row r="85">
          <cell r="A85" t="str">
            <v>ARB8152</v>
          </cell>
          <cell r="E85">
            <v>1100</v>
          </cell>
          <cell r="L85">
            <v>1100</v>
          </cell>
          <cell r="M85">
            <v>0</v>
          </cell>
        </row>
        <row r="86">
          <cell r="A86" t="str">
            <v>ARB8187</v>
          </cell>
          <cell r="L86">
            <v>0</v>
          </cell>
          <cell r="M86">
            <v>0</v>
          </cell>
        </row>
        <row r="87">
          <cell r="A87" t="str">
            <v>ARB8603</v>
          </cell>
          <cell r="L87">
            <v>0</v>
          </cell>
          <cell r="M87">
            <v>0</v>
          </cell>
        </row>
        <row r="88">
          <cell r="A88" t="str">
            <v>ARB8604</v>
          </cell>
          <cell r="L88">
            <v>0</v>
          </cell>
          <cell r="M88">
            <v>0</v>
          </cell>
        </row>
        <row r="89">
          <cell r="A89" t="str">
            <v>ARB8607</v>
          </cell>
          <cell r="L89">
            <v>0</v>
          </cell>
          <cell r="M89">
            <v>0</v>
          </cell>
        </row>
        <row r="90">
          <cell r="A90" t="str">
            <v>ARB9710</v>
          </cell>
          <cell r="L90">
            <v>0</v>
          </cell>
          <cell r="M90">
            <v>0</v>
          </cell>
        </row>
        <row r="91">
          <cell r="A91" t="str">
            <v>ARB9711</v>
          </cell>
          <cell r="L91">
            <v>0</v>
          </cell>
          <cell r="M91">
            <v>0</v>
          </cell>
        </row>
        <row r="92">
          <cell r="A92" t="str">
            <v>ARB9712</v>
          </cell>
          <cell r="L92">
            <v>0</v>
          </cell>
          <cell r="M92">
            <v>0</v>
          </cell>
        </row>
        <row r="93">
          <cell r="A93" t="str">
            <v>ARB9806</v>
          </cell>
          <cell r="D93">
            <v>6000</v>
          </cell>
          <cell r="H93">
            <v>5940</v>
          </cell>
          <cell r="I93">
            <v>6000</v>
          </cell>
          <cell r="L93">
            <v>17940</v>
          </cell>
          <cell r="M93">
            <v>0</v>
          </cell>
        </row>
        <row r="94">
          <cell r="A94" t="str">
            <v>ARB9808</v>
          </cell>
          <cell r="H94">
            <v>3168</v>
          </cell>
          <cell r="L94">
            <v>3168</v>
          </cell>
          <cell r="M94">
            <v>0</v>
          </cell>
        </row>
        <row r="95">
          <cell r="A95" t="str">
            <v>ARB9816</v>
          </cell>
          <cell r="C95">
            <v>-5346</v>
          </cell>
          <cell r="D95">
            <v>8004</v>
          </cell>
          <cell r="H95">
            <v>5940</v>
          </cell>
          <cell r="L95">
            <v>8598</v>
          </cell>
          <cell r="M95">
            <v>0</v>
          </cell>
        </row>
        <row r="96">
          <cell r="A96" t="str">
            <v>ARB9818</v>
          </cell>
          <cell r="H96">
            <v>5940</v>
          </cell>
          <cell r="L96">
            <v>5940</v>
          </cell>
          <cell r="M96">
            <v>0</v>
          </cell>
        </row>
        <row r="97">
          <cell r="A97" t="str">
            <v>ARB9826</v>
          </cell>
          <cell r="D97">
            <v>4002</v>
          </cell>
          <cell r="H97">
            <v>1188</v>
          </cell>
          <cell r="L97">
            <v>5190</v>
          </cell>
          <cell r="M97">
            <v>0</v>
          </cell>
        </row>
        <row r="98">
          <cell r="A98" t="str">
            <v>ARB9828</v>
          </cell>
          <cell r="H98">
            <v>1188</v>
          </cell>
          <cell r="L98">
            <v>1188</v>
          </cell>
          <cell r="M98">
            <v>0</v>
          </cell>
        </row>
        <row r="99">
          <cell r="A99" t="str">
            <v>ARC0050P</v>
          </cell>
          <cell r="L99">
            <v>0</v>
          </cell>
          <cell r="M99">
            <v>0</v>
          </cell>
        </row>
        <row r="100">
          <cell r="A100" t="str">
            <v>ARC0473P</v>
          </cell>
          <cell r="L100">
            <v>0</v>
          </cell>
          <cell r="M100">
            <v>0</v>
          </cell>
        </row>
        <row r="101">
          <cell r="A101" t="str">
            <v>ARC1006P</v>
          </cell>
          <cell r="L101">
            <v>0</v>
          </cell>
          <cell r="M101">
            <v>0</v>
          </cell>
        </row>
        <row r="102">
          <cell r="A102" t="str">
            <v>ARC1008</v>
          </cell>
          <cell r="L102">
            <v>0</v>
          </cell>
          <cell r="M102">
            <v>0</v>
          </cell>
        </row>
        <row r="103">
          <cell r="A103" t="str">
            <v>ARC1964</v>
          </cell>
          <cell r="L103">
            <v>0</v>
          </cell>
          <cell r="M103">
            <v>0</v>
          </cell>
        </row>
        <row r="104">
          <cell r="A104" t="str">
            <v>ARC2006</v>
          </cell>
          <cell r="D104">
            <v>5000</v>
          </cell>
          <cell r="L104">
            <v>5000</v>
          </cell>
          <cell r="M104">
            <v>0</v>
          </cell>
        </row>
        <row r="105">
          <cell r="A105" t="str">
            <v>ARC2006P</v>
          </cell>
          <cell r="L105">
            <v>0</v>
          </cell>
          <cell r="M105">
            <v>0</v>
          </cell>
        </row>
        <row r="106">
          <cell r="A106" t="str">
            <v>ARC2220</v>
          </cell>
          <cell r="L106">
            <v>0</v>
          </cell>
          <cell r="M106">
            <v>0</v>
          </cell>
        </row>
        <row r="107">
          <cell r="A107" t="str">
            <v>ARC2421</v>
          </cell>
          <cell r="I107">
            <v>14000</v>
          </cell>
          <cell r="L107">
            <v>14000</v>
          </cell>
          <cell r="M107">
            <v>0</v>
          </cell>
        </row>
        <row r="108">
          <cell r="A108" t="str">
            <v>ARC2421P</v>
          </cell>
          <cell r="L108">
            <v>0</v>
          </cell>
          <cell r="M108">
            <v>0</v>
          </cell>
        </row>
        <row r="109">
          <cell r="A109" t="str">
            <v>ARC4002</v>
          </cell>
          <cell r="L109">
            <v>0</v>
          </cell>
          <cell r="M109">
            <v>0</v>
          </cell>
        </row>
        <row r="110">
          <cell r="A110" t="str">
            <v>ARC4005</v>
          </cell>
          <cell r="L110">
            <v>0</v>
          </cell>
          <cell r="M110">
            <v>0</v>
          </cell>
        </row>
        <row r="111">
          <cell r="A111" t="str">
            <v>ARC4006</v>
          </cell>
          <cell r="L111">
            <v>0</v>
          </cell>
          <cell r="M111">
            <v>0</v>
          </cell>
        </row>
        <row r="112">
          <cell r="A112" t="str">
            <v>ARC5404</v>
          </cell>
          <cell r="L112">
            <v>0</v>
          </cell>
          <cell r="M112">
            <v>0</v>
          </cell>
        </row>
        <row r="113">
          <cell r="A113" t="str">
            <v>ARC7501</v>
          </cell>
          <cell r="L113">
            <v>0</v>
          </cell>
          <cell r="M113">
            <v>0</v>
          </cell>
        </row>
        <row r="114">
          <cell r="A114" t="str">
            <v>ARC7502</v>
          </cell>
          <cell r="L114">
            <v>0</v>
          </cell>
          <cell r="M114">
            <v>0</v>
          </cell>
        </row>
        <row r="115">
          <cell r="A115" t="str">
            <v>ARC7503</v>
          </cell>
          <cell r="L115">
            <v>0</v>
          </cell>
          <cell r="M115">
            <v>0</v>
          </cell>
        </row>
        <row r="116">
          <cell r="A116" t="str">
            <v>ARC7511</v>
          </cell>
          <cell r="L116">
            <v>0</v>
          </cell>
          <cell r="M116">
            <v>0</v>
          </cell>
        </row>
        <row r="117">
          <cell r="A117" t="str">
            <v>ARD0001</v>
          </cell>
          <cell r="D117">
            <v>6000</v>
          </cell>
          <cell r="H117">
            <v>1980</v>
          </cell>
          <cell r="L117">
            <v>7980</v>
          </cell>
          <cell r="M117">
            <v>0</v>
          </cell>
        </row>
        <row r="118">
          <cell r="A118" t="str">
            <v>ARD0002</v>
          </cell>
          <cell r="L118">
            <v>0</v>
          </cell>
          <cell r="M118">
            <v>0</v>
          </cell>
        </row>
        <row r="119">
          <cell r="A119" t="str">
            <v>ARD0004</v>
          </cell>
          <cell r="L119">
            <v>0</v>
          </cell>
          <cell r="M119">
            <v>0</v>
          </cell>
        </row>
        <row r="120">
          <cell r="A120" t="str">
            <v>ARD2926R</v>
          </cell>
        </row>
        <row r="121">
          <cell r="A121" t="str">
            <v>ARD5633</v>
          </cell>
          <cell r="L121">
            <v>0</v>
          </cell>
          <cell r="M121">
            <v>0</v>
          </cell>
        </row>
        <row r="122">
          <cell r="A122" t="str">
            <v>ARL3203</v>
          </cell>
          <cell r="L122">
            <v>0</v>
          </cell>
          <cell r="M122">
            <v>0</v>
          </cell>
        </row>
        <row r="123">
          <cell r="A123" t="str">
            <v>ARL3213</v>
          </cell>
          <cell r="L123">
            <v>0</v>
          </cell>
          <cell r="M123">
            <v>0</v>
          </cell>
        </row>
        <row r="124">
          <cell r="A124" t="str">
            <v>ARL3300</v>
          </cell>
          <cell r="L124">
            <v>0</v>
          </cell>
          <cell r="M124">
            <v>0</v>
          </cell>
        </row>
        <row r="125">
          <cell r="A125" t="str">
            <v>ARL3303</v>
          </cell>
          <cell r="L125">
            <v>0</v>
          </cell>
          <cell r="M125">
            <v>0</v>
          </cell>
        </row>
        <row r="126">
          <cell r="A126" t="str">
            <v>ARL3310</v>
          </cell>
          <cell r="L126">
            <v>0</v>
          </cell>
          <cell r="M126">
            <v>0</v>
          </cell>
        </row>
        <row r="127">
          <cell r="A127" t="str">
            <v>ARL3313</v>
          </cell>
          <cell r="L127">
            <v>0</v>
          </cell>
          <cell r="M127">
            <v>0</v>
          </cell>
        </row>
        <row r="128">
          <cell r="A128" t="str">
            <v>ARL3320</v>
          </cell>
          <cell r="L128">
            <v>0</v>
          </cell>
          <cell r="M128">
            <v>0</v>
          </cell>
        </row>
        <row r="129">
          <cell r="A129" t="str">
            <v>ARL3323</v>
          </cell>
          <cell r="L129">
            <v>0</v>
          </cell>
          <cell r="M129">
            <v>0</v>
          </cell>
        </row>
        <row r="130">
          <cell r="A130" t="str">
            <v>ARL3330</v>
          </cell>
          <cell r="L130">
            <v>0</v>
          </cell>
          <cell r="M130">
            <v>0</v>
          </cell>
        </row>
        <row r="131">
          <cell r="A131" t="str">
            <v>ARL3333</v>
          </cell>
          <cell r="L131">
            <v>0</v>
          </cell>
          <cell r="M131">
            <v>0</v>
          </cell>
        </row>
        <row r="132">
          <cell r="A132" t="str">
            <v>ARL3340</v>
          </cell>
          <cell r="L132">
            <v>0</v>
          </cell>
          <cell r="M132">
            <v>0</v>
          </cell>
        </row>
        <row r="133">
          <cell r="A133" t="str">
            <v>ARL3343</v>
          </cell>
          <cell r="L133">
            <v>0</v>
          </cell>
          <cell r="M133">
            <v>0</v>
          </cell>
        </row>
        <row r="134">
          <cell r="A134" t="str">
            <v>ARL3353</v>
          </cell>
          <cell r="L134">
            <v>0</v>
          </cell>
          <cell r="M134">
            <v>0</v>
          </cell>
        </row>
        <row r="135">
          <cell r="A135" t="str">
            <v>ARL3363</v>
          </cell>
          <cell r="L135">
            <v>0</v>
          </cell>
          <cell r="M135">
            <v>0</v>
          </cell>
        </row>
        <row r="136">
          <cell r="A136" t="str">
            <v>ARL3373</v>
          </cell>
          <cell r="L136">
            <v>0</v>
          </cell>
          <cell r="M136">
            <v>0</v>
          </cell>
        </row>
        <row r="137">
          <cell r="A137" t="str">
            <v>ARL3383</v>
          </cell>
          <cell r="L137">
            <v>0</v>
          </cell>
          <cell r="M137">
            <v>0</v>
          </cell>
        </row>
        <row r="138">
          <cell r="A138" t="str">
            <v>ARL3393</v>
          </cell>
          <cell r="L138">
            <v>0</v>
          </cell>
          <cell r="M138">
            <v>0</v>
          </cell>
        </row>
        <row r="139">
          <cell r="A139" t="str">
            <v>ARL8030</v>
          </cell>
          <cell r="L139">
            <v>0</v>
          </cell>
          <cell r="M139">
            <v>0</v>
          </cell>
        </row>
        <row r="140">
          <cell r="A140" t="str">
            <v>ARM1278P</v>
          </cell>
          <cell r="H140">
            <v>9000</v>
          </cell>
          <cell r="L140">
            <v>9000</v>
          </cell>
          <cell r="M140">
            <v>0</v>
          </cell>
        </row>
        <row r="141">
          <cell r="A141" t="str">
            <v>ARM4226</v>
          </cell>
          <cell r="L141">
            <v>0</v>
          </cell>
          <cell r="M141">
            <v>0</v>
          </cell>
        </row>
        <row r="142">
          <cell r="A142" t="str">
            <v>ARM4226P</v>
          </cell>
          <cell r="D142">
            <v>10020</v>
          </cell>
          <cell r="I142">
            <v>36000</v>
          </cell>
          <cell r="L142">
            <v>46020</v>
          </cell>
          <cell r="M142">
            <v>0</v>
          </cell>
        </row>
        <row r="143">
          <cell r="A143" t="str">
            <v>BRB7713</v>
          </cell>
          <cell r="L143">
            <v>0</v>
          </cell>
          <cell r="M143">
            <v>0</v>
          </cell>
        </row>
        <row r="144">
          <cell r="A144" t="str">
            <v>ARW0012</v>
          </cell>
          <cell r="L144">
            <v>0</v>
          </cell>
          <cell r="M144">
            <v>0</v>
          </cell>
        </row>
        <row r="145">
          <cell r="A145" t="str">
            <v>BRA1429</v>
          </cell>
          <cell r="L145">
            <v>0</v>
          </cell>
          <cell r="M145">
            <v>0</v>
          </cell>
        </row>
        <row r="146">
          <cell r="A146" t="str">
            <v>BRA3329</v>
          </cell>
          <cell r="L146">
            <v>0</v>
          </cell>
          <cell r="M146">
            <v>0</v>
          </cell>
        </row>
        <row r="147">
          <cell r="A147" t="str">
            <v>BRA5729</v>
          </cell>
          <cell r="L147">
            <v>0</v>
          </cell>
          <cell r="M147">
            <v>0</v>
          </cell>
        </row>
        <row r="148">
          <cell r="A148" t="str">
            <v>BRB3401</v>
          </cell>
          <cell r="L148">
            <v>0</v>
          </cell>
          <cell r="M148">
            <v>0</v>
          </cell>
        </row>
        <row r="149">
          <cell r="A149" t="str">
            <v>BRB3404</v>
          </cell>
          <cell r="L149">
            <v>0</v>
          </cell>
          <cell r="M149">
            <v>0</v>
          </cell>
        </row>
        <row r="150">
          <cell r="A150" t="str">
            <v>BRB6613</v>
          </cell>
          <cell r="L150">
            <v>0</v>
          </cell>
          <cell r="M150">
            <v>0</v>
          </cell>
        </row>
        <row r="151">
          <cell r="A151" t="str">
            <v>BRB6623</v>
          </cell>
          <cell r="L151">
            <v>0</v>
          </cell>
          <cell r="M151">
            <v>0</v>
          </cell>
        </row>
        <row r="152">
          <cell r="A152" t="str">
            <v>BRB7713</v>
          </cell>
          <cell r="L152">
            <v>0</v>
          </cell>
          <cell r="M152">
            <v>0</v>
          </cell>
        </row>
        <row r="153">
          <cell r="A153" t="str">
            <v>BRB7721</v>
          </cell>
          <cell r="L153">
            <v>0</v>
          </cell>
          <cell r="M153">
            <v>0</v>
          </cell>
        </row>
        <row r="154">
          <cell r="A154" t="str">
            <v>BRB7722</v>
          </cell>
          <cell r="L154">
            <v>0</v>
          </cell>
          <cell r="M154">
            <v>0</v>
          </cell>
        </row>
        <row r="155">
          <cell r="A155" t="str">
            <v>BRB8005</v>
          </cell>
          <cell r="L155">
            <v>0</v>
          </cell>
          <cell r="M155">
            <v>0</v>
          </cell>
        </row>
        <row r="156">
          <cell r="A156" t="str">
            <v>BRD0021</v>
          </cell>
          <cell r="L156">
            <v>0</v>
          </cell>
          <cell r="M156">
            <v>0</v>
          </cell>
        </row>
        <row r="157">
          <cell r="A157" t="str">
            <v>BRD0202</v>
          </cell>
          <cell r="L157">
            <v>0</v>
          </cell>
          <cell r="M157">
            <v>0</v>
          </cell>
        </row>
        <row r="158">
          <cell r="A158" t="str">
            <v>BRM6503G</v>
          </cell>
          <cell r="L158">
            <v>0</v>
          </cell>
          <cell r="M158">
            <v>0</v>
          </cell>
        </row>
        <row r="159">
          <cell r="A159" t="str">
            <v>BRM6504G</v>
          </cell>
          <cell r="K159">
            <v>3584</v>
          </cell>
          <cell r="L159">
            <v>3584</v>
          </cell>
          <cell r="M159">
            <v>3584</v>
          </cell>
        </row>
        <row r="160">
          <cell r="A160" t="str">
            <v>BRM6505G</v>
          </cell>
          <cell r="L160">
            <v>0</v>
          </cell>
          <cell r="M160">
            <v>0</v>
          </cell>
        </row>
        <row r="161">
          <cell r="A161" t="str">
            <v>BRM7198</v>
          </cell>
          <cell r="L161">
            <v>0</v>
          </cell>
          <cell r="M161">
            <v>0</v>
          </cell>
        </row>
        <row r="162">
          <cell r="A162" t="str">
            <v>BRM7198B</v>
          </cell>
          <cell r="L162">
            <v>0</v>
          </cell>
          <cell r="M162">
            <v>0</v>
          </cell>
        </row>
        <row r="163">
          <cell r="A163" t="str">
            <v>BRM7216</v>
          </cell>
          <cell r="D163">
            <v>1500</v>
          </cell>
          <cell r="L163">
            <v>1500</v>
          </cell>
          <cell r="M163">
            <v>0</v>
          </cell>
        </row>
        <row r="164">
          <cell r="A164" t="str">
            <v>BRM7216B</v>
          </cell>
          <cell r="L164">
            <v>0</v>
          </cell>
          <cell r="M164">
            <v>0</v>
          </cell>
        </row>
        <row r="165">
          <cell r="A165" t="str">
            <v>BRM7709B</v>
          </cell>
          <cell r="D165">
            <v>3000</v>
          </cell>
          <cell r="L165">
            <v>3000</v>
          </cell>
          <cell r="M165">
            <v>0</v>
          </cell>
        </row>
        <row r="166">
          <cell r="A166" t="str">
            <v>CRB0064</v>
          </cell>
          <cell r="I166">
            <v>30000</v>
          </cell>
          <cell r="L166">
            <v>30000</v>
          </cell>
          <cell r="M166">
            <v>0</v>
          </cell>
        </row>
        <row r="167">
          <cell r="A167" t="str">
            <v>CRB1302</v>
          </cell>
          <cell r="M167">
            <v>0</v>
          </cell>
        </row>
        <row r="168">
          <cell r="A168" t="str">
            <v>CRB1322</v>
          </cell>
          <cell r="M168">
            <v>0</v>
          </cell>
        </row>
        <row r="169">
          <cell r="A169" t="str">
            <v>CRB1323</v>
          </cell>
          <cell r="M169">
            <v>0</v>
          </cell>
        </row>
        <row r="170">
          <cell r="A170" t="str">
            <v>CRB1324</v>
          </cell>
          <cell r="I170">
            <v>30000</v>
          </cell>
          <cell r="L170">
            <v>30000</v>
          </cell>
          <cell r="M170">
            <v>0</v>
          </cell>
        </row>
        <row r="171">
          <cell r="A171" t="str">
            <v>CRB6437</v>
          </cell>
          <cell r="M171">
            <v>0</v>
          </cell>
        </row>
        <row r="172">
          <cell r="A172" t="str">
            <v>CRB9806</v>
          </cell>
          <cell r="I172">
            <v>19686</v>
          </cell>
          <cell r="L172">
            <v>19686</v>
          </cell>
          <cell r="M172">
            <v>0</v>
          </cell>
        </row>
        <row r="173">
          <cell r="A173" t="str">
            <v>CRB9808</v>
          </cell>
          <cell r="M173">
            <v>0</v>
          </cell>
        </row>
        <row r="174">
          <cell r="A174" t="str">
            <v>CRB9816</v>
          </cell>
          <cell r="I174">
            <v>13320</v>
          </cell>
          <cell r="L174">
            <v>13320</v>
          </cell>
          <cell r="M174">
            <v>0</v>
          </cell>
        </row>
        <row r="175">
          <cell r="A175" t="str">
            <v>CRB9818</v>
          </cell>
          <cell r="M175">
            <v>0</v>
          </cell>
        </row>
        <row r="176">
          <cell r="A176" t="str">
            <v>CRB9826</v>
          </cell>
          <cell r="I176">
            <v>15500</v>
          </cell>
          <cell r="L176">
            <v>15500</v>
          </cell>
          <cell r="M176">
            <v>0</v>
          </cell>
        </row>
        <row r="177">
          <cell r="A177" t="str">
            <v>CRB9828</v>
          </cell>
          <cell r="M177">
            <v>0</v>
          </cell>
        </row>
        <row r="178">
          <cell r="A178" t="str">
            <v>MRC0001</v>
          </cell>
          <cell r="L178">
            <v>0</v>
          </cell>
          <cell r="M178">
            <v>0</v>
          </cell>
        </row>
        <row r="179">
          <cell r="A179" t="str">
            <v>MRC0001P</v>
          </cell>
          <cell r="L179">
            <v>0</v>
          </cell>
          <cell r="M179">
            <v>0</v>
          </cell>
        </row>
        <row r="180">
          <cell r="A180" t="str">
            <v>MRC0002P</v>
          </cell>
          <cell r="I180">
            <v>6400</v>
          </cell>
          <cell r="L180">
            <v>6400</v>
          </cell>
          <cell r="M180">
            <v>0</v>
          </cell>
        </row>
        <row r="181">
          <cell r="A181" t="str">
            <v>MRC0005</v>
          </cell>
          <cell r="L181">
            <v>0</v>
          </cell>
          <cell r="M181">
            <v>0</v>
          </cell>
        </row>
        <row r="182">
          <cell r="A182" t="str">
            <v>MRC0005S</v>
          </cell>
          <cell r="L182">
            <v>0</v>
          </cell>
          <cell r="M182">
            <v>0</v>
          </cell>
        </row>
        <row r="183">
          <cell r="A183" t="str">
            <v>MRC0005SP</v>
          </cell>
          <cell r="L183">
            <v>0</v>
          </cell>
          <cell r="M183">
            <v>0</v>
          </cell>
        </row>
        <row r="184">
          <cell r="A184" t="str">
            <v>MRC0012</v>
          </cell>
          <cell r="L184">
            <v>0</v>
          </cell>
          <cell r="M184">
            <v>0</v>
          </cell>
        </row>
        <row r="185">
          <cell r="A185" t="str">
            <v>MRC0012P</v>
          </cell>
          <cell r="M185">
            <v>0</v>
          </cell>
        </row>
        <row r="186">
          <cell r="A186" t="str">
            <v>MRC1007SP</v>
          </cell>
          <cell r="L186">
            <v>0</v>
          </cell>
          <cell r="M186">
            <v>0</v>
          </cell>
        </row>
        <row r="187">
          <cell r="A187" t="str">
            <v>MRC2104</v>
          </cell>
          <cell r="F187">
            <v>4900</v>
          </cell>
          <cell r="I187">
            <v>14000</v>
          </cell>
          <cell r="L187">
            <v>18900</v>
          </cell>
          <cell r="M187">
            <v>4900</v>
          </cell>
        </row>
        <row r="188">
          <cell r="A188" t="str">
            <v>MRC2104P</v>
          </cell>
          <cell r="H188">
            <v>13000</v>
          </cell>
          <cell r="L188">
            <v>13000</v>
          </cell>
          <cell r="M188">
            <v>0</v>
          </cell>
        </row>
        <row r="189">
          <cell r="A189" t="str">
            <v>MRC2106</v>
          </cell>
          <cell r="D189">
            <v>11620</v>
          </cell>
          <cell r="J189">
            <v>1330</v>
          </cell>
          <cell r="L189">
            <v>12950</v>
          </cell>
          <cell r="M189">
            <v>1330</v>
          </cell>
        </row>
        <row r="190">
          <cell r="A190" t="str">
            <v>MRC2106P</v>
          </cell>
          <cell r="L190">
            <v>0</v>
          </cell>
          <cell r="M190">
            <v>0</v>
          </cell>
        </row>
        <row r="191">
          <cell r="A191" t="str">
            <v>MRC2182</v>
          </cell>
          <cell r="L191">
            <v>0</v>
          </cell>
          <cell r="M191">
            <v>0</v>
          </cell>
        </row>
        <row r="192">
          <cell r="A192" t="str">
            <v>MRC2182P</v>
          </cell>
          <cell r="L192">
            <v>0</v>
          </cell>
          <cell r="M192">
            <v>0</v>
          </cell>
        </row>
        <row r="193">
          <cell r="A193" t="str">
            <v>MRC9604P</v>
          </cell>
          <cell r="L193">
            <v>0</v>
          </cell>
          <cell r="M193">
            <v>0</v>
          </cell>
        </row>
        <row r="194">
          <cell r="A194" t="str">
            <v>MRD2923</v>
          </cell>
          <cell r="L194">
            <v>0</v>
          </cell>
          <cell r="M194">
            <v>0</v>
          </cell>
        </row>
        <row r="195">
          <cell r="A195" t="str">
            <v>MRD2926</v>
          </cell>
          <cell r="L195">
            <v>0</v>
          </cell>
          <cell r="M195">
            <v>0</v>
          </cell>
        </row>
        <row r="196">
          <cell r="A196" t="str">
            <v>MRD2926M</v>
          </cell>
          <cell r="B196">
            <v>15924</v>
          </cell>
          <cell r="H196">
            <v>300</v>
          </cell>
          <cell r="L196">
            <v>16224</v>
          </cell>
          <cell r="M196">
            <v>15924</v>
          </cell>
        </row>
        <row r="197">
          <cell r="A197" t="str">
            <v>MRM2602</v>
          </cell>
          <cell r="L197">
            <v>0</v>
          </cell>
          <cell r="M197">
            <v>0</v>
          </cell>
        </row>
        <row r="198">
          <cell r="A198" t="str">
            <v>MRM2603</v>
          </cell>
          <cell r="L198">
            <v>0</v>
          </cell>
          <cell r="M198">
            <v>0</v>
          </cell>
        </row>
        <row r="199">
          <cell r="A199" t="str">
            <v>MRM2604</v>
          </cell>
          <cell r="L199">
            <v>0</v>
          </cell>
          <cell r="M199">
            <v>0</v>
          </cell>
        </row>
        <row r="200">
          <cell r="A200" t="str">
            <v>MRM2606</v>
          </cell>
          <cell r="C200">
            <v>3720</v>
          </cell>
          <cell r="D200">
            <v>18990</v>
          </cell>
          <cell r="F200">
            <v>20010</v>
          </cell>
          <cell r="J200">
            <v>1500</v>
          </cell>
          <cell r="L200">
            <v>44220</v>
          </cell>
          <cell r="M200">
            <v>21510</v>
          </cell>
        </row>
        <row r="201">
          <cell r="A201" t="str">
            <v>MRM2607</v>
          </cell>
          <cell r="L201">
            <v>0</v>
          </cell>
          <cell r="M201">
            <v>0</v>
          </cell>
        </row>
        <row r="202">
          <cell r="A202" t="str">
            <v>MRM2608</v>
          </cell>
          <cell r="L202">
            <v>0</v>
          </cell>
          <cell r="M202">
            <v>0</v>
          </cell>
        </row>
        <row r="203">
          <cell r="A203" t="str">
            <v>MRM4093</v>
          </cell>
          <cell r="L203">
            <v>0</v>
          </cell>
          <cell r="M203">
            <v>0</v>
          </cell>
        </row>
        <row r="204">
          <cell r="A204" t="str">
            <v>MRM4262</v>
          </cell>
          <cell r="L204">
            <v>0</v>
          </cell>
          <cell r="M204">
            <v>0</v>
          </cell>
        </row>
        <row r="205">
          <cell r="A205" t="str">
            <v>MRM4283</v>
          </cell>
          <cell r="H205">
            <v>2880</v>
          </cell>
          <cell r="L205">
            <v>2880</v>
          </cell>
          <cell r="M205">
            <v>0</v>
          </cell>
        </row>
        <row r="206">
          <cell r="A206" t="str">
            <v>MRM4366</v>
          </cell>
          <cell r="L206">
            <v>0</v>
          </cell>
          <cell r="M206">
            <v>0</v>
          </cell>
        </row>
        <row r="207">
          <cell r="A207" t="str">
            <v>MRM4464</v>
          </cell>
          <cell r="L207">
            <v>0</v>
          </cell>
          <cell r="M207">
            <v>0</v>
          </cell>
        </row>
        <row r="208">
          <cell r="A208" t="str">
            <v>MRM4469</v>
          </cell>
          <cell r="J208">
            <v>300</v>
          </cell>
          <cell r="L208">
            <v>300</v>
          </cell>
          <cell r="M208">
            <v>300</v>
          </cell>
        </row>
        <row r="209">
          <cell r="A209" t="str">
            <v>MRM4469P</v>
          </cell>
          <cell r="E209">
            <v>75600</v>
          </cell>
          <cell r="L209">
            <v>75600</v>
          </cell>
          <cell r="M209">
            <v>0</v>
          </cell>
        </row>
        <row r="210">
          <cell r="A210" t="str">
            <v>MRM4491</v>
          </cell>
          <cell r="H210">
            <v>1728</v>
          </cell>
          <cell r="L210">
            <v>1728</v>
          </cell>
          <cell r="M210">
            <v>0</v>
          </cell>
        </row>
        <row r="211">
          <cell r="A211" t="str">
            <v>PRC4128P</v>
          </cell>
          <cell r="L211">
            <v>0</v>
          </cell>
          <cell r="M211">
            <v>0</v>
          </cell>
        </row>
        <row r="212">
          <cell r="A212" t="str">
            <v>PRC4134P</v>
          </cell>
          <cell r="L212">
            <v>0</v>
          </cell>
          <cell r="M212">
            <v>0</v>
          </cell>
        </row>
        <row r="213">
          <cell r="A213" t="str">
            <v>VRB1301</v>
          </cell>
          <cell r="L213">
            <v>0</v>
          </cell>
          <cell r="M213">
            <v>0</v>
          </cell>
        </row>
        <row r="214">
          <cell r="A214" t="str">
            <v>VRB1323</v>
          </cell>
          <cell r="L214">
            <v>0</v>
          </cell>
          <cell r="M214">
            <v>0</v>
          </cell>
        </row>
        <row r="215">
          <cell r="A215" t="str">
            <v>VRB2303</v>
          </cell>
          <cell r="M215">
            <v>0</v>
          </cell>
        </row>
        <row r="216">
          <cell r="A216" t="str">
            <v>VRL3303</v>
          </cell>
          <cell r="L216">
            <v>0</v>
          </cell>
          <cell r="M216">
            <v>0</v>
          </cell>
        </row>
        <row r="217">
          <cell r="A217" t="str">
            <v>VRL3313</v>
          </cell>
          <cell r="L217">
            <v>0</v>
          </cell>
          <cell r="M217">
            <v>0</v>
          </cell>
        </row>
        <row r="218">
          <cell r="A218" t="str">
            <v>VRL3373</v>
          </cell>
          <cell r="L218">
            <v>0</v>
          </cell>
          <cell r="M218">
            <v>0</v>
          </cell>
        </row>
      </sheetData>
      <sheetData sheetId="10">
        <row r="4">
          <cell r="A4" t="str">
            <v>020117454</v>
          </cell>
          <cell r="K4">
            <v>0</v>
          </cell>
          <cell r="L4">
            <v>0</v>
          </cell>
        </row>
        <row r="5">
          <cell r="A5" t="str">
            <v>032518275</v>
          </cell>
          <cell r="K5">
            <v>0</v>
          </cell>
          <cell r="L5">
            <v>0</v>
          </cell>
        </row>
        <row r="6">
          <cell r="A6" t="str">
            <v>032633109</v>
          </cell>
          <cell r="L6">
            <v>0</v>
          </cell>
        </row>
        <row r="7">
          <cell r="A7">
            <v>231603229</v>
          </cell>
          <cell r="K7">
            <v>0</v>
          </cell>
          <cell r="L7">
            <v>0</v>
          </cell>
        </row>
        <row r="8">
          <cell r="A8" t="str">
            <v>231603233</v>
          </cell>
          <cell r="K8">
            <v>0</v>
          </cell>
          <cell r="L8">
            <v>0</v>
          </cell>
        </row>
        <row r="9">
          <cell r="A9">
            <v>231603234</v>
          </cell>
          <cell r="K9">
            <v>0</v>
          </cell>
          <cell r="L9">
            <v>0</v>
          </cell>
        </row>
        <row r="10">
          <cell r="A10">
            <v>231603235</v>
          </cell>
          <cell r="K10">
            <v>0</v>
          </cell>
          <cell r="L10">
            <v>0</v>
          </cell>
        </row>
        <row r="11">
          <cell r="A11">
            <v>231603236</v>
          </cell>
          <cell r="K11">
            <v>0</v>
          </cell>
          <cell r="L11">
            <v>0</v>
          </cell>
        </row>
        <row r="12">
          <cell r="A12" t="str">
            <v>ARB0060</v>
          </cell>
          <cell r="K12">
            <v>0</v>
          </cell>
          <cell r="L12">
            <v>0</v>
          </cell>
        </row>
        <row r="13">
          <cell r="A13" t="str">
            <v>ARB0062</v>
          </cell>
          <cell r="C13">
            <v>8016</v>
          </cell>
          <cell r="G13">
            <v>9504</v>
          </cell>
          <cell r="K13">
            <v>17520</v>
          </cell>
          <cell r="L13">
            <v>0</v>
          </cell>
        </row>
        <row r="14">
          <cell r="A14" t="str">
            <v>ARB0063</v>
          </cell>
          <cell r="C14">
            <v>7020</v>
          </cell>
          <cell r="F14">
            <v>42600</v>
          </cell>
          <cell r="G14">
            <v>23760</v>
          </cell>
          <cell r="K14">
            <v>73380</v>
          </cell>
          <cell r="L14">
            <v>0</v>
          </cell>
        </row>
        <row r="15">
          <cell r="A15" t="str">
            <v>ARB0064</v>
          </cell>
          <cell r="B15">
            <v>8000</v>
          </cell>
          <cell r="C15">
            <v>30000</v>
          </cell>
          <cell r="G15">
            <v>6336</v>
          </cell>
          <cell r="K15">
            <v>44336</v>
          </cell>
          <cell r="L15">
            <v>0</v>
          </cell>
        </row>
        <row r="16">
          <cell r="A16" t="str">
            <v>ARB0081</v>
          </cell>
          <cell r="B16">
            <v>1000</v>
          </cell>
          <cell r="K16">
            <v>1000</v>
          </cell>
          <cell r="L16">
            <v>0</v>
          </cell>
        </row>
        <row r="17">
          <cell r="A17" t="str">
            <v>ARB0162</v>
          </cell>
          <cell r="G17">
            <v>1584</v>
          </cell>
          <cell r="K17">
            <v>1584</v>
          </cell>
          <cell r="L17">
            <v>0</v>
          </cell>
        </row>
        <row r="18">
          <cell r="A18" t="str">
            <v>ARB0163</v>
          </cell>
          <cell r="C18">
            <v>1500</v>
          </cell>
          <cell r="F18">
            <v>18600</v>
          </cell>
          <cell r="G18">
            <v>3960</v>
          </cell>
          <cell r="H18">
            <v>1500</v>
          </cell>
          <cell r="K18">
            <v>25560</v>
          </cell>
          <cell r="L18">
            <v>0</v>
          </cell>
        </row>
        <row r="19">
          <cell r="A19" t="str">
            <v>ARB0164</v>
          </cell>
          <cell r="C19">
            <v>5008</v>
          </cell>
          <cell r="G19">
            <v>2112</v>
          </cell>
          <cell r="K19">
            <v>7120</v>
          </cell>
          <cell r="L19">
            <v>0</v>
          </cell>
        </row>
        <row r="20">
          <cell r="A20" t="str">
            <v>ARB0253</v>
          </cell>
          <cell r="C20">
            <v>4020</v>
          </cell>
          <cell r="H20">
            <v>510</v>
          </cell>
          <cell r="K20">
            <v>4530</v>
          </cell>
          <cell r="L20">
            <v>0</v>
          </cell>
        </row>
        <row r="21">
          <cell r="A21" t="str">
            <v>ARB0254</v>
          </cell>
          <cell r="G21">
            <v>640</v>
          </cell>
          <cell r="K21">
            <v>640</v>
          </cell>
          <cell r="L21">
            <v>0</v>
          </cell>
        </row>
        <row r="22">
          <cell r="A22" t="str">
            <v>ARB0264</v>
          </cell>
          <cell r="K22">
            <v>0</v>
          </cell>
          <cell r="L22">
            <v>0</v>
          </cell>
        </row>
        <row r="23">
          <cell r="A23" t="str">
            <v>ARB0302</v>
          </cell>
          <cell r="C23">
            <v>480</v>
          </cell>
          <cell r="K23">
            <v>480</v>
          </cell>
          <cell r="L23">
            <v>0</v>
          </cell>
        </row>
        <row r="24">
          <cell r="A24" t="str">
            <v>ARB0303</v>
          </cell>
          <cell r="C24">
            <v>600</v>
          </cell>
          <cell r="F24">
            <v>900</v>
          </cell>
          <cell r="K24">
            <v>1500</v>
          </cell>
          <cell r="L24">
            <v>0</v>
          </cell>
        </row>
        <row r="25">
          <cell r="A25" t="str">
            <v>ARB0304</v>
          </cell>
          <cell r="K25">
            <v>0</v>
          </cell>
          <cell r="L25">
            <v>0</v>
          </cell>
        </row>
        <row r="26">
          <cell r="A26" t="str">
            <v>ARB0790</v>
          </cell>
          <cell r="L26">
            <v>0</v>
          </cell>
        </row>
        <row r="27">
          <cell r="A27" t="str">
            <v>ARB0791</v>
          </cell>
          <cell r="H27">
            <v>10</v>
          </cell>
          <cell r="K27">
            <v>10</v>
          </cell>
          <cell r="L27">
            <v>0</v>
          </cell>
        </row>
        <row r="28">
          <cell r="A28" t="str">
            <v>ARB0802</v>
          </cell>
          <cell r="K28">
            <v>0</v>
          </cell>
          <cell r="L28">
            <v>0</v>
          </cell>
        </row>
        <row r="29">
          <cell r="A29" t="str">
            <v>ARB0808</v>
          </cell>
          <cell r="K29">
            <v>0</v>
          </cell>
          <cell r="L29">
            <v>0</v>
          </cell>
        </row>
        <row r="30">
          <cell r="A30" t="str">
            <v>ARB0832</v>
          </cell>
          <cell r="K30">
            <v>0</v>
          </cell>
          <cell r="L30">
            <v>0</v>
          </cell>
        </row>
        <row r="31">
          <cell r="A31" t="str">
            <v>ARB0842</v>
          </cell>
          <cell r="K31">
            <v>0</v>
          </cell>
          <cell r="L31">
            <v>0</v>
          </cell>
        </row>
        <row r="32">
          <cell r="A32" t="str">
            <v>ARB1063</v>
          </cell>
          <cell r="C32">
            <v>3000</v>
          </cell>
          <cell r="F32">
            <v>42600</v>
          </cell>
          <cell r="G32">
            <v>1980</v>
          </cell>
          <cell r="K32">
            <v>47580</v>
          </cell>
          <cell r="L32">
            <v>0</v>
          </cell>
        </row>
        <row r="33">
          <cell r="A33" t="str">
            <v>ARB1064</v>
          </cell>
          <cell r="C33">
            <v>46176</v>
          </cell>
          <cell r="K33">
            <v>46176</v>
          </cell>
          <cell r="L33">
            <v>0</v>
          </cell>
        </row>
        <row r="34">
          <cell r="A34" t="str">
            <v>ARB1072</v>
          </cell>
          <cell r="K34">
            <v>0</v>
          </cell>
          <cell r="L34">
            <v>0</v>
          </cell>
        </row>
        <row r="35">
          <cell r="A35" t="str">
            <v>ARB1073</v>
          </cell>
          <cell r="F35">
            <v>159780</v>
          </cell>
          <cell r="K35">
            <v>159780</v>
          </cell>
          <cell r="L35">
            <v>0</v>
          </cell>
        </row>
        <row r="36">
          <cell r="A36" t="str">
            <v>ARB1082</v>
          </cell>
          <cell r="F36">
            <v>624</v>
          </cell>
          <cell r="K36">
            <v>624</v>
          </cell>
          <cell r="L36">
            <v>0</v>
          </cell>
        </row>
        <row r="37">
          <cell r="A37" t="str">
            <v>ARB1083</v>
          </cell>
          <cell r="B37">
            <v>5010</v>
          </cell>
          <cell r="K37">
            <v>5010</v>
          </cell>
          <cell r="L37">
            <v>0</v>
          </cell>
        </row>
        <row r="38">
          <cell r="A38" t="str">
            <v>ARB1084</v>
          </cell>
          <cell r="J38">
            <v>30992</v>
          </cell>
          <cell r="K38">
            <v>30992</v>
          </cell>
          <cell r="L38">
            <v>30992</v>
          </cell>
        </row>
        <row r="39">
          <cell r="A39" t="str">
            <v>ARB1300</v>
          </cell>
          <cell r="K39">
            <v>0</v>
          </cell>
          <cell r="L39">
            <v>0</v>
          </cell>
        </row>
        <row r="40">
          <cell r="A40" t="str">
            <v>ARB1301</v>
          </cell>
          <cell r="K40">
            <v>0</v>
          </cell>
          <cell r="L40">
            <v>0</v>
          </cell>
        </row>
        <row r="41">
          <cell r="A41" t="str">
            <v>ARB1302</v>
          </cell>
          <cell r="F41">
            <v>81225</v>
          </cell>
          <cell r="K41">
            <v>81225</v>
          </cell>
          <cell r="L41">
            <v>0</v>
          </cell>
        </row>
        <row r="42">
          <cell r="A42" t="str">
            <v>ARB1322</v>
          </cell>
          <cell r="C42">
            <v>10032</v>
          </cell>
          <cell r="F42">
            <v>30000</v>
          </cell>
          <cell r="G42">
            <v>57024</v>
          </cell>
          <cell r="K42">
            <v>97056</v>
          </cell>
          <cell r="L42">
            <v>0</v>
          </cell>
        </row>
        <row r="43">
          <cell r="A43" t="str">
            <v>ARB1323</v>
          </cell>
          <cell r="B43">
            <v>3300</v>
          </cell>
          <cell r="C43">
            <v>12000</v>
          </cell>
          <cell r="F43">
            <v>240570</v>
          </cell>
          <cell r="G43">
            <v>158400</v>
          </cell>
          <cell r="K43">
            <v>414270</v>
          </cell>
          <cell r="L43">
            <v>0</v>
          </cell>
        </row>
        <row r="44">
          <cell r="A44" t="str">
            <v>ARB1324</v>
          </cell>
          <cell r="B44">
            <v>3040</v>
          </cell>
          <cell r="C44">
            <v>70000</v>
          </cell>
          <cell r="F44">
            <v>-9008</v>
          </cell>
          <cell r="G44">
            <v>221760</v>
          </cell>
          <cell r="K44">
            <v>285792</v>
          </cell>
          <cell r="L44">
            <v>0</v>
          </cell>
        </row>
        <row r="45">
          <cell r="A45" t="str">
            <v>ARB2303</v>
          </cell>
          <cell r="F45">
            <v>-500</v>
          </cell>
          <cell r="G45">
            <v>5940</v>
          </cell>
          <cell r="K45">
            <v>5440</v>
          </cell>
          <cell r="L45">
            <v>0</v>
          </cell>
        </row>
        <row r="46">
          <cell r="A46" t="str">
            <v>ARB2304</v>
          </cell>
          <cell r="K46">
            <v>0</v>
          </cell>
          <cell r="L46">
            <v>0</v>
          </cell>
        </row>
        <row r="47">
          <cell r="A47" t="str">
            <v>ARB2322</v>
          </cell>
          <cell r="F47">
            <v>-1440</v>
          </cell>
          <cell r="K47">
            <v>-1440</v>
          </cell>
          <cell r="L47">
            <v>0</v>
          </cell>
        </row>
        <row r="48">
          <cell r="A48" t="str">
            <v>ARB2323</v>
          </cell>
          <cell r="C48">
            <v>22020</v>
          </cell>
          <cell r="F48">
            <v>448020</v>
          </cell>
          <cell r="G48">
            <v>11880</v>
          </cell>
          <cell r="K48">
            <v>481920</v>
          </cell>
          <cell r="L48">
            <v>0</v>
          </cell>
        </row>
        <row r="49">
          <cell r="A49" t="str">
            <v>ARB2324</v>
          </cell>
          <cell r="B49">
            <v>10000</v>
          </cell>
          <cell r="C49">
            <v>110000</v>
          </cell>
          <cell r="F49">
            <v>-132</v>
          </cell>
          <cell r="G49">
            <v>2112</v>
          </cell>
          <cell r="H49">
            <v>2000</v>
          </cell>
          <cell r="K49">
            <v>123980</v>
          </cell>
          <cell r="L49">
            <v>0</v>
          </cell>
        </row>
        <row r="50">
          <cell r="A50" t="str">
            <v>ARB3200</v>
          </cell>
          <cell r="K50">
            <v>0</v>
          </cell>
          <cell r="L50">
            <v>0</v>
          </cell>
        </row>
        <row r="51">
          <cell r="A51" t="str">
            <v>ARB3210</v>
          </cell>
          <cell r="K51">
            <v>0</v>
          </cell>
          <cell r="L51">
            <v>0</v>
          </cell>
        </row>
        <row r="52">
          <cell r="A52" t="str">
            <v>ARB4043</v>
          </cell>
          <cell r="K52">
            <v>0</v>
          </cell>
          <cell r="L52">
            <v>0</v>
          </cell>
        </row>
        <row r="53">
          <cell r="A53" t="str">
            <v>ARB5161</v>
          </cell>
          <cell r="K53">
            <v>0</v>
          </cell>
          <cell r="L53">
            <v>0</v>
          </cell>
        </row>
        <row r="54">
          <cell r="A54" t="str">
            <v>ARB5163</v>
          </cell>
          <cell r="F54">
            <v>3008</v>
          </cell>
          <cell r="K54">
            <v>3008</v>
          </cell>
          <cell r="L54">
            <v>0</v>
          </cell>
        </row>
        <row r="55">
          <cell r="A55" t="str">
            <v>ARB5167</v>
          </cell>
          <cell r="K55">
            <v>0</v>
          </cell>
          <cell r="L55">
            <v>0</v>
          </cell>
        </row>
        <row r="56">
          <cell r="A56" t="str">
            <v>ARB5168</v>
          </cell>
          <cell r="G56">
            <v>1584</v>
          </cell>
          <cell r="K56">
            <v>1584</v>
          </cell>
          <cell r="L56">
            <v>0</v>
          </cell>
        </row>
        <row r="57">
          <cell r="A57" t="str">
            <v>ARB5177</v>
          </cell>
          <cell r="K57">
            <v>0</v>
          </cell>
          <cell r="L57">
            <v>0</v>
          </cell>
        </row>
        <row r="58">
          <cell r="A58" t="str">
            <v>ARB5178</v>
          </cell>
          <cell r="G58">
            <v>1188</v>
          </cell>
          <cell r="K58">
            <v>1188</v>
          </cell>
          <cell r="L58">
            <v>0</v>
          </cell>
        </row>
        <row r="59">
          <cell r="A59" t="str">
            <v>ARB5181</v>
          </cell>
          <cell r="K59">
            <v>0</v>
          </cell>
          <cell r="L59">
            <v>0</v>
          </cell>
        </row>
        <row r="60">
          <cell r="A60" t="str">
            <v>ARB5187</v>
          </cell>
          <cell r="K60">
            <v>0</v>
          </cell>
          <cell r="L60">
            <v>0</v>
          </cell>
        </row>
        <row r="61">
          <cell r="A61" t="str">
            <v>ARB5188</v>
          </cell>
          <cell r="G61">
            <v>396</v>
          </cell>
          <cell r="K61">
            <v>396</v>
          </cell>
          <cell r="L61">
            <v>0</v>
          </cell>
        </row>
        <row r="62">
          <cell r="A62" t="str">
            <v>ARB5193</v>
          </cell>
          <cell r="F62">
            <v>2574</v>
          </cell>
          <cell r="H62">
            <v>501</v>
          </cell>
          <cell r="K62">
            <v>3075</v>
          </cell>
          <cell r="L62">
            <v>0</v>
          </cell>
        </row>
        <row r="63">
          <cell r="A63" t="str">
            <v>ARB5194</v>
          </cell>
          <cell r="B63">
            <v>3510</v>
          </cell>
          <cell r="H63">
            <v>1113</v>
          </cell>
          <cell r="K63">
            <v>4623</v>
          </cell>
          <cell r="L63">
            <v>0</v>
          </cell>
        </row>
        <row r="64">
          <cell r="A64" t="str">
            <v>ARB5195</v>
          </cell>
          <cell r="F64">
            <v>4590</v>
          </cell>
          <cell r="K64">
            <v>4590</v>
          </cell>
          <cell r="L64">
            <v>0</v>
          </cell>
        </row>
        <row r="65">
          <cell r="A65" t="str">
            <v>ARB6153</v>
          </cell>
          <cell r="K65">
            <v>0</v>
          </cell>
          <cell r="L65">
            <v>0</v>
          </cell>
        </row>
        <row r="66">
          <cell r="A66" t="str">
            <v>ARB6404</v>
          </cell>
          <cell r="C66">
            <v>192</v>
          </cell>
          <cell r="K66">
            <v>192</v>
          </cell>
          <cell r="L66">
            <v>0</v>
          </cell>
        </row>
        <row r="67">
          <cell r="A67" t="str">
            <v>ARB6404L</v>
          </cell>
          <cell r="K67">
            <v>0</v>
          </cell>
          <cell r="L67">
            <v>0</v>
          </cell>
        </row>
        <row r="68">
          <cell r="A68" t="str">
            <v>ARB6413</v>
          </cell>
          <cell r="K68">
            <v>0</v>
          </cell>
          <cell r="L68">
            <v>0</v>
          </cell>
        </row>
        <row r="69">
          <cell r="A69" t="str">
            <v>ARB6437</v>
          </cell>
          <cell r="K69">
            <v>0</v>
          </cell>
          <cell r="L69">
            <v>0</v>
          </cell>
        </row>
        <row r="70">
          <cell r="A70" t="str">
            <v>ARB6437L</v>
          </cell>
          <cell r="K70">
            <v>0</v>
          </cell>
          <cell r="L70">
            <v>0</v>
          </cell>
        </row>
        <row r="71">
          <cell r="A71" t="str">
            <v>ARB7003</v>
          </cell>
          <cell r="K71">
            <v>0</v>
          </cell>
          <cell r="L71">
            <v>0</v>
          </cell>
        </row>
        <row r="72">
          <cell r="A72" t="str">
            <v>ARB7013</v>
          </cell>
          <cell r="K72">
            <v>0</v>
          </cell>
          <cell r="L72">
            <v>0</v>
          </cell>
        </row>
        <row r="73">
          <cell r="A73" t="str">
            <v>ARB7023</v>
          </cell>
          <cell r="K73">
            <v>0</v>
          </cell>
          <cell r="L73">
            <v>0</v>
          </cell>
        </row>
        <row r="74">
          <cell r="A74" t="str">
            <v>ARB7024</v>
          </cell>
          <cell r="K74">
            <v>0</v>
          </cell>
          <cell r="L74">
            <v>0</v>
          </cell>
        </row>
        <row r="75">
          <cell r="A75" t="str">
            <v>ARB7033</v>
          </cell>
          <cell r="K75">
            <v>0</v>
          </cell>
          <cell r="L75">
            <v>0</v>
          </cell>
        </row>
        <row r="76">
          <cell r="A76" t="str">
            <v>ARB7034</v>
          </cell>
          <cell r="K76">
            <v>0</v>
          </cell>
          <cell r="L76">
            <v>0</v>
          </cell>
        </row>
        <row r="77">
          <cell r="A77" t="str">
            <v>ARB7317</v>
          </cell>
          <cell r="C77">
            <v>1500</v>
          </cell>
          <cell r="F77">
            <v>1905</v>
          </cell>
          <cell r="G77">
            <v>1650</v>
          </cell>
          <cell r="K77">
            <v>5055</v>
          </cell>
          <cell r="L77">
            <v>0</v>
          </cell>
        </row>
        <row r="78">
          <cell r="A78" t="str">
            <v>ARB7487</v>
          </cell>
          <cell r="G78">
            <v>2310</v>
          </cell>
          <cell r="K78">
            <v>2310</v>
          </cell>
          <cell r="L78">
            <v>0</v>
          </cell>
        </row>
        <row r="79">
          <cell r="A79" t="str">
            <v>ARB7925</v>
          </cell>
          <cell r="C79">
            <v>5830</v>
          </cell>
          <cell r="H79">
            <v>2400</v>
          </cell>
          <cell r="K79">
            <v>8230</v>
          </cell>
          <cell r="L79">
            <v>0</v>
          </cell>
        </row>
        <row r="80">
          <cell r="A80" t="str">
            <v>ARB8029</v>
          </cell>
          <cell r="K80">
            <v>0</v>
          </cell>
          <cell r="L80">
            <v>0</v>
          </cell>
        </row>
        <row r="81">
          <cell r="A81" t="str">
            <v>ARB8102P</v>
          </cell>
          <cell r="D81">
            <v>5040</v>
          </cell>
          <cell r="K81">
            <v>5040</v>
          </cell>
          <cell r="L81">
            <v>0</v>
          </cell>
        </row>
        <row r="82">
          <cell r="A82" t="str">
            <v>ARB8112</v>
          </cell>
          <cell r="K82">
            <v>0</v>
          </cell>
          <cell r="L82">
            <v>0</v>
          </cell>
        </row>
        <row r="83">
          <cell r="A83" t="str">
            <v>ARB8114</v>
          </cell>
          <cell r="K83">
            <v>0</v>
          </cell>
          <cell r="L83">
            <v>0</v>
          </cell>
        </row>
        <row r="84">
          <cell r="A84" t="str">
            <v>ARB8134</v>
          </cell>
          <cell r="K84">
            <v>0</v>
          </cell>
          <cell r="L84">
            <v>0</v>
          </cell>
        </row>
        <row r="85">
          <cell r="A85" t="str">
            <v>ARB8152</v>
          </cell>
          <cell r="K85">
            <v>0</v>
          </cell>
          <cell r="L85">
            <v>0</v>
          </cell>
        </row>
        <row r="86">
          <cell r="A86" t="str">
            <v>ARB8187</v>
          </cell>
          <cell r="K86">
            <v>0</v>
          </cell>
          <cell r="L86">
            <v>0</v>
          </cell>
        </row>
        <row r="87">
          <cell r="A87" t="str">
            <v>ARB8603</v>
          </cell>
          <cell r="K87">
            <v>0</v>
          </cell>
          <cell r="L87">
            <v>0</v>
          </cell>
        </row>
        <row r="88">
          <cell r="A88" t="str">
            <v>ARB8604</v>
          </cell>
          <cell r="K88">
            <v>0</v>
          </cell>
          <cell r="L88">
            <v>0</v>
          </cell>
        </row>
        <row r="89">
          <cell r="A89" t="str">
            <v>ARB8607</v>
          </cell>
          <cell r="K89">
            <v>0</v>
          </cell>
          <cell r="L89">
            <v>0</v>
          </cell>
        </row>
        <row r="90">
          <cell r="A90" t="str">
            <v>ARB9710</v>
          </cell>
          <cell r="F90">
            <v>602</v>
          </cell>
          <cell r="K90">
            <v>602</v>
          </cell>
          <cell r="L90">
            <v>0</v>
          </cell>
        </row>
        <row r="91">
          <cell r="A91" t="str">
            <v>ARB9711</v>
          </cell>
          <cell r="F91">
            <v>220</v>
          </cell>
          <cell r="K91">
            <v>220</v>
          </cell>
          <cell r="L91">
            <v>0</v>
          </cell>
        </row>
        <row r="92">
          <cell r="A92" t="str">
            <v>ARB9712</v>
          </cell>
          <cell r="K92">
            <v>0</v>
          </cell>
          <cell r="L92">
            <v>0</v>
          </cell>
        </row>
        <row r="93">
          <cell r="A93" t="str">
            <v>ARB9806</v>
          </cell>
          <cell r="B93">
            <v>1170</v>
          </cell>
          <cell r="C93">
            <v>5010</v>
          </cell>
          <cell r="F93">
            <v>19038</v>
          </cell>
          <cell r="G93">
            <v>7128</v>
          </cell>
          <cell r="K93">
            <v>32346</v>
          </cell>
          <cell r="L93">
            <v>0</v>
          </cell>
        </row>
        <row r="94">
          <cell r="A94" t="str">
            <v>ARB9808</v>
          </cell>
          <cell r="F94">
            <v>4884</v>
          </cell>
          <cell r="G94">
            <v>4752</v>
          </cell>
          <cell r="K94">
            <v>9636</v>
          </cell>
          <cell r="L94">
            <v>0</v>
          </cell>
        </row>
        <row r="95">
          <cell r="A95" t="str">
            <v>ARB9816</v>
          </cell>
          <cell r="B95">
            <v>3750</v>
          </cell>
          <cell r="C95">
            <v>5010</v>
          </cell>
          <cell r="F95">
            <v>4596</v>
          </cell>
          <cell r="G95">
            <v>7920</v>
          </cell>
          <cell r="K95">
            <v>21276</v>
          </cell>
          <cell r="L95">
            <v>0</v>
          </cell>
        </row>
        <row r="96">
          <cell r="A96" t="str">
            <v>ARB9818</v>
          </cell>
          <cell r="F96">
            <v>60</v>
          </cell>
          <cell r="G96">
            <v>5940</v>
          </cell>
          <cell r="K96">
            <v>6000</v>
          </cell>
          <cell r="L96">
            <v>0</v>
          </cell>
        </row>
        <row r="97">
          <cell r="A97" t="str">
            <v>ARB9826</v>
          </cell>
          <cell r="C97">
            <v>3000</v>
          </cell>
          <cell r="F97">
            <v>11496</v>
          </cell>
          <cell r="G97">
            <v>1188</v>
          </cell>
          <cell r="K97">
            <v>15684</v>
          </cell>
          <cell r="L97">
            <v>0</v>
          </cell>
        </row>
        <row r="98">
          <cell r="A98" t="str">
            <v>ARB9828</v>
          </cell>
          <cell r="F98">
            <v>1038</v>
          </cell>
          <cell r="G98">
            <v>1584</v>
          </cell>
          <cell r="K98">
            <v>2622</v>
          </cell>
          <cell r="L98">
            <v>0</v>
          </cell>
        </row>
        <row r="99">
          <cell r="A99" t="str">
            <v>ARC0050P</v>
          </cell>
          <cell r="H99">
            <v>30</v>
          </cell>
          <cell r="K99">
            <v>30</v>
          </cell>
          <cell r="L99">
            <v>0</v>
          </cell>
        </row>
        <row r="100">
          <cell r="A100" t="str">
            <v>ARC0473P</v>
          </cell>
          <cell r="H100">
            <v>30</v>
          </cell>
          <cell r="K100">
            <v>30</v>
          </cell>
          <cell r="L100">
            <v>0</v>
          </cell>
        </row>
        <row r="101">
          <cell r="A101" t="str">
            <v>ARC1006P</v>
          </cell>
          <cell r="H101">
            <v>30</v>
          </cell>
          <cell r="K101">
            <v>30</v>
          </cell>
          <cell r="L101">
            <v>0</v>
          </cell>
        </row>
        <row r="102">
          <cell r="A102" t="str">
            <v>ARC1008</v>
          </cell>
          <cell r="K102">
            <v>0</v>
          </cell>
          <cell r="L102">
            <v>0</v>
          </cell>
        </row>
        <row r="103">
          <cell r="A103" t="str">
            <v>ARC1964</v>
          </cell>
          <cell r="K103">
            <v>0</v>
          </cell>
          <cell r="L103">
            <v>0</v>
          </cell>
        </row>
        <row r="104">
          <cell r="A104" t="str">
            <v>ARC2006</v>
          </cell>
          <cell r="C104">
            <v>6000</v>
          </cell>
          <cell r="K104">
            <v>6000</v>
          </cell>
          <cell r="L104">
            <v>0</v>
          </cell>
        </row>
        <row r="105">
          <cell r="A105" t="str">
            <v>ARC2006P</v>
          </cell>
          <cell r="K105">
            <v>0</v>
          </cell>
          <cell r="L105">
            <v>0</v>
          </cell>
        </row>
        <row r="106">
          <cell r="A106" t="str">
            <v>ARC2220</v>
          </cell>
          <cell r="K106">
            <v>0</v>
          </cell>
          <cell r="L106">
            <v>0</v>
          </cell>
        </row>
        <row r="107">
          <cell r="A107" t="str">
            <v>ARC2421</v>
          </cell>
          <cell r="C107">
            <v>4400</v>
          </cell>
          <cell r="G107">
            <v>320</v>
          </cell>
          <cell r="K107">
            <v>4720</v>
          </cell>
          <cell r="L107">
            <v>0</v>
          </cell>
        </row>
        <row r="108">
          <cell r="A108" t="str">
            <v>ARC2421P</v>
          </cell>
          <cell r="K108">
            <v>0</v>
          </cell>
          <cell r="L108">
            <v>0</v>
          </cell>
        </row>
        <row r="109">
          <cell r="A109" t="str">
            <v>ARC4002</v>
          </cell>
          <cell r="H109">
            <v>480</v>
          </cell>
          <cell r="K109">
            <v>480</v>
          </cell>
          <cell r="L109">
            <v>0</v>
          </cell>
        </row>
        <row r="110">
          <cell r="A110" t="str">
            <v>ARC4005</v>
          </cell>
          <cell r="H110">
            <v>420</v>
          </cell>
          <cell r="K110">
            <v>420</v>
          </cell>
          <cell r="L110">
            <v>0</v>
          </cell>
        </row>
        <row r="111">
          <cell r="A111" t="str">
            <v>ARC4006</v>
          </cell>
          <cell r="K111">
            <v>0</v>
          </cell>
          <cell r="L111">
            <v>0</v>
          </cell>
        </row>
        <row r="112">
          <cell r="A112" t="str">
            <v>ARC5404</v>
          </cell>
          <cell r="H112">
            <v>48000</v>
          </cell>
          <cell r="K112">
            <v>48000</v>
          </cell>
          <cell r="L112">
            <v>0</v>
          </cell>
        </row>
        <row r="113">
          <cell r="A113" t="str">
            <v>ARC7501</v>
          </cell>
          <cell r="C113">
            <v>10740</v>
          </cell>
          <cell r="K113">
            <v>10740</v>
          </cell>
          <cell r="L113">
            <v>0</v>
          </cell>
        </row>
        <row r="114">
          <cell r="A114" t="str">
            <v>ARC7502</v>
          </cell>
          <cell r="K114">
            <v>0</v>
          </cell>
          <cell r="L114">
            <v>0</v>
          </cell>
        </row>
        <row r="115">
          <cell r="A115" t="str">
            <v>ARC7503</v>
          </cell>
          <cell r="H115">
            <v>14000</v>
          </cell>
          <cell r="K115">
            <v>14000</v>
          </cell>
          <cell r="L115">
            <v>0</v>
          </cell>
        </row>
        <row r="116">
          <cell r="A116" t="str">
            <v>ARC7511</v>
          </cell>
          <cell r="K116">
            <v>0</v>
          </cell>
          <cell r="L116">
            <v>0</v>
          </cell>
        </row>
        <row r="117">
          <cell r="A117" t="str">
            <v>ARD0001</v>
          </cell>
          <cell r="C117">
            <v>9000</v>
          </cell>
          <cell r="G117">
            <v>1980</v>
          </cell>
          <cell r="H117">
            <v>1020</v>
          </cell>
          <cell r="K117">
            <v>12000</v>
          </cell>
          <cell r="L117">
            <v>0</v>
          </cell>
        </row>
        <row r="118">
          <cell r="A118" t="str">
            <v>ARD0002</v>
          </cell>
          <cell r="H118">
            <v>24</v>
          </cell>
          <cell r="K118">
            <v>24</v>
          </cell>
          <cell r="L118">
            <v>0</v>
          </cell>
        </row>
        <row r="119">
          <cell r="A119" t="str">
            <v>ARD0004</v>
          </cell>
          <cell r="C119">
            <v>1500</v>
          </cell>
          <cell r="K119">
            <v>1500</v>
          </cell>
          <cell r="L119">
            <v>0</v>
          </cell>
        </row>
        <row r="120">
          <cell r="A120" t="str">
            <v>ARD2926R</v>
          </cell>
        </row>
        <row r="121">
          <cell r="A121" t="str">
            <v>ARD5633</v>
          </cell>
          <cell r="C121">
            <v>1860</v>
          </cell>
          <cell r="K121">
            <v>1860</v>
          </cell>
          <cell r="L121">
            <v>0</v>
          </cell>
        </row>
        <row r="122">
          <cell r="A122" t="str">
            <v>ARL3203</v>
          </cell>
          <cell r="K122">
            <v>0</v>
          </cell>
          <cell r="L122">
            <v>0</v>
          </cell>
        </row>
        <row r="123">
          <cell r="A123" t="str">
            <v>ARL3213</v>
          </cell>
          <cell r="K123">
            <v>0</v>
          </cell>
          <cell r="L123">
            <v>0</v>
          </cell>
        </row>
        <row r="124">
          <cell r="A124" t="str">
            <v>ARL3300</v>
          </cell>
          <cell r="K124">
            <v>0</v>
          </cell>
          <cell r="L124">
            <v>0</v>
          </cell>
        </row>
        <row r="125">
          <cell r="A125" t="str">
            <v>ARL3303</v>
          </cell>
          <cell r="K125">
            <v>0</v>
          </cell>
          <cell r="L125">
            <v>0</v>
          </cell>
        </row>
        <row r="126">
          <cell r="A126" t="str">
            <v>ARL3310</v>
          </cell>
          <cell r="K126">
            <v>0</v>
          </cell>
          <cell r="L126">
            <v>0</v>
          </cell>
        </row>
        <row r="127">
          <cell r="A127" t="str">
            <v>ARL3313</v>
          </cell>
          <cell r="K127">
            <v>0</v>
          </cell>
          <cell r="L127">
            <v>0</v>
          </cell>
        </row>
        <row r="128">
          <cell r="A128" t="str">
            <v>ARL3320</v>
          </cell>
          <cell r="K128">
            <v>0</v>
          </cell>
          <cell r="L128">
            <v>0</v>
          </cell>
        </row>
        <row r="129">
          <cell r="A129" t="str">
            <v>ARL3323</v>
          </cell>
          <cell r="K129">
            <v>0</v>
          </cell>
          <cell r="L129">
            <v>0</v>
          </cell>
        </row>
        <row r="130">
          <cell r="A130" t="str">
            <v>ARL3330</v>
          </cell>
          <cell r="K130">
            <v>0</v>
          </cell>
          <cell r="L130">
            <v>0</v>
          </cell>
        </row>
        <row r="131">
          <cell r="A131" t="str">
            <v>ARL3333</v>
          </cell>
          <cell r="K131">
            <v>0</v>
          </cell>
          <cell r="L131">
            <v>0</v>
          </cell>
        </row>
        <row r="132">
          <cell r="A132" t="str">
            <v>ARL3340</v>
          </cell>
          <cell r="K132">
            <v>0</v>
          </cell>
          <cell r="L132">
            <v>0</v>
          </cell>
        </row>
        <row r="133">
          <cell r="A133" t="str">
            <v>ARL3343</v>
          </cell>
          <cell r="K133">
            <v>0</v>
          </cell>
          <cell r="L133">
            <v>0</v>
          </cell>
        </row>
        <row r="134">
          <cell r="A134" t="str">
            <v>ARL3353</v>
          </cell>
          <cell r="K134">
            <v>0</v>
          </cell>
          <cell r="L134">
            <v>0</v>
          </cell>
        </row>
        <row r="135">
          <cell r="A135" t="str">
            <v>ARL3363</v>
          </cell>
          <cell r="K135">
            <v>0</v>
          </cell>
          <cell r="L135">
            <v>0</v>
          </cell>
        </row>
        <row r="136">
          <cell r="A136" t="str">
            <v>ARL3373</v>
          </cell>
          <cell r="K136">
            <v>0</v>
          </cell>
          <cell r="L136">
            <v>0</v>
          </cell>
        </row>
        <row r="137">
          <cell r="A137" t="str">
            <v>ARL3383</v>
          </cell>
          <cell r="K137">
            <v>0</v>
          </cell>
          <cell r="L137">
            <v>0</v>
          </cell>
        </row>
        <row r="138">
          <cell r="A138" t="str">
            <v>ARL3393</v>
          </cell>
          <cell r="K138">
            <v>0</v>
          </cell>
          <cell r="L138">
            <v>0</v>
          </cell>
        </row>
        <row r="139">
          <cell r="A139" t="str">
            <v>ARL8030</v>
          </cell>
          <cell r="K139">
            <v>0</v>
          </cell>
          <cell r="L139">
            <v>0</v>
          </cell>
        </row>
        <row r="140">
          <cell r="A140" t="str">
            <v>ARM1278P</v>
          </cell>
          <cell r="G140">
            <v>18000</v>
          </cell>
          <cell r="K140">
            <v>18000</v>
          </cell>
          <cell r="L140">
            <v>0</v>
          </cell>
        </row>
        <row r="141">
          <cell r="A141" t="str">
            <v>ARM4226</v>
          </cell>
          <cell r="K141">
            <v>0</v>
          </cell>
          <cell r="L141">
            <v>0</v>
          </cell>
        </row>
        <row r="142">
          <cell r="A142" t="str">
            <v>ARM4226P</v>
          </cell>
          <cell r="H142">
            <v>48480</v>
          </cell>
          <cell r="K142">
            <v>48480</v>
          </cell>
          <cell r="L142">
            <v>0</v>
          </cell>
        </row>
        <row r="143">
          <cell r="A143" t="str">
            <v>BRB7713</v>
          </cell>
          <cell r="K143">
            <v>0</v>
          </cell>
          <cell r="L143">
            <v>0</v>
          </cell>
        </row>
        <row r="144">
          <cell r="A144" t="str">
            <v>ARW0012</v>
          </cell>
          <cell r="K144">
            <v>0</v>
          </cell>
          <cell r="L144">
            <v>0</v>
          </cell>
        </row>
        <row r="145">
          <cell r="A145" t="str">
            <v>BRA1429</v>
          </cell>
          <cell r="K145">
            <v>0</v>
          </cell>
          <cell r="L145">
            <v>0</v>
          </cell>
        </row>
        <row r="146">
          <cell r="A146" t="str">
            <v>BRA3329</v>
          </cell>
          <cell r="K146">
            <v>0</v>
          </cell>
          <cell r="L146">
            <v>0</v>
          </cell>
        </row>
        <row r="147">
          <cell r="A147" t="str">
            <v>BRA5729</v>
          </cell>
          <cell r="K147">
            <v>0</v>
          </cell>
          <cell r="L147">
            <v>0</v>
          </cell>
        </row>
        <row r="148">
          <cell r="A148" t="str">
            <v>BRB3401</v>
          </cell>
          <cell r="K148">
            <v>0</v>
          </cell>
          <cell r="L148">
            <v>0</v>
          </cell>
        </row>
        <row r="149">
          <cell r="A149" t="str">
            <v>BRB3404</v>
          </cell>
          <cell r="K149">
            <v>0</v>
          </cell>
          <cell r="L149">
            <v>0</v>
          </cell>
        </row>
        <row r="150">
          <cell r="A150" t="str">
            <v>BRB6613</v>
          </cell>
          <cell r="K150">
            <v>0</v>
          </cell>
          <cell r="L150">
            <v>0</v>
          </cell>
        </row>
        <row r="151">
          <cell r="A151" t="str">
            <v>BRB6623</v>
          </cell>
          <cell r="K151">
            <v>0</v>
          </cell>
          <cell r="L151">
            <v>0</v>
          </cell>
        </row>
        <row r="152">
          <cell r="A152" t="str">
            <v>BRB7713</v>
          </cell>
          <cell r="K152">
            <v>0</v>
          </cell>
          <cell r="L152">
            <v>0</v>
          </cell>
        </row>
        <row r="153">
          <cell r="A153" t="str">
            <v>BRB7721</v>
          </cell>
          <cell r="K153">
            <v>0</v>
          </cell>
          <cell r="L153">
            <v>0</v>
          </cell>
        </row>
        <row r="154">
          <cell r="A154" t="str">
            <v>BRB7722</v>
          </cell>
          <cell r="K154">
            <v>0</v>
          </cell>
          <cell r="L154">
            <v>0</v>
          </cell>
        </row>
        <row r="155">
          <cell r="A155" t="str">
            <v>BRB8005</v>
          </cell>
          <cell r="K155">
            <v>0</v>
          </cell>
          <cell r="L155">
            <v>0</v>
          </cell>
        </row>
        <row r="156">
          <cell r="A156" t="str">
            <v>BRD0021</v>
          </cell>
          <cell r="K156">
            <v>0</v>
          </cell>
          <cell r="L156">
            <v>0</v>
          </cell>
        </row>
        <row r="157">
          <cell r="A157" t="str">
            <v>BRD0202</v>
          </cell>
          <cell r="K157">
            <v>0</v>
          </cell>
          <cell r="L157">
            <v>0</v>
          </cell>
        </row>
        <row r="158">
          <cell r="A158" t="str">
            <v>BRM6503G</v>
          </cell>
          <cell r="K158">
            <v>0</v>
          </cell>
          <cell r="L158">
            <v>0</v>
          </cell>
        </row>
        <row r="159">
          <cell r="A159" t="str">
            <v>BRM6504G</v>
          </cell>
          <cell r="K159">
            <v>0</v>
          </cell>
          <cell r="L159">
            <v>0</v>
          </cell>
        </row>
        <row r="160">
          <cell r="A160" t="str">
            <v>BRM6505G</v>
          </cell>
          <cell r="K160">
            <v>0</v>
          </cell>
          <cell r="L160">
            <v>0</v>
          </cell>
        </row>
        <row r="161">
          <cell r="A161" t="str">
            <v>BRM7198</v>
          </cell>
          <cell r="K161">
            <v>0</v>
          </cell>
          <cell r="L161">
            <v>0</v>
          </cell>
        </row>
        <row r="162">
          <cell r="A162" t="str">
            <v>BRM7198B</v>
          </cell>
          <cell r="C162">
            <v>3000</v>
          </cell>
          <cell r="K162">
            <v>3000</v>
          </cell>
          <cell r="L162">
            <v>0</v>
          </cell>
        </row>
        <row r="163">
          <cell r="A163" t="str">
            <v>BRM7216</v>
          </cell>
          <cell r="K163">
            <v>0</v>
          </cell>
          <cell r="L163">
            <v>0</v>
          </cell>
        </row>
        <row r="164">
          <cell r="A164" t="str">
            <v>BRM7216B</v>
          </cell>
          <cell r="K164">
            <v>0</v>
          </cell>
          <cell r="L164">
            <v>0</v>
          </cell>
        </row>
        <row r="165">
          <cell r="A165" t="str">
            <v>BRM7709B</v>
          </cell>
          <cell r="K165">
            <v>0</v>
          </cell>
          <cell r="L165">
            <v>0</v>
          </cell>
        </row>
        <row r="166">
          <cell r="A166" t="str">
            <v>CRB0064</v>
          </cell>
          <cell r="H166">
            <v>53644</v>
          </cell>
          <cell r="K166">
            <v>53644</v>
          </cell>
          <cell r="L166">
            <v>0</v>
          </cell>
        </row>
        <row r="167">
          <cell r="A167" t="str">
            <v>CRB1302</v>
          </cell>
          <cell r="H167">
            <v>37725</v>
          </cell>
          <cell r="K167">
            <v>37725</v>
          </cell>
          <cell r="L167">
            <v>0</v>
          </cell>
        </row>
        <row r="168">
          <cell r="A168" t="str">
            <v>CRB1322</v>
          </cell>
          <cell r="L168">
            <v>0</v>
          </cell>
        </row>
        <row r="169">
          <cell r="A169" t="str">
            <v>CRB1323</v>
          </cell>
          <cell r="H169">
            <v>14141</v>
          </cell>
          <cell r="K169">
            <v>14141</v>
          </cell>
          <cell r="L169">
            <v>0</v>
          </cell>
        </row>
        <row r="170">
          <cell r="A170" t="str">
            <v>CRB1324</v>
          </cell>
          <cell r="H170">
            <v>79668</v>
          </cell>
          <cell r="K170">
            <v>79668</v>
          </cell>
          <cell r="L170">
            <v>0</v>
          </cell>
        </row>
        <row r="171">
          <cell r="A171" t="str">
            <v>CRB6437</v>
          </cell>
          <cell r="H171">
            <v>4555</v>
          </cell>
          <cell r="K171">
            <v>4555</v>
          </cell>
          <cell r="L171">
            <v>0</v>
          </cell>
        </row>
        <row r="172">
          <cell r="A172" t="str">
            <v>CRB9806</v>
          </cell>
          <cell r="H172">
            <v>57101</v>
          </cell>
          <cell r="K172">
            <v>57101</v>
          </cell>
          <cell r="L172">
            <v>0</v>
          </cell>
        </row>
        <row r="173">
          <cell r="A173" t="str">
            <v>CRB9808</v>
          </cell>
          <cell r="H173">
            <v>15788</v>
          </cell>
          <cell r="K173">
            <v>15788</v>
          </cell>
          <cell r="L173">
            <v>0</v>
          </cell>
        </row>
        <row r="174">
          <cell r="A174" t="str">
            <v>CRB9816</v>
          </cell>
          <cell r="K174">
            <v>0</v>
          </cell>
          <cell r="L174">
            <v>0</v>
          </cell>
        </row>
        <row r="175">
          <cell r="A175" t="str">
            <v>CRB9818</v>
          </cell>
          <cell r="H175">
            <v>8895</v>
          </cell>
          <cell r="K175">
            <v>8895</v>
          </cell>
          <cell r="L175">
            <v>0</v>
          </cell>
        </row>
        <row r="176">
          <cell r="A176" t="str">
            <v>CRB9826</v>
          </cell>
          <cell r="K176">
            <v>0</v>
          </cell>
          <cell r="L176">
            <v>0</v>
          </cell>
        </row>
        <row r="177">
          <cell r="A177" t="str">
            <v>CRB9828</v>
          </cell>
          <cell r="H177">
            <v>9494</v>
          </cell>
          <cell r="K177">
            <v>9494</v>
          </cell>
          <cell r="L177">
            <v>0</v>
          </cell>
        </row>
        <row r="178">
          <cell r="A178" t="str">
            <v>MRC0001</v>
          </cell>
          <cell r="K178">
            <v>0</v>
          </cell>
          <cell r="L178">
            <v>0</v>
          </cell>
        </row>
        <row r="179">
          <cell r="A179" t="str">
            <v>MRC0001P</v>
          </cell>
          <cell r="K179">
            <v>0</v>
          </cell>
          <cell r="L179">
            <v>0</v>
          </cell>
        </row>
        <row r="180">
          <cell r="A180" t="str">
            <v>MRC0002P</v>
          </cell>
          <cell r="H180">
            <v>16000</v>
          </cell>
          <cell r="K180">
            <v>16000</v>
          </cell>
          <cell r="L180">
            <v>0</v>
          </cell>
        </row>
        <row r="181">
          <cell r="A181" t="str">
            <v>MRC0005</v>
          </cell>
          <cell r="K181">
            <v>0</v>
          </cell>
          <cell r="L181">
            <v>0</v>
          </cell>
        </row>
        <row r="182">
          <cell r="A182" t="str">
            <v>MRC0005S</v>
          </cell>
          <cell r="K182">
            <v>0</v>
          </cell>
          <cell r="L182">
            <v>0</v>
          </cell>
        </row>
        <row r="183">
          <cell r="A183" t="str">
            <v>MRC0005SP</v>
          </cell>
          <cell r="H183">
            <v>17960</v>
          </cell>
          <cell r="K183">
            <v>17960</v>
          </cell>
          <cell r="L183">
            <v>0</v>
          </cell>
        </row>
        <row r="184">
          <cell r="A184" t="str">
            <v>MRC0012</v>
          </cell>
          <cell r="K184">
            <v>0</v>
          </cell>
          <cell r="L184">
            <v>0</v>
          </cell>
        </row>
        <row r="185">
          <cell r="A185" t="str">
            <v>MRC0012P</v>
          </cell>
          <cell r="L185">
            <v>0</v>
          </cell>
        </row>
        <row r="186">
          <cell r="A186" t="str">
            <v>MRC1007SP</v>
          </cell>
          <cell r="C186">
            <v>19980</v>
          </cell>
          <cell r="K186">
            <v>19980</v>
          </cell>
          <cell r="L186">
            <v>0</v>
          </cell>
        </row>
        <row r="187">
          <cell r="A187" t="str">
            <v>MRC2104</v>
          </cell>
          <cell r="G187">
            <v>7210</v>
          </cell>
          <cell r="H187">
            <v>2730</v>
          </cell>
          <cell r="K187">
            <v>9940</v>
          </cell>
          <cell r="L187">
            <v>0</v>
          </cell>
        </row>
        <row r="188">
          <cell r="A188" t="str">
            <v>MRC2104P</v>
          </cell>
          <cell r="K188">
            <v>0</v>
          </cell>
          <cell r="L188">
            <v>0</v>
          </cell>
        </row>
        <row r="189">
          <cell r="A189" t="str">
            <v>MRC2106</v>
          </cell>
          <cell r="C189">
            <v>8400</v>
          </cell>
          <cell r="K189">
            <v>8400</v>
          </cell>
          <cell r="L189">
            <v>0</v>
          </cell>
        </row>
        <row r="190">
          <cell r="A190" t="str">
            <v>MRC2106P</v>
          </cell>
          <cell r="G190">
            <v>760</v>
          </cell>
          <cell r="K190">
            <v>760</v>
          </cell>
          <cell r="L190">
            <v>0</v>
          </cell>
        </row>
        <row r="191">
          <cell r="A191" t="str">
            <v>MRC2182</v>
          </cell>
          <cell r="K191">
            <v>0</v>
          </cell>
          <cell r="L191">
            <v>0</v>
          </cell>
        </row>
        <row r="192">
          <cell r="A192" t="str">
            <v>MRC2182P</v>
          </cell>
          <cell r="K192">
            <v>0</v>
          </cell>
          <cell r="L192">
            <v>0</v>
          </cell>
        </row>
        <row r="193">
          <cell r="A193" t="str">
            <v>MRC9604P</v>
          </cell>
          <cell r="K193">
            <v>0</v>
          </cell>
          <cell r="L193">
            <v>0</v>
          </cell>
        </row>
        <row r="194">
          <cell r="A194" t="str">
            <v>MRD2923</v>
          </cell>
          <cell r="K194">
            <v>0</v>
          </cell>
          <cell r="L194">
            <v>0</v>
          </cell>
        </row>
        <row r="195">
          <cell r="A195" t="str">
            <v>MRD2926</v>
          </cell>
          <cell r="K195">
            <v>0</v>
          </cell>
          <cell r="L195">
            <v>0</v>
          </cell>
        </row>
        <row r="196">
          <cell r="A196" t="str">
            <v>MRD2926M</v>
          </cell>
          <cell r="G196">
            <v>1200</v>
          </cell>
          <cell r="H196">
            <v>1500</v>
          </cell>
          <cell r="K196">
            <v>2700</v>
          </cell>
          <cell r="L196">
            <v>0</v>
          </cell>
        </row>
        <row r="197">
          <cell r="A197" t="str">
            <v>MRM2602</v>
          </cell>
          <cell r="K197">
            <v>0</v>
          </cell>
          <cell r="L197">
            <v>0</v>
          </cell>
        </row>
        <row r="198">
          <cell r="A198" t="str">
            <v>MRM2603</v>
          </cell>
          <cell r="K198">
            <v>0</v>
          </cell>
          <cell r="L198">
            <v>0</v>
          </cell>
        </row>
        <row r="199">
          <cell r="A199" t="str">
            <v>MRM2604</v>
          </cell>
          <cell r="K199">
            <v>0</v>
          </cell>
          <cell r="L199">
            <v>0</v>
          </cell>
        </row>
        <row r="200">
          <cell r="A200" t="str">
            <v>MRM2606</v>
          </cell>
          <cell r="E200">
            <v>9990</v>
          </cell>
          <cell r="I200">
            <v>1800</v>
          </cell>
          <cell r="K200">
            <v>11790</v>
          </cell>
          <cell r="L200">
            <v>11790</v>
          </cell>
        </row>
        <row r="201">
          <cell r="A201" t="str">
            <v>MRM2607</v>
          </cell>
          <cell r="K201">
            <v>0</v>
          </cell>
          <cell r="L201">
            <v>0</v>
          </cell>
        </row>
        <row r="202">
          <cell r="A202" t="str">
            <v>MRM2608</v>
          </cell>
          <cell r="K202">
            <v>0</v>
          </cell>
          <cell r="L202">
            <v>0</v>
          </cell>
        </row>
        <row r="203">
          <cell r="A203" t="str">
            <v>MRM4093</v>
          </cell>
          <cell r="K203">
            <v>0</v>
          </cell>
          <cell r="L203">
            <v>0</v>
          </cell>
        </row>
        <row r="204">
          <cell r="A204" t="str">
            <v>MRM4262</v>
          </cell>
          <cell r="K204">
            <v>0</v>
          </cell>
          <cell r="L204">
            <v>0</v>
          </cell>
        </row>
        <row r="205">
          <cell r="A205" t="str">
            <v>MRM4283</v>
          </cell>
          <cell r="G205">
            <v>1764</v>
          </cell>
          <cell r="K205">
            <v>1764</v>
          </cell>
          <cell r="L205">
            <v>0</v>
          </cell>
        </row>
        <row r="206">
          <cell r="A206" t="str">
            <v>MRM4366</v>
          </cell>
          <cell r="F206">
            <v>2000</v>
          </cell>
          <cell r="K206">
            <v>2000</v>
          </cell>
          <cell r="L206">
            <v>0</v>
          </cell>
        </row>
        <row r="207">
          <cell r="A207" t="str">
            <v>MRM4464</v>
          </cell>
          <cell r="F207">
            <v>9000</v>
          </cell>
          <cell r="H207">
            <v>30</v>
          </cell>
          <cell r="K207">
            <v>9030</v>
          </cell>
          <cell r="L207">
            <v>0</v>
          </cell>
        </row>
        <row r="208">
          <cell r="A208" t="str">
            <v>MRM4469</v>
          </cell>
          <cell r="B208">
            <v>4500</v>
          </cell>
          <cell r="F208">
            <v>6088</v>
          </cell>
          <cell r="K208">
            <v>10588</v>
          </cell>
          <cell r="L208">
            <v>0</v>
          </cell>
        </row>
        <row r="209">
          <cell r="A209" t="str">
            <v>MRM4469P</v>
          </cell>
          <cell r="D209">
            <v>45360</v>
          </cell>
          <cell r="H209">
            <v>30</v>
          </cell>
          <cell r="K209">
            <v>45390</v>
          </cell>
          <cell r="L209">
            <v>0</v>
          </cell>
        </row>
        <row r="210">
          <cell r="A210" t="str">
            <v>MRM4491</v>
          </cell>
          <cell r="G210">
            <v>2400</v>
          </cell>
          <cell r="H210">
            <v>24</v>
          </cell>
          <cell r="K210">
            <v>2424</v>
          </cell>
          <cell r="L210">
            <v>0</v>
          </cell>
        </row>
        <row r="211">
          <cell r="A211" t="str">
            <v>PRC4128P</v>
          </cell>
          <cell r="K211">
            <v>0</v>
          </cell>
          <cell r="L211">
            <v>0</v>
          </cell>
        </row>
        <row r="212">
          <cell r="A212" t="str">
            <v>PRC4134P</v>
          </cell>
          <cell r="K212">
            <v>0</v>
          </cell>
          <cell r="L212">
            <v>0</v>
          </cell>
        </row>
        <row r="213">
          <cell r="A213" t="str">
            <v>VRB1301</v>
          </cell>
          <cell r="K213">
            <v>0</v>
          </cell>
          <cell r="L213">
            <v>0</v>
          </cell>
        </row>
        <row r="214">
          <cell r="A214" t="str">
            <v>VRB1323</v>
          </cell>
          <cell r="F214">
            <v>42600</v>
          </cell>
          <cell r="K214">
            <v>42600</v>
          </cell>
          <cell r="L214">
            <v>0</v>
          </cell>
        </row>
        <row r="215">
          <cell r="A215" t="str">
            <v>VRB2303</v>
          </cell>
          <cell r="F215">
            <v>85223</v>
          </cell>
          <cell r="K215">
            <v>85223</v>
          </cell>
          <cell r="L215">
            <v>0</v>
          </cell>
        </row>
        <row r="216">
          <cell r="A216" t="str">
            <v>VRL3303</v>
          </cell>
          <cell r="F216">
            <v>13131</v>
          </cell>
          <cell r="K216">
            <v>13131</v>
          </cell>
          <cell r="L216">
            <v>0</v>
          </cell>
        </row>
        <row r="217">
          <cell r="A217" t="str">
            <v>VRL3313</v>
          </cell>
          <cell r="F217">
            <v>11051</v>
          </cell>
          <cell r="K217">
            <v>11051</v>
          </cell>
          <cell r="L217">
            <v>0</v>
          </cell>
        </row>
        <row r="218">
          <cell r="A218" t="str">
            <v>VRL3373</v>
          </cell>
          <cell r="F218">
            <v>12112</v>
          </cell>
          <cell r="K218">
            <v>12112</v>
          </cell>
          <cell r="L218">
            <v>0</v>
          </cell>
        </row>
      </sheetData>
      <sheetData sheetId="11">
        <row r="4">
          <cell r="A4" t="str">
            <v>020117454</v>
          </cell>
          <cell r="J4">
            <v>0</v>
          </cell>
          <cell r="K4">
            <v>0</v>
          </cell>
        </row>
        <row r="5">
          <cell r="A5" t="str">
            <v>032518275</v>
          </cell>
          <cell r="J5">
            <v>0</v>
          </cell>
          <cell r="K5">
            <v>0</v>
          </cell>
        </row>
        <row r="6">
          <cell r="A6" t="str">
            <v>032633109</v>
          </cell>
          <cell r="J6">
            <v>0</v>
          </cell>
          <cell r="K6">
            <v>0</v>
          </cell>
        </row>
        <row r="7">
          <cell r="A7">
            <v>231603229</v>
          </cell>
          <cell r="J7">
            <v>0</v>
          </cell>
          <cell r="K7">
            <v>0</v>
          </cell>
        </row>
        <row r="8">
          <cell r="A8" t="str">
            <v>231603233</v>
          </cell>
          <cell r="J8">
            <v>0</v>
          </cell>
          <cell r="K8">
            <v>0</v>
          </cell>
        </row>
        <row r="9">
          <cell r="A9">
            <v>231603234</v>
          </cell>
          <cell r="J9">
            <v>0</v>
          </cell>
          <cell r="K9">
            <v>0</v>
          </cell>
        </row>
        <row r="10">
          <cell r="A10">
            <v>231603235</v>
          </cell>
          <cell r="J10">
            <v>0</v>
          </cell>
          <cell r="K10">
            <v>0</v>
          </cell>
        </row>
        <row r="11">
          <cell r="A11">
            <v>231603236</v>
          </cell>
          <cell r="J11">
            <v>0</v>
          </cell>
          <cell r="K11">
            <v>0</v>
          </cell>
        </row>
        <row r="12">
          <cell r="A12" t="str">
            <v>ARB0060</v>
          </cell>
          <cell r="B12">
            <v>6000</v>
          </cell>
          <cell r="J12">
            <v>0</v>
          </cell>
          <cell r="K12">
            <v>6000</v>
          </cell>
        </row>
        <row r="13">
          <cell r="A13" t="str">
            <v>ARB0062</v>
          </cell>
          <cell r="B13">
            <v>1056</v>
          </cell>
          <cell r="J13">
            <v>0</v>
          </cell>
          <cell r="K13">
            <v>1056</v>
          </cell>
        </row>
        <row r="14">
          <cell r="A14" t="str">
            <v>ARB0063</v>
          </cell>
          <cell r="B14">
            <v>16020</v>
          </cell>
          <cell r="J14">
            <v>0</v>
          </cell>
          <cell r="K14">
            <v>16020</v>
          </cell>
        </row>
        <row r="15">
          <cell r="A15" t="str">
            <v>ARB0064</v>
          </cell>
          <cell r="B15">
            <v>3008</v>
          </cell>
          <cell r="C15">
            <v>40000</v>
          </cell>
          <cell r="J15">
            <v>0</v>
          </cell>
          <cell r="K15">
            <v>43008</v>
          </cell>
        </row>
        <row r="16">
          <cell r="A16" t="str">
            <v>ARB0081</v>
          </cell>
          <cell r="J16">
            <v>0</v>
          </cell>
          <cell r="K16">
            <v>0</v>
          </cell>
        </row>
        <row r="17">
          <cell r="A17" t="str">
            <v>ARB0162</v>
          </cell>
          <cell r="J17">
            <v>0</v>
          </cell>
          <cell r="K17">
            <v>0</v>
          </cell>
        </row>
        <row r="18">
          <cell r="A18" t="str">
            <v>ARB0163</v>
          </cell>
          <cell r="B18">
            <v>1500</v>
          </cell>
          <cell r="C18">
            <v>1020</v>
          </cell>
          <cell r="F18">
            <v>3240</v>
          </cell>
          <cell r="J18">
            <v>0</v>
          </cell>
          <cell r="K18">
            <v>5760</v>
          </cell>
        </row>
        <row r="19">
          <cell r="A19" t="str">
            <v>ARB0164</v>
          </cell>
          <cell r="B19">
            <v>880</v>
          </cell>
          <cell r="J19">
            <v>0</v>
          </cell>
          <cell r="K19">
            <v>880</v>
          </cell>
        </row>
        <row r="20">
          <cell r="A20" t="str">
            <v>ARB0253</v>
          </cell>
          <cell r="J20">
            <v>0</v>
          </cell>
          <cell r="K20">
            <v>0</v>
          </cell>
        </row>
        <row r="21">
          <cell r="A21" t="str">
            <v>ARB0254</v>
          </cell>
          <cell r="J21">
            <v>0</v>
          </cell>
          <cell r="K21">
            <v>0</v>
          </cell>
        </row>
        <row r="22">
          <cell r="A22" t="str">
            <v>ARB0264</v>
          </cell>
          <cell r="J22">
            <v>0</v>
          </cell>
          <cell r="K22">
            <v>0</v>
          </cell>
        </row>
        <row r="23">
          <cell r="A23" t="str">
            <v>ARB0302</v>
          </cell>
          <cell r="J23">
            <v>0</v>
          </cell>
          <cell r="K23">
            <v>0</v>
          </cell>
        </row>
        <row r="24">
          <cell r="A24" t="str">
            <v>ARB0303</v>
          </cell>
          <cell r="B24">
            <v>510</v>
          </cell>
          <cell r="J24">
            <v>0</v>
          </cell>
          <cell r="K24">
            <v>510</v>
          </cell>
        </row>
        <row r="25">
          <cell r="A25" t="str">
            <v>ARB0304</v>
          </cell>
          <cell r="J25">
            <v>0</v>
          </cell>
          <cell r="K25">
            <v>0</v>
          </cell>
        </row>
        <row r="26">
          <cell r="A26" t="str">
            <v>ARB0790</v>
          </cell>
          <cell r="J26">
            <v>0</v>
          </cell>
          <cell r="K26">
            <v>0</v>
          </cell>
        </row>
        <row r="27">
          <cell r="A27" t="str">
            <v>ARB0791</v>
          </cell>
          <cell r="J27">
            <v>0</v>
          </cell>
          <cell r="K27">
            <v>0</v>
          </cell>
        </row>
        <row r="28">
          <cell r="A28" t="str">
            <v>ARB0802</v>
          </cell>
          <cell r="J28">
            <v>0</v>
          </cell>
          <cell r="K28">
            <v>0</v>
          </cell>
        </row>
        <row r="29">
          <cell r="A29" t="str">
            <v>ARB0808</v>
          </cell>
          <cell r="J29">
            <v>0</v>
          </cell>
          <cell r="K29">
            <v>0</v>
          </cell>
        </row>
        <row r="30">
          <cell r="A30" t="str">
            <v>ARB0832</v>
          </cell>
          <cell r="J30">
            <v>0</v>
          </cell>
          <cell r="K30">
            <v>0</v>
          </cell>
        </row>
        <row r="31">
          <cell r="A31" t="str">
            <v>ARB0842</v>
          </cell>
          <cell r="J31">
            <v>0</v>
          </cell>
          <cell r="K31">
            <v>0</v>
          </cell>
        </row>
        <row r="32">
          <cell r="A32" t="str">
            <v>ARB1063</v>
          </cell>
          <cell r="B32">
            <v>19980</v>
          </cell>
          <cell r="F32">
            <v>11220</v>
          </cell>
          <cell r="J32">
            <v>0</v>
          </cell>
          <cell r="K32">
            <v>31200</v>
          </cell>
        </row>
        <row r="33">
          <cell r="A33" t="str">
            <v>ARB1064</v>
          </cell>
          <cell r="B33">
            <v>2400</v>
          </cell>
          <cell r="J33">
            <v>0</v>
          </cell>
          <cell r="K33">
            <v>2400</v>
          </cell>
        </row>
        <row r="34">
          <cell r="A34" t="str">
            <v>ARB1072</v>
          </cell>
          <cell r="J34">
            <v>0</v>
          </cell>
          <cell r="K34">
            <v>0</v>
          </cell>
        </row>
        <row r="35">
          <cell r="A35" t="str">
            <v>ARB1073</v>
          </cell>
          <cell r="J35">
            <v>0</v>
          </cell>
          <cell r="K35">
            <v>0</v>
          </cell>
        </row>
        <row r="36">
          <cell r="A36" t="str">
            <v>ARB1082</v>
          </cell>
          <cell r="J36">
            <v>0</v>
          </cell>
          <cell r="K36">
            <v>0</v>
          </cell>
        </row>
        <row r="37">
          <cell r="A37" t="str">
            <v>ARB1083</v>
          </cell>
          <cell r="J37">
            <v>0</v>
          </cell>
          <cell r="K37">
            <v>0</v>
          </cell>
        </row>
        <row r="38">
          <cell r="A38" t="str">
            <v>ARB1084</v>
          </cell>
          <cell r="I38">
            <v>8000</v>
          </cell>
          <cell r="J38">
            <v>0</v>
          </cell>
          <cell r="K38">
            <v>8000</v>
          </cell>
        </row>
        <row r="39">
          <cell r="A39" t="str">
            <v>ARB1300</v>
          </cell>
          <cell r="J39">
            <v>0</v>
          </cell>
          <cell r="K39">
            <v>0</v>
          </cell>
        </row>
        <row r="40">
          <cell r="A40" t="str">
            <v>ARB1301</v>
          </cell>
          <cell r="B40">
            <v>3000</v>
          </cell>
          <cell r="J40">
            <v>0</v>
          </cell>
          <cell r="K40">
            <v>3000</v>
          </cell>
        </row>
        <row r="41">
          <cell r="A41" t="str">
            <v>ARB1302</v>
          </cell>
          <cell r="B41">
            <v>3000</v>
          </cell>
          <cell r="F41">
            <v>87750</v>
          </cell>
          <cell r="J41">
            <v>0</v>
          </cell>
          <cell r="K41">
            <v>90750</v>
          </cell>
        </row>
        <row r="42">
          <cell r="A42" t="str">
            <v>ARB1322</v>
          </cell>
          <cell r="B42">
            <v>240</v>
          </cell>
          <cell r="C42">
            <v>12000</v>
          </cell>
          <cell r="J42">
            <v>0</v>
          </cell>
          <cell r="K42">
            <v>12240</v>
          </cell>
        </row>
        <row r="43">
          <cell r="A43" t="str">
            <v>ARB1323</v>
          </cell>
          <cell r="B43">
            <v>46920</v>
          </cell>
          <cell r="C43">
            <v>9990</v>
          </cell>
          <cell r="F43">
            <v>148320</v>
          </cell>
          <cell r="G43">
            <v>41580</v>
          </cell>
          <cell r="J43">
            <v>0</v>
          </cell>
          <cell r="K43">
            <v>246810</v>
          </cell>
        </row>
        <row r="44">
          <cell r="A44" t="str">
            <v>ARB1324</v>
          </cell>
          <cell r="B44">
            <v>20000</v>
          </cell>
          <cell r="C44">
            <v>50000</v>
          </cell>
          <cell r="F44">
            <v>13088</v>
          </cell>
          <cell r="G44">
            <v>44352</v>
          </cell>
          <cell r="J44">
            <v>0</v>
          </cell>
          <cell r="K44">
            <v>127440</v>
          </cell>
        </row>
        <row r="45">
          <cell r="A45" t="str">
            <v>ARB2303</v>
          </cell>
          <cell r="J45">
            <v>0</v>
          </cell>
          <cell r="K45">
            <v>0</v>
          </cell>
        </row>
        <row r="46">
          <cell r="A46" t="str">
            <v>ARB2304</v>
          </cell>
          <cell r="J46">
            <v>0</v>
          </cell>
          <cell r="K46">
            <v>0</v>
          </cell>
        </row>
        <row r="47">
          <cell r="A47" t="str">
            <v>ARB2322</v>
          </cell>
          <cell r="F47">
            <v>4608</v>
          </cell>
          <cell r="J47">
            <v>0</v>
          </cell>
          <cell r="K47">
            <v>4608</v>
          </cell>
        </row>
        <row r="48">
          <cell r="A48" t="str">
            <v>ARB2323</v>
          </cell>
          <cell r="J48">
            <v>0</v>
          </cell>
          <cell r="K48">
            <v>0</v>
          </cell>
        </row>
        <row r="49">
          <cell r="A49" t="str">
            <v>ARB2324</v>
          </cell>
          <cell r="C49">
            <v>46000</v>
          </cell>
          <cell r="J49">
            <v>0</v>
          </cell>
          <cell r="K49">
            <v>46000</v>
          </cell>
        </row>
        <row r="50">
          <cell r="A50" t="str">
            <v>ARB3200</v>
          </cell>
          <cell r="J50">
            <v>0</v>
          </cell>
          <cell r="K50">
            <v>0</v>
          </cell>
        </row>
        <row r="51">
          <cell r="A51" t="str">
            <v>ARB3210</v>
          </cell>
          <cell r="J51">
            <v>0</v>
          </cell>
          <cell r="K51">
            <v>0</v>
          </cell>
        </row>
        <row r="52">
          <cell r="A52" t="str">
            <v>ARB4043</v>
          </cell>
          <cell r="J52">
            <v>0</v>
          </cell>
          <cell r="K52">
            <v>0</v>
          </cell>
        </row>
        <row r="53">
          <cell r="A53" t="str">
            <v>ARB5161</v>
          </cell>
          <cell r="J53">
            <v>0</v>
          </cell>
          <cell r="K53">
            <v>0</v>
          </cell>
        </row>
        <row r="54">
          <cell r="A54" t="str">
            <v>ARB5163</v>
          </cell>
          <cell r="F54">
            <v>3008</v>
          </cell>
          <cell r="J54">
            <v>0</v>
          </cell>
          <cell r="K54">
            <v>3008</v>
          </cell>
        </row>
        <row r="55">
          <cell r="A55" t="str">
            <v>ARB5167</v>
          </cell>
          <cell r="F55">
            <v>1902</v>
          </cell>
          <cell r="J55">
            <v>0</v>
          </cell>
          <cell r="K55">
            <v>1902</v>
          </cell>
        </row>
        <row r="56">
          <cell r="A56" t="str">
            <v>ARB5168</v>
          </cell>
          <cell r="J56">
            <v>0</v>
          </cell>
          <cell r="K56">
            <v>0</v>
          </cell>
        </row>
        <row r="57">
          <cell r="A57" t="str">
            <v>ARB5177</v>
          </cell>
          <cell r="F57">
            <v>954</v>
          </cell>
          <cell r="J57">
            <v>0</v>
          </cell>
          <cell r="K57">
            <v>954</v>
          </cell>
        </row>
        <row r="58">
          <cell r="A58" t="str">
            <v>ARB5178</v>
          </cell>
          <cell r="J58">
            <v>0</v>
          </cell>
          <cell r="K58">
            <v>0</v>
          </cell>
        </row>
        <row r="59">
          <cell r="A59" t="str">
            <v>ARB5181</v>
          </cell>
          <cell r="J59">
            <v>0</v>
          </cell>
          <cell r="K59">
            <v>0</v>
          </cell>
        </row>
        <row r="60">
          <cell r="A60" t="str">
            <v>ARB5187</v>
          </cell>
          <cell r="F60">
            <v>4002</v>
          </cell>
          <cell r="J60">
            <v>0</v>
          </cell>
          <cell r="K60">
            <v>4002</v>
          </cell>
        </row>
        <row r="61">
          <cell r="A61" t="str">
            <v>ARB5188</v>
          </cell>
          <cell r="J61">
            <v>0</v>
          </cell>
          <cell r="K61">
            <v>0</v>
          </cell>
        </row>
        <row r="62">
          <cell r="A62" t="str">
            <v>ARB5193</v>
          </cell>
          <cell r="B62">
            <v>2310</v>
          </cell>
          <cell r="F62">
            <v>1908</v>
          </cell>
          <cell r="J62">
            <v>15</v>
          </cell>
          <cell r="K62">
            <v>4233</v>
          </cell>
        </row>
        <row r="63">
          <cell r="A63" t="str">
            <v>ARB5194</v>
          </cell>
          <cell r="B63">
            <v>4800</v>
          </cell>
          <cell r="J63">
            <v>15</v>
          </cell>
          <cell r="K63">
            <v>4815</v>
          </cell>
        </row>
        <row r="64">
          <cell r="A64" t="str">
            <v>ARB5195</v>
          </cell>
          <cell r="F64">
            <v>1632</v>
          </cell>
          <cell r="J64">
            <v>6</v>
          </cell>
          <cell r="K64">
            <v>1638</v>
          </cell>
        </row>
        <row r="65">
          <cell r="A65" t="str">
            <v>ARB6153</v>
          </cell>
          <cell r="J65">
            <v>0</v>
          </cell>
          <cell r="K65">
            <v>0</v>
          </cell>
        </row>
        <row r="66">
          <cell r="A66" t="str">
            <v>ARB6404</v>
          </cell>
          <cell r="J66">
            <v>0</v>
          </cell>
          <cell r="K66">
            <v>0</v>
          </cell>
        </row>
        <row r="67">
          <cell r="A67" t="str">
            <v>ARB6404L</v>
          </cell>
          <cell r="J67">
            <v>0</v>
          </cell>
          <cell r="K67">
            <v>0</v>
          </cell>
        </row>
        <row r="68">
          <cell r="A68" t="str">
            <v>ARB6413</v>
          </cell>
          <cell r="J68">
            <v>0</v>
          </cell>
          <cell r="K68">
            <v>0</v>
          </cell>
        </row>
        <row r="69">
          <cell r="A69" t="str">
            <v>ARB6424</v>
          </cell>
          <cell r="C69">
            <v>420</v>
          </cell>
          <cell r="J69">
            <v>0</v>
          </cell>
          <cell r="K69">
            <v>420</v>
          </cell>
        </row>
        <row r="70">
          <cell r="A70" t="str">
            <v>ARB6437</v>
          </cell>
          <cell r="J70">
            <v>0</v>
          </cell>
          <cell r="K70">
            <v>0</v>
          </cell>
        </row>
        <row r="71">
          <cell r="A71" t="str">
            <v>ARB6437L</v>
          </cell>
          <cell r="J71">
            <v>0</v>
          </cell>
          <cell r="K71">
            <v>0</v>
          </cell>
        </row>
        <row r="72">
          <cell r="A72" t="str">
            <v>ARB7003</v>
          </cell>
          <cell r="J72">
            <v>0</v>
          </cell>
          <cell r="K72">
            <v>0</v>
          </cell>
        </row>
        <row r="73">
          <cell r="A73" t="str">
            <v>ARB7013</v>
          </cell>
          <cell r="J73">
            <v>0</v>
          </cell>
          <cell r="K73">
            <v>0</v>
          </cell>
        </row>
        <row r="74">
          <cell r="A74" t="str">
            <v>ARB7023</v>
          </cell>
          <cell r="J74">
            <v>0</v>
          </cell>
          <cell r="K74">
            <v>0</v>
          </cell>
        </row>
        <row r="75">
          <cell r="A75" t="str">
            <v>ARB7024</v>
          </cell>
          <cell r="J75">
            <v>0</v>
          </cell>
          <cell r="K75">
            <v>0</v>
          </cell>
        </row>
        <row r="76">
          <cell r="A76" t="str">
            <v>ARB7033</v>
          </cell>
          <cell r="J76">
            <v>0</v>
          </cell>
          <cell r="K76">
            <v>0</v>
          </cell>
        </row>
        <row r="77">
          <cell r="A77" t="str">
            <v>ARB7034</v>
          </cell>
          <cell r="J77">
            <v>0</v>
          </cell>
          <cell r="K77">
            <v>0</v>
          </cell>
        </row>
        <row r="78">
          <cell r="A78" t="str">
            <v>ARB7317</v>
          </cell>
          <cell r="C78">
            <v>700</v>
          </cell>
          <cell r="J78">
            <v>0</v>
          </cell>
          <cell r="K78">
            <v>700</v>
          </cell>
        </row>
        <row r="79">
          <cell r="A79" t="str">
            <v>ARB7487</v>
          </cell>
          <cell r="J79">
            <v>0</v>
          </cell>
          <cell r="K79">
            <v>0</v>
          </cell>
        </row>
        <row r="80">
          <cell r="A80" t="str">
            <v>ARB7925</v>
          </cell>
          <cell r="J80">
            <v>0</v>
          </cell>
          <cell r="K80">
            <v>0</v>
          </cell>
        </row>
        <row r="81">
          <cell r="A81" t="str">
            <v>ARB8029</v>
          </cell>
          <cell r="J81">
            <v>0</v>
          </cell>
          <cell r="K81">
            <v>0</v>
          </cell>
        </row>
        <row r="82">
          <cell r="A82" t="str">
            <v>ARB8102P</v>
          </cell>
          <cell r="D82">
            <v>9870</v>
          </cell>
          <cell r="J82">
            <v>0</v>
          </cell>
          <cell r="K82">
            <v>9870</v>
          </cell>
        </row>
        <row r="83">
          <cell r="A83" t="str">
            <v>ARB8112</v>
          </cell>
          <cell r="J83">
            <v>0</v>
          </cell>
          <cell r="K83">
            <v>0</v>
          </cell>
        </row>
        <row r="84">
          <cell r="A84" t="str">
            <v>ARB8114</v>
          </cell>
          <cell r="J84">
            <v>0</v>
          </cell>
          <cell r="K84">
            <v>0</v>
          </cell>
        </row>
        <row r="85">
          <cell r="A85" t="str">
            <v>ARB8134</v>
          </cell>
          <cell r="J85">
            <v>0</v>
          </cell>
          <cell r="K85">
            <v>0</v>
          </cell>
        </row>
        <row r="86">
          <cell r="A86" t="str">
            <v>ARB8152</v>
          </cell>
          <cell r="J86">
            <v>0</v>
          </cell>
          <cell r="K86">
            <v>0</v>
          </cell>
        </row>
        <row r="87">
          <cell r="A87" t="str">
            <v>ARB8187</v>
          </cell>
          <cell r="J87">
            <v>0</v>
          </cell>
          <cell r="K87">
            <v>0</v>
          </cell>
        </row>
        <row r="88">
          <cell r="A88" t="str">
            <v>ARB8603</v>
          </cell>
          <cell r="J88">
            <v>0</v>
          </cell>
          <cell r="K88">
            <v>0</v>
          </cell>
        </row>
        <row r="89">
          <cell r="A89" t="str">
            <v>ARB8604</v>
          </cell>
          <cell r="J89">
            <v>0</v>
          </cell>
          <cell r="K89">
            <v>0</v>
          </cell>
        </row>
        <row r="90">
          <cell r="A90" t="str">
            <v>ARB8607</v>
          </cell>
          <cell r="J90">
            <v>0</v>
          </cell>
          <cell r="K90">
            <v>0</v>
          </cell>
        </row>
        <row r="91">
          <cell r="A91" t="str">
            <v>ARB9710</v>
          </cell>
          <cell r="J91">
            <v>0</v>
          </cell>
          <cell r="K91">
            <v>0</v>
          </cell>
        </row>
        <row r="92">
          <cell r="A92" t="str">
            <v>ARB9711</v>
          </cell>
          <cell r="F92">
            <v>1002</v>
          </cell>
          <cell r="J92">
            <v>0</v>
          </cell>
          <cell r="K92">
            <v>1002</v>
          </cell>
        </row>
        <row r="93">
          <cell r="A93" t="str">
            <v>ARB9712</v>
          </cell>
          <cell r="J93">
            <v>0</v>
          </cell>
          <cell r="K93">
            <v>0</v>
          </cell>
        </row>
        <row r="94">
          <cell r="A94" t="str">
            <v>ARB9806</v>
          </cell>
          <cell r="C94">
            <v>4998</v>
          </cell>
          <cell r="F94">
            <v>11694</v>
          </cell>
          <cell r="J94">
            <v>0</v>
          </cell>
          <cell r="K94">
            <v>16692</v>
          </cell>
        </row>
        <row r="95">
          <cell r="A95" t="str">
            <v>ARB9808</v>
          </cell>
          <cell r="F95">
            <v>3162</v>
          </cell>
          <cell r="J95">
            <v>0</v>
          </cell>
          <cell r="K95">
            <v>3162</v>
          </cell>
        </row>
        <row r="96">
          <cell r="A96" t="str">
            <v>ARB9816</v>
          </cell>
          <cell r="B96">
            <v>7524</v>
          </cell>
          <cell r="C96">
            <v>4998</v>
          </cell>
          <cell r="F96">
            <v>4998</v>
          </cell>
          <cell r="J96">
            <v>0</v>
          </cell>
          <cell r="K96">
            <v>17520</v>
          </cell>
        </row>
        <row r="97">
          <cell r="A97" t="str">
            <v>ARB9818</v>
          </cell>
          <cell r="F97">
            <v>942</v>
          </cell>
          <cell r="J97">
            <v>0</v>
          </cell>
          <cell r="K97">
            <v>942</v>
          </cell>
        </row>
        <row r="98">
          <cell r="A98" t="str">
            <v>ARB9826</v>
          </cell>
          <cell r="C98">
            <v>2274</v>
          </cell>
          <cell r="J98">
            <v>0</v>
          </cell>
          <cell r="K98">
            <v>2274</v>
          </cell>
        </row>
        <row r="99">
          <cell r="A99" t="str">
            <v>ARB9828</v>
          </cell>
          <cell r="F99">
            <v>2166</v>
          </cell>
          <cell r="J99">
            <v>0</v>
          </cell>
          <cell r="K99">
            <v>2166</v>
          </cell>
        </row>
        <row r="100">
          <cell r="A100" t="str">
            <v>ARC0050P</v>
          </cell>
          <cell r="J100">
            <v>0</v>
          </cell>
          <cell r="K100">
            <v>0</v>
          </cell>
        </row>
        <row r="101">
          <cell r="A101" t="str">
            <v>ARC0473P</v>
          </cell>
          <cell r="J101">
            <v>0</v>
          </cell>
          <cell r="K101">
            <v>0</v>
          </cell>
        </row>
        <row r="102">
          <cell r="A102" t="str">
            <v>ARC1006P</v>
          </cell>
          <cell r="J102">
            <v>0</v>
          </cell>
          <cell r="K102">
            <v>0</v>
          </cell>
        </row>
        <row r="103">
          <cell r="A103" t="str">
            <v>ARC1008</v>
          </cell>
          <cell r="J103">
            <v>0</v>
          </cell>
          <cell r="K103">
            <v>0</v>
          </cell>
        </row>
        <row r="104">
          <cell r="A104" t="str">
            <v>ARC1964</v>
          </cell>
          <cell r="J104">
            <v>0</v>
          </cell>
          <cell r="K104">
            <v>0</v>
          </cell>
        </row>
        <row r="105">
          <cell r="A105" t="str">
            <v>ARC2006</v>
          </cell>
          <cell r="C105">
            <v>2750</v>
          </cell>
          <cell r="J105">
            <v>0</v>
          </cell>
          <cell r="K105">
            <v>2750</v>
          </cell>
        </row>
        <row r="106">
          <cell r="A106" t="str">
            <v>ARC2006P</v>
          </cell>
          <cell r="J106">
            <v>0</v>
          </cell>
          <cell r="K106">
            <v>0</v>
          </cell>
        </row>
        <row r="107">
          <cell r="A107" t="str">
            <v>ARC2220</v>
          </cell>
          <cell r="J107">
            <v>0</v>
          </cell>
          <cell r="K107">
            <v>0</v>
          </cell>
        </row>
        <row r="108">
          <cell r="A108" t="str">
            <v>ARC2421</v>
          </cell>
          <cell r="J108">
            <v>0</v>
          </cell>
          <cell r="K108">
            <v>0</v>
          </cell>
        </row>
        <row r="109">
          <cell r="A109" t="str">
            <v>ARC2421P</v>
          </cell>
          <cell r="J109">
            <v>0</v>
          </cell>
          <cell r="K109">
            <v>0</v>
          </cell>
        </row>
        <row r="110">
          <cell r="A110" t="str">
            <v>ARC4002</v>
          </cell>
          <cell r="J110">
            <v>0</v>
          </cell>
          <cell r="K110">
            <v>0</v>
          </cell>
        </row>
        <row r="111">
          <cell r="A111" t="str">
            <v>ARC4005</v>
          </cell>
          <cell r="J111">
            <v>0</v>
          </cell>
          <cell r="K111">
            <v>0</v>
          </cell>
        </row>
        <row r="112">
          <cell r="A112" t="str">
            <v>ARC4006</v>
          </cell>
          <cell r="J112">
            <v>0</v>
          </cell>
          <cell r="K112">
            <v>0</v>
          </cell>
        </row>
        <row r="113">
          <cell r="A113" t="str">
            <v>ARC5404</v>
          </cell>
          <cell r="J113">
            <v>0</v>
          </cell>
          <cell r="K113">
            <v>0</v>
          </cell>
        </row>
        <row r="114">
          <cell r="A114" t="str">
            <v>ARC7501</v>
          </cell>
          <cell r="J114">
            <v>0</v>
          </cell>
          <cell r="K114">
            <v>0</v>
          </cell>
        </row>
        <row r="115">
          <cell r="A115" t="str">
            <v>ARC7502</v>
          </cell>
          <cell r="J115">
            <v>0</v>
          </cell>
          <cell r="K115">
            <v>0</v>
          </cell>
        </row>
        <row r="116">
          <cell r="A116" t="str">
            <v>ARC7503</v>
          </cell>
          <cell r="J116">
            <v>0</v>
          </cell>
          <cell r="K116">
            <v>0</v>
          </cell>
        </row>
        <row r="117">
          <cell r="A117" t="str">
            <v>ARC7511</v>
          </cell>
          <cell r="B117">
            <v>1500</v>
          </cell>
          <cell r="J117">
            <v>0</v>
          </cell>
          <cell r="K117">
            <v>1500</v>
          </cell>
        </row>
        <row r="118">
          <cell r="A118" t="str">
            <v>ARD0001</v>
          </cell>
          <cell r="C118">
            <v>6000</v>
          </cell>
          <cell r="J118">
            <v>0</v>
          </cell>
          <cell r="K118">
            <v>6000</v>
          </cell>
        </row>
        <row r="119">
          <cell r="A119" t="str">
            <v>ARD0002</v>
          </cell>
          <cell r="J119">
            <v>0</v>
          </cell>
          <cell r="K119">
            <v>0</v>
          </cell>
        </row>
        <row r="120">
          <cell r="A120" t="str">
            <v>ARD0004</v>
          </cell>
          <cell r="C120">
            <v>800</v>
          </cell>
          <cell r="J120">
            <v>0</v>
          </cell>
          <cell r="K120">
            <v>800</v>
          </cell>
        </row>
        <row r="121">
          <cell r="A121" t="str">
            <v>ARD2926R</v>
          </cell>
          <cell r="J121">
            <v>0</v>
          </cell>
          <cell r="K121">
            <v>0</v>
          </cell>
        </row>
        <row r="122">
          <cell r="A122" t="str">
            <v>ARD5633</v>
          </cell>
          <cell r="C122">
            <v>2490</v>
          </cell>
          <cell r="H122">
            <v>1200</v>
          </cell>
          <cell r="J122">
            <v>0</v>
          </cell>
          <cell r="K122">
            <v>3690</v>
          </cell>
        </row>
        <row r="123">
          <cell r="A123" t="str">
            <v>ARL3203</v>
          </cell>
          <cell r="J123">
            <v>0</v>
          </cell>
          <cell r="K123">
            <v>0</v>
          </cell>
        </row>
        <row r="124">
          <cell r="A124" t="str">
            <v>ARL3213</v>
          </cell>
          <cell r="J124">
            <v>0</v>
          </cell>
          <cell r="K124">
            <v>0</v>
          </cell>
        </row>
        <row r="125">
          <cell r="A125" t="str">
            <v>ARL3300</v>
          </cell>
          <cell r="J125">
            <v>0</v>
          </cell>
          <cell r="K125">
            <v>0</v>
          </cell>
        </row>
        <row r="126">
          <cell r="A126" t="str">
            <v>ARL3303</v>
          </cell>
          <cell r="C126">
            <v>2136</v>
          </cell>
          <cell r="J126">
            <v>0</v>
          </cell>
          <cell r="K126">
            <v>2136</v>
          </cell>
        </row>
        <row r="127">
          <cell r="A127" t="str">
            <v>ARL3310</v>
          </cell>
          <cell r="J127">
            <v>0</v>
          </cell>
          <cell r="K127">
            <v>0</v>
          </cell>
        </row>
        <row r="128">
          <cell r="A128" t="str">
            <v>ARL3313</v>
          </cell>
          <cell r="C128">
            <v>1080</v>
          </cell>
          <cell r="J128">
            <v>0</v>
          </cell>
          <cell r="K128">
            <v>1080</v>
          </cell>
        </row>
        <row r="129">
          <cell r="A129" t="str">
            <v>ARL3320</v>
          </cell>
          <cell r="J129">
            <v>0</v>
          </cell>
          <cell r="K129">
            <v>0</v>
          </cell>
        </row>
        <row r="130">
          <cell r="A130" t="str">
            <v>ARL3323</v>
          </cell>
          <cell r="C130">
            <v>3744</v>
          </cell>
          <cell r="J130">
            <v>0</v>
          </cell>
          <cell r="K130">
            <v>3744</v>
          </cell>
        </row>
        <row r="131">
          <cell r="A131" t="str">
            <v>ARL3330</v>
          </cell>
          <cell r="J131">
            <v>0</v>
          </cell>
          <cell r="K131">
            <v>0</v>
          </cell>
        </row>
        <row r="132">
          <cell r="A132" t="str">
            <v>ARL3333</v>
          </cell>
          <cell r="C132">
            <v>2160</v>
          </cell>
          <cell r="J132">
            <v>0</v>
          </cell>
          <cell r="K132">
            <v>2160</v>
          </cell>
        </row>
        <row r="133">
          <cell r="A133" t="str">
            <v>ARL3340</v>
          </cell>
          <cell r="J133">
            <v>0</v>
          </cell>
          <cell r="K133">
            <v>0</v>
          </cell>
        </row>
        <row r="134">
          <cell r="A134" t="str">
            <v>ARL3343</v>
          </cell>
          <cell r="C134">
            <v>1080</v>
          </cell>
          <cell r="J134">
            <v>0</v>
          </cell>
          <cell r="K134">
            <v>1080</v>
          </cell>
        </row>
        <row r="135">
          <cell r="A135" t="str">
            <v>ARL3353</v>
          </cell>
          <cell r="C135">
            <v>1080</v>
          </cell>
          <cell r="J135">
            <v>0</v>
          </cell>
          <cell r="K135">
            <v>1080</v>
          </cell>
        </row>
        <row r="136">
          <cell r="A136" t="str">
            <v>ARL3363</v>
          </cell>
          <cell r="J136">
            <v>0</v>
          </cell>
          <cell r="K136">
            <v>0</v>
          </cell>
        </row>
        <row r="137">
          <cell r="A137" t="str">
            <v>ARL3373</v>
          </cell>
          <cell r="C137">
            <v>3240</v>
          </cell>
          <cell r="J137">
            <v>0</v>
          </cell>
          <cell r="K137">
            <v>3240</v>
          </cell>
        </row>
        <row r="138">
          <cell r="A138" t="str">
            <v>ARL3383</v>
          </cell>
          <cell r="J138">
            <v>0</v>
          </cell>
          <cell r="K138">
            <v>0</v>
          </cell>
        </row>
        <row r="139">
          <cell r="A139" t="str">
            <v>ARL3393</v>
          </cell>
          <cell r="J139">
            <v>0</v>
          </cell>
          <cell r="K139">
            <v>0</v>
          </cell>
        </row>
        <row r="140">
          <cell r="A140" t="str">
            <v>ARL8030</v>
          </cell>
          <cell r="B140">
            <v>140</v>
          </cell>
          <cell r="J140">
            <v>0</v>
          </cell>
          <cell r="K140">
            <v>140</v>
          </cell>
        </row>
        <row r="141">
          <cell r="A141" t="str">
            <v>ARM1278P</v>
          </cell>
          <cell r="J141">
            <v>0</v>
          </cell>
          <cell r="K141">
            <v>0</v>
          </cell>
        </row>
        <row r="142">
          <cell r="A142" t="str">
            <v>ARM4226</v>
          </cell>
          <cell r="J142">
            <v>0</v>
          </cell>
          <cell r="K142">
            <v>0</v>
          </cell>
        </row>
        <row r="143">
          <cell r="A143" t="str">
            <v>ARM4226P</v>
          </cell>
          <cell r="C143">
            <v>17640</v>
          </cell>
          <cell r="H143">
            <v>11760</v>
          </cell>
          <cell r="J143">
            <v>0</v>
          </cell>
          <cell r="K143">
            <v>29400</v>
          </cell>
        </row>
        <row r="144">
          <cell r="A144" t="str">
            <v>ARW0012</v>
          </cell>
          <cell r="J144">
            <v>0</v>
          </cell>
          <cell r="K144">
            <v>0</v>
          </cell>
        </row>
        <row r="145">
          <cell r="A145" t="str">
            <v>BRA1429</v>
          </cell>
          <cell r="J145">
            <v>0</v>
          </cell>
          <cell r="K145">
            <v>0</v>
          </cell>
        </row>
        <row r="146">
          <cell r="A146" t="str">
            <v>BRA3329</v>
          </cell>
          <cell r="J146">
            <v>0</v>
          </cell>
          <cell r="K146">
            <v>0</v>
          </cell>
        </row>
        <row r="147">
          <cell r="A147" t="str">
            <v>BRA5729</v>
          </cell>
          <cell r="J147">
            <v>0</v>
          </cell>
          <cell r="K147">
            <v>0</v>
          </cell>
        </row>
        <row r="148">
          <cell r="A148" t="str">
            <v>BRB3401</v>
          </cell>
          <cell r="J148">
            <v>0</v>
          </cell>
          <cell r="K148">
            <v>0</v>
          </cell>
        </row>
        <row r="149">
          <cell r="A149" t="str">
            <v>BRB3404</v>
          </cell>
          <cell r="J149">
            <v>0</v>
          </cell>
          <cell r="K149">
            <v>0</v>
          </cell>
        </row>
        <row r="150">
          <cell r="A150" t="str">
            <v>BRB6613</v>
          </cell>
          <cell r="J150">
            <v>0</v>
          </cell>
          <cell r="K150">
            <v>0</v>
          </cell>
        </row>
        <row r="151">
          <cell r="A151" t="str">
            <v>BRB6623</v>
          </cell>
          <cell r="J151">
            <v>0</v>
          </cell>
          <cell r="K151">
            <v>0</v>
          </cell>
        </row>
        <row r="152">
          <cell r="A152" t="str">
            <v>BRB7713</v>
          </cell>
          <cell r="J152">
            <v>0</v>
          </cell>
          <cell r="K152">
            <v>0</v>
          </cell>
        </row>
        <row r="153">
          <cell r="A153" t="str">
            <v>BRB7721</v>
          </cell>
          <cell r="J153">
            <v>0</v>
          </cell>
          <cell r="K153">
            <v>0</v>
          </cell>
        </row>
        <row r="154">
          <cell r="A154" t="str">
            <v>BRB7722</v>
          </cell>
          <cell r="J154">
            <v>0</v>
          </cell>
          <cell r="K154">
            <v>0</v>
          </cell>
        </row>
        <row r="155">
          <cell r="A155" t="str">
            <v>BRB8005</v>
          </cell>
          <cell r="J155">
            <v>0</v>
          </cell>
          <cell r="K155">
            <v>0</v>
          </cell>
        </row>
        <row r="156">
          <cell r="A156" t="str">
            <v>BRD0021</v>
          </cell>
          <cell r="J156">
            <v>0</v>
          </cell>
          <cell r="K156">
            <v>0</v>
          </cell>
        </row>
        <row r="157">
          <cell r="A157" t="str">
            <v>BRD0202</v>
          </cell>
          <cell r="J157">
            <v>0</v>
          </cell>
          <cell r="K157">
            <v>0</v>
          </cell>
        </row>
        <row r="158">
          <cell r="A158" t="str">
            <v>BRM6503G</v>
          </cell>
          <cell r="F158">
            <v>3624</v>
          </cell>
          <cell r="J158">
            <v>0</v>
          </cell>
          <cell r="K158">
            <v>3624</v>
          </cell>
        </row>
        <row r="159">
          <cell r="A159" t="str">
            <v>BRM6504G</v>
          </cell>
          <cell r="J159">
            <v>0</v>
          </cell>
          <cell r="K159">
            <v>0</v>
          </cell>
        </row>
        <row r="160">
          <cell r="A160" t="str">
            <v>BRM6505G</v>
          </cell>
          <cell r="I160">
            <v>856</v>
          </cell>
          <cell r="J160">
            <v>0</v>
          </cell>
          <cell r="K160">
            <v>856</v>
          </cell>
        </row>
        <row r="161">
          <cell r="A161" t="str">
            <v>BRM7198</v>
          </cell>
          <cell r="J161">
            <v>0</v>
          </cell>
          <cell r="K161">
            <v>0</v>
          </cell>
        </row>
        <row r="162">
          <cell r="A162" t="str">
            <v>BRM7198B</v>
          </cell>
          <cell r="C162">
            <v>1500</v>
          </cell>
          <cell r="J162">
            <v>0</v>
          </cell>
          <cell r="K162">
            <v>1500</v>
          </cell>
        </row>
        <row r="163">
          <cell r="A163" t="str">
            <v>BRM7216</v>
          </cell>
          <cell r="J163">
            <v>0</v>
          </cell>
          <cell r="K163">
            <v>0</v>
          </cell>
        </row>
        <row r="164">
          <cell r="A164" t="str">
            <v>BRM7216B</v>
          </cell>
          <cell r="J164">
            <v>0</v>
          </cell>
          <cell r="K164">
            <v>0</v>
          </cell>
        </row>
        <row r="165">
          <cell r="A165" t="str">
            <v>BRM7709B</v>
          </cell>
          <cell r="J165">
            <v>0</v>
          </cell>
          <cell r="K165">
            <v>0</v>
          </cell>
        </row>
        <row r="166">
          <cell r="A166" t="str">
            <v>CRB0064</v>
          </cell>
          <cell r="J166">
            <v>0</v>
          </cell>
          <cell r="K166">
            <v>0</v>
          </cell>
        </row>
        <row r="167">
          <cell r="A167" t="str">
            <v>CRB1302</v>
          </cell>
          <cell r="H167">
            <v>23345</v>
          </cell>
          <cell r="J167">
            <v>0</v>
          </cell>
          <cell r="K167">
            <v>23345</v>
          </cell>
        </row>
        <row r="168">
          <cell r="A168" t="str">
            <v>CRB1322</v>
          </cell>
          <cell r="J168">
            <v>0</v>
          </cell>
          <cell r="K168">
            <v>0</v>
          </cell>
        </row>
        <row r="169">
          <cell r="A169" t="str">
            <v>CRB1323</v>
          </cell>
          <cell r="J169">
            <v>0</v>
          </cell>
          <cell r="K169">
            <v>0</v>
          </cell>
        </row>
        <row r="170">
          <cell r="A170" t="str">
            <v>CRB1324</v>
          </cell>
          <cell r="J170">
            <v>0</v>
          </cell>
          <cell r="K170">
            <v>0</v>
          </cell>
        </row>
        <row r="171">
          <cell r="A171" t="str">
            <v>CRB6437</v>
          </cell>
          <cell r="J171">
            <v>0</v>
          </cell>
          <cell r="K171">
            <v>0</v>
          </cell>
        </row>
        <row r="172">
          <cell r="A172" t="str">
            <v>CRB9806</v>
          </cell>
          <cell r="H172">
            <v>2634</v>
          </cell>
          <cell r="J172">
            <v>0</v>
          </cell>
          <cell r="K172">
            <v>2634</v>
          </cell>
        </row>
        <row r="173">
          <cell r="A173" t="str">
            <v>CRB9808</v>
          </cell>
          <cell r="J173">
            <v>0</v>
          </cell>
          <cell r="K173">
            <v>0</v>
          </cell>
        </row>
        <row r="174">
          <cell r="A174" t="str">
            <v>CRB9816</v>
          </cell>
          <cell r="J174">
            <v>0</v>
          </cell>
          <cell r="K174">
            <v>0</v>
          </cell>
        </row>
        <row r="175">
          <cell r="A175" t="str">
            <v>CRB9818</v>
          </cell>
          <cell r="J175">
            <v>0</v>
          </cell>
          <cell r="K175">
            <v>0</v>
          </cell>
        </row>
        <row r="176">
          <cell r="A176" t="str">
            <v>CRB9826</v>
          </cell>
          <cell r="J176">
            <v>0</v>
          </cell>
          <cell r="K176">
            <v>0</v>
          </cell>
        </row>
        <row r="177">
          <cell r="A177" t="str">
            <v>CRB9828</v>
          </cell>
          <cell r="J177">
            <v>0</v>
          </cell>
          <cell r="K177">
            <v>0</v>
          </cell>
        </row>
        <row r="178">
          <cell r="A178" t="str">
            <v>MRC0001</v>
          </cell>
          <cell r="J178">
            <v>0</v>
          </cell>
          <cell r="K178">
            <v>0</v>
          </cell>
        </row>
        <row r="179">
          <cell r="A179" t="str">
            <v>MRC0001P</v>
          </cell>
          <cell r="J179">
            <v>0</v>
          </cell>
          <cell r="K179">
            <v>0</v>
          </cell>
        </row>
        <row r="180">
          <cell r="A180" t="str">
            <v>MRC0002P</v>
          </cell>
          <cell r="J180">
            <v>0</v>
          </cell>
          <cell r="K180">
            <v>0</v>
          </cell>
        </row>
        <row r="181">
          <cell r="A181" t="str">
            <v>MRC0005</v>
          </cell>
          <cell r="J181">
            <v>0</v>
          </cell>
          <cell r="K181">
            <v>0</v>
          </cell>
        </row>
        <row r="182">
          <cell r="A182" t="str">
            <v>MRC0005S</v>
          </cell>
          <cell r="J182">
            <v>0</v>
          </cell>
          <cell r="K182">
            <v>0</v>
          </cell>
        </row>
        <row r="183">
          <cell r="A183" t="str">
            <v>MRC0005SP</v>
          </cell>
          <cell r="J183">
            <v>0</v>
          </cell>
          <cell r="K183">
            <v>0</v>
          </cell>
        </row>
        <row r="184">
          <cell r="A184" t="str">
            <v>MRC0012</v>
          </cell>
          <cell r="J184">
            <v>0</v>
          </cell>
          <cell r="K184">
            <v>0</v>
          </cell>
        </row>
        <row r="185">
          <cell r="A185" t="str">
            <v>MRC0012P</v>
          </cell>
          <cell r="J185">
            <v>0</v>
          </cell>
          <cell r="K185">
            <v>0</v>
          </cell>
        </row>
        <row r="186">
          <cell r="A186" t="str">
            <v>MRC1007SP</v>
          </cell>
          <cell r="J186">
            <v>0</v>
          </cell>
          <cell r="K186">
            <v>0</v>
          </cell>
        </row>
        <row r="187">
          <cell r="A187" t="str">
            <v>MRC2104</v>
          </cell>
          <cell r="E187">
            <v>3920</v>
          </cell>
          <cell r="G187">
            <v>3570</v>
          </cell>
          <cell r="J187">
            <v>0</v>
          </cell>
          <cell r="K187">
            <v>7490</v>
          </cell>
        </row>
        <row r="188">
          <cell r="A188" t="str">
            <v>MRC2104P</v>
          </cell>
          <cell r="J188">
            <v>0</v>
          </cell>
          <cell r="K188">
            <v>0</v>
          </cell>
        </row>
        <row r="189">
          <cell r="A189" t="str">
            <v>MRC2106</v>
          </cell>
          <cell r="J189">
            <v>0</v>
          </cell>
          <cell r="K189">
            <v>0</v>
          </cell>
        </row>
        <row r="190">
          <cell r="A190" t="str">
            <v>MRC2106P</v>
          </cell>
          <cell r="J190">
            <v>0</v>
          </cell>
          <cell r="K190">
            <v>0</v>
          </cell>
        </row>
        <row r="191">
          <cell r="A191" t="str">
            <v>MRC2182</v>
          </cell>
          <cell r="F191">
            <v>2870</v>
          </cell>
          <cell r="J191">
            <v>0</v>
          </cell>
          <cell r="K191">
            <v>2870</v>
          </cell>
        </row>
        <row r="192">
          <cell r="A192" t="str">
            <v>MRC2182P</v>
          </cell>
          <cell r="J192">
            <v>0</v>
          </cell>
          <cell r="K192">
            <v>0</v>
          </cell>
        </row>
        <row r="193">
          <cell r="A193" t="str">
            <v>MRC9604P</v>
          </cell>
          <cell r="J193">
            <v>0</v>
          </cell>
          <cell r="K193">
            <v>0</v>
          </cell>
        </row>
        <row r="194">
          <cell r="A194" t="str">
            <v>MRD2923</v>
          </cell>
          <cell r="J194">
            <v>0</v>
          </cell>
          <cell r="K194">
            <v>0</v>
          </cell>
        </row>
        <row r="195">
          <cell r="A195" t="str">
            <v>MRD2926</v>
          </cell>
          <cell r="E195">
            <v>7440</v>
          </cell>
          <cell r="J195">
            <v>0</v>
          </cell>
          <cell r="K195">
            <v>7440</v>
          </cell>
        </row>
        <row r="196">
          <cell r="A196" t="str">
            <v>MRD2926M</v>
          </cell>
          <cell r="C196">
            <v>1980</v>
          </cell>
          <cell r="J196">
            <v>5550</v>
          </cell>
          <cell r="K196">
            <v>7530</v>
          </cell>
        </row>
        <row r="197">
          <cell r="A197" t="str">
            <v>MRM2602</v>
          </cell>
          <cell r="J197">
            <v>0</v>
          </cell>
          <cell r="K197">
            <v>0</v>
          </cell>
        </row>
        <row r="198">
          <cell r="A198" t="str">
            <v>MRM2603</v>
          </cell>
          <cell r="J198">
            <v>0</v>
          </cell>
          <cell r="K198">
            <v>0</v>
          </cell>
        </row>
        <row r="199">
          <cell r="A199" t="str">
            <v>MRM2604</v>
          </cell>
          <cell r="J199">
            <v>0</v>
          </cell>
          <cell r="K199">
            <v>0</v>
          </cell>
        </row>
        <row r="200">
          <cell r="A200" t="str">
            <v>MRM2606</v>
          </cell>
          <cell r="B200">
            <v>4500</v>
          </cell>
          <cell r="C200">
            <v>7800</v>
          </cell>
          <cell r="E200">
            <v>4500</v>
          </cell>
          <cell r="J200">
            <v>0</v>
          </cell>
          <cell r="K200">
            <v>16800</v>
          </cell>
        </row>
        <row r="201">
          <cell r="A201" t="str">
            <v>MRM2607</v>
          </cell>
          <cell r="J201">
            <v>0</v>
          </cell>
          <cell r="K201">
            <v>0</v>
          </cell>
        </row>
        <row r="202">
          <cell r="A202" t="str">
            <v>MRM2608</v>
          </cell>
          <cell r="J202">
            <v>0</v>
          </cell>
          <cell r="K202">
            <v>0</v>
          </cell>
        </row>
        <row r="203">
          <cell r="A203" t="str">
            <v>MRM4093</v>
          </cell>
          <cell r="J203">
            <v>0</v>
          </cell>
          <cell r="K203">
            <v>0</v>
          </cell>
        </row>
        <row r="204">
          <cell r="A204" t="str">
            <v>MRM4262</v>
          </cell>
          <cell r="J204">
            <v>0</v>
          </cell>
          <cell r="K204">
            <v>0</v>
          </cell>
        </row>
        <row r="205">
          <cell r="A205" t="str">
            <v>MRM4283</v>
          </cell>
          <cell r="J205">
            <v>0</v>
          </cell>
          <cell r="K205">
            <v>0</v>
          </cell>
        </row>
        <row r="206">
          <cell r="A206" t="str">
            <v>MRM4366</v>
          </cell>
          <cell r="F206">
            <v>1400</v>
          </cell>
          <cell r="J206">
            <v>0</v>
          </cell>
          <cell r="K206">
            <v>1400</v>
          </cell>
        </row>
        <row r="207">
          <cell r="A207" t="str">
            <v>MRM4464</v>
          </cell>
          <cell r="F207">
            <v>990</v>
          </cell>
          <cell r="J207">
            <v>0</v>
          </cell>
          <cell r="K207">
            <v>990</v>
          </cell>
        </row>
        <row r="208">
          <cell r="A208" t="str">
            <v>MRM4469</v>
          </cell>
          <cell r="J208">
            <v>0</v>
          </cell>
          <cell r="K208">
            <v>0</v>
          </cell>
        </row>
        <row r="209">
          <cell r="A209" t="str">
            <v>MRM4469P</v>
          </cell>
          <cell r="D209">
            <v>75600</v>
          </cell>
          <cell r="F209">
            <v>1170</v>
          </cell>
          <cell r="J209">
            <v>0</v>
          </cell>
          <cell r="K209">
            <v>76770</v>
          </cell>
        </row>
        <row r="210">
          <cell r="A210" t="str">
            <v>MRM4491</v>
          </cell>
          <cell r="J210">
            <v>0</v>
          </cell>
          <cell r="K210">
            <v>0</v>
          </cell>
        </row>
        <row r="211">
          <cell r="A211" t="str">
            <v>PRC4128P</v>
          </cell>
          <cell r="J211">
            <v>0</v>
          </cell>
          <cell r="K211">
            <v>0</v>
          </cell>
        </row>
        <row r="212">
          <cell r="A212" t="str">
            <v>PRC4134P</v>
          </cell>
          <cell r="J212">
            <v>0</v>
          </cell>
          <cell r="K212">
            <v>0</v>
          </cell>
        </row>
        <row r="213">
          <cell r="A213" t="str">
            <v>VRB1301</v>
          </cell>
          <cell r="J213">
            <v>0</v>
          </cell>
          <cell r="K213">
            <v>0</v>
          </cell>
        </row>
        <row r="214">
          <cell r="A214" t="str">
            <v>VRB1323</v>
          </cell>
          <cell r="F214">
            <v>102960</v>
          </cell>
          <cell r="J214">
            <v>0</v>
          </cell>
          <cell r="K214">
            <v>102960</v>
          </cell>
        </row>
        <row r="215">
          <cell r="A215" t="str">
            <v>VRB2303</v>
          </cell>
          <cell r="J215">
            <v>0</v>
          </cell>
          <cell r="K215">
            <v>0</v>
          </cell>
        </row>
        <row r="216">
          <cell r="A216" t="str">
            <v>VRL3303</v>
          </cell>
          <cell r="J216">
            <v>0</v>
          </cell>
          <cell r="K216">
            <v>0</v>
          </cell>
        </row>
        <row r="217">
          <cell r="A217" t="str">
            <v>VRL3313</v>
          </cell>
          <cell r="J217">
            <v>0</v>
          </cell>
          <cell r="K217">
            <v>0</v>
          </cell>
        </row>
        <row r="218">
          <cell r="A218" t="str">
            <v>VRL3373</v>
          </cell>
          <cell r="F218">
            <v>12336</v>
          </cell>
          <cell r="J218">
            <v>0</v>
          </cell>
          <cell r="K218">
            <v>12336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S_FINANCIEROS"/>
      <sheetName val="RESUMEN"/>
      <sheetName val="CEMOSA"/>
      <sheetName val="SERVICOLT"/>
      <sheetName val="ECOSA"/>
      <sheetName val="SERVITALLERES"/>
      <sheetName val="AUTOKIA"/>
      <sheetName val="EXCEL"/>
      <sheetName val="CODIGOS"/>
    </sheetNames>
    <sheetDataSet>
      <sheetData sheetId="0" refreshError="1"/>
      <sheetData sheetId="1" refreshError="1"/>
      <sheetData sheetId="2">
        <row r="3">
          <cell r="A3" t="str">
            <v>No. de Cuenta</v>
          </cell>
          <cell r="B3" t="str">
            <v>Nombre de la Cuenta</v>
          </cell>
          <cell r="C3" t="str">
            <v>Saldo Anterior</v>
          </cell>
          <cell r="D3" t="str">
            <v>DEBE</v>
          </cell>
          <cell r="E3" t="str">
            <v>HABER</v>
          </cell>
          <cell r="F3" t="str">
            <v>Saldo Actual</v>
          </cell>
        </row>
        <row r="4">
          <cell r="A4" t="str">
            <v>1.000.000.0000</v>
          </cell>
          <cell r="B4" t="str">
            <v>ACTIVO</v>
          </cell>
          <cell r="C4">
            <v>117939086.15000001</v>
          </cell>
          <cell r="D4">
            <v>216960950.75</v>
          </cell>
          <cell r="E4">
            <v>207802177.94999999</v>
          </cell>
          <cell r="F4">
            <v>127097858.95</v>
          </cell>
        </row>
        <row r="5">
          <cell r="A5" t="str">
            <v>1.001.000.0000</v>
          </cell>
          <cell r="B5" t="str">
            <v>CIRCULANTE</v>
          </cell>
          <cell r="C5">
            <v>59284058.439999998</v>
          </cell>
          <cell r="D5">
            <v>171616182.24000001</v>
          </cell>
          <cell r="E5">
            <v>155876058.55000001</v>
          </cell>
          <cell r="F5">
            <v>75024182.129999995</v>
          </cell>
        </row>
        <row r="6">
          <cell r="A6" t="str">
            <v>1.001.001.0000</v>
          </cell>
          <cell r="B6" t="str">
            <v>CAJA GENERAL</v>
          </cell>
          <cell r="C6">
            <v>1148059.78</v>
          </cell>
          <cell r="D6">
            <v>40914283.210000001</v>
          </cell>
          <cell r="E6">
            <v>40893229.969999999</v>
          </cell>
          <cell r="F6">
            <v>1169113.02</v>
          </cell>
        </row>
        <row r="7">
          <cell r="A7" t="str">
            <v>1.001.002.0000</v>
          </cell>
          <cell r="B7" t="str">
            <v>CAJAS CHICAS</v>
          </cell>
          <cell r="C7">
            <v>23100</v>
          </cell>
          <cell r="F7">
            <v>23100</v>
          </cell>
        </row>
        <row r="8">
          <cell r="A8" t="str">
            <v>1.001.003.0000</v>
          </cell>
          <cell r="B8" t="str">
            <v>CHEQUES PREFECHADOS</v>
          </cell>
          <cell r="C8">
            <v>2865845.77</v>
          </cell>
          <cell r="D8">
            <v>398054.71</v>
          </cell>
          <cell r="F8">
            <v>3263900.48</v>
          </cell>
        </row>
        <row r="9">
          <cell r="A9" t="str">
            <v>1.001.004.0000</v>
          </cell>
          <cell r="B9" t="str">
            <v>DEPOSITOS MONETARIOS</v>
          </cell>
          <cell r="C9">
            <v>12918430.300000001</v>
          </cell>
          <cell r="D9">
            <v>81499118.25</v>
          </cell>
          <cell r="E9">
            <v>66648429.210000001</v>
          </cell>
          <cell r="F9">
            <v>27769119.34</v>
          </cell>
        </row>
        <row r="10">
          <cell r="A10" t="str">
            <v>1.001.006.0000</v>
          </cell>
          <cell r="B10" t="str">
            <v>BANCOS DEL EXTERIOR</v>
          </cell>
          <cell r="C10">
            <v>185634.55</v>
          </cell>
          <cell r="D10">
            <v>28222.74</v>
          </cell>
          <cell r="E10">
            <v>1100.99</v>
          </cell>
          <cell r="F10">
            <v>212756.3</v>
          </cell>
        </row>
        <row r="11">
          <cell r="A11" t="str">
            <v>1.001.007.0000</v>
          </cell>
          <cell r="B11" t="str">
            <v>CUENTAS POR COBRAR Y DOCTS X COBRAR</v>
          </cell>
          <cell r="C11">
            <v>30093242</v>
          </cell>
          <cell r="D11">
            <v>37828488.590000004</v>
          </cell>
          <cell r="E11">
            <v>39341064.719999999</v>
          </cell>
          <cell r="F11">
            <v>28580665.870000001</v>
          </cell>
        </row>
        <row r="12">
          <cell r="A12" t="str">
            <v>1.001.008.0000</v>
          </cell>
          <cell r="B12" t="str">
            <v>CUENTAS POR COBRAR EXTERIOR</v>
          </cell>
          <cell r="C12">
            <v>2797410.65</v>
          </cell>
          <cell r="D12">
            <v>1618149.36</v>
          </cell>
          <cell r="E12">
            <v>1186481.04</v>
          </cell>
          <cell r="F12">
            <v>3229078.97</v>
          </cell>
        </row>
        <row r="13">
          <cell r="A13" t="str">
            <v>1.001.009.0000</v>
          </cell>
          <cell r="B13" t="str">
            <v>CHEQUES RECHAZADOS</v>
          </cell>
          <cell r="C13">
            <v>276818.96000000002</v>
          </cell>
          <cell r="D13">
            <v>1424560.48</v>
          </cell>
          <cell r="E13">
            <v>912093.02</v>
          </cell>
          <cell r="F13">
            <v>789286.42</v>
          </cell>
        </row>
        <row r="14">
          <cell r="A14" t="str">
            <v>1.001.010.0000</v>
          </cell>
          <cell r="B14" t="str">
            <v>CUENTAS POR COBRAR EMP.RELACIONADAS</v>
          </cell>
          <cell r="C14">
            <v>3836</v>
          </cell>
          <cell r="D14">
            <v>3900</v>
          </cell>
          <cell r="E14">
            <v>3836</v>
          </cell>
          <cell r="F14">
            <v>3900</v>
          </cell>
        </row>
        <row r="15">
          <cell r="A15" t="str">
            <v>1.001.011.0000</v>
          </cell>
          <cell r="B15" t="str">
            <v>CUENTAS POR COBRAR AFILIADAS</v>
          </cell>
          <cell r="C15">
            <v>1929787.19</v>
          </cell>
          <cell r="F15">
            <v>1929787.19</v>
          </cell>
        </row>
        <row r="16">
          <cell r="A16" t="str">
            <v>1.001.012.0000</v>
          </cell>
          <cell r="B16" t="str">
            <v>CUENTAS POR COBRAR DIVERSAS</v>
          </cell>
          <cell r="C16">
            <v>1037410.74</v>
          </cell>
          <cell r="D16">
            <v>3015588.83</v>
          </cell>
          <cell r="E16">
            <v>1969313.36</v>
          </cell>
          <cell r="F16">
            <v>2083686.21</v>
          </cell>
        </row>
        <row r="17">
          <cell r="A17" t="str">
            <v>1.001.013.0000</v>
          </cell>
          <cell r="B17" t="str">
            <v>ANTICIPOS A EMPLEADOS</v>
          </cell>
          <cell r="C17">
            <v>9775</v>
          </cell>
          <cell r="D17">
            <v>196014.06</v>
          </cell>
          <cell r="E17">
            <v>198383.39</v>
          </cell>
          <cell r="F17">
            <v>7405.67</v>
          </cell>
        </row>
        <row r="18">
          <cell r="A18" t="str">
            <v>1.001.015.0000</v>
          </cell>
          <cell r="B18" t="str">
            <v>IMPUESTOS POR COBRAR</v>
          </cell>
          <cell r="C18">
            <v>5478730.2000000002</v>
          </cell>
          <cell r="D18">
            <v>3418439.88</v>
          </cell>
          <cell r="E18">
            <v>3348346.46</v>
          </cell>
          <cell r="F18">
            <v>5548823.6200000001</v>
          </cell>
        </row>
        <row r="19">
          <cell r="A19" t="str">
            <v>1.001.020.0000</v>
          </cell>
          <cell r="B19" t="str">
            <v>PREVISION CTAS.RECUPERACION DUDOSA</v>
          </cell>
          <cell r="C19">
            <v>-790124.53</v>
          </cell>
          <cell r="F19">
            <v>-790124.53</v>
          </cell>
        </row>
        <row r="20">
          <cell r="A20" t="str">
            <v>1.001.025.0000</v>
          </cell>
          <cell r="B20" t="str">
            <v>GASTOS ANTICIPADOS</v>
          </cell>
          <cell r="C20">
            <v>1306101.83</v>
          </cell>
          <cell r="D20">
            <v>1271362.1299999999</v>
          </cell>
          <cell r="E20">
            <v>1373780.39</v>
          </cell>
          <cell r="F20">
            <v>1203683.57</v>
          </cell>
        </row>
        <row r="21">
          <cell r="A21" t="str">
            <v>1.002.000.0000</v>
          </cell>
          <cell r="B21" t="str">
            <v>INVENTARIOS</v>
          </cell>
          <cell r="C21">
            <v>48177421.039999999</v>
          </cell>
          <cell r="D21">
            <v>45076102.520000003</v>
          </cell>
          <cell r="E21">
            <v>51835000.979999997</v>
          </cell>
          <cell r="F21">
            <v>41418522.579999998</v>
          </cell>
        </row>
        <row r="22">
          <cell r="A22" t="str">
            <v>1.002.001.0000</v>
          </cell>
          <cell r="B22" t="str">
            <v>INVENTARIO DE REPUESTOS</v>
          </cell>
          <cell r="C22">
            <v>10456998.300000001</v>
          </cell>
          <cell r="D22">
            <v>3507667.29</v>
          </cell>
          <cell r="E22">
            <v>4057108.53</v>
          </cell>
          <cell r="F22">
            <v>9907557.0600000005</v>
          </cell>
        </row>
        <row r="23">
          <cell r="A23" t="str">
            <v>1.002.003.0000</v>
          </cell>
          <cell r="B23" t="str">
            <v>INVENTARIO DE AUTOS USADOS</v>
          </cell>
          <cell r="C23">
            <v>18075112.190000001</v>
          </cell>
          <cell r="D23">
            <v>25917092.23</v>
          </cell>
          <cell r="E23">
            <v>27973791.440000001</v>
          </cell>
          <cell r="F23">
            <v>16018412.98</v>
          </cell>
        </row>
        <row r="24">
          <cell r="A24" t="str">
            <v>1.002.004.0000</v>
          </cell>
          <cell r="B24" t="str">
            <v>MERCADERIAS EN CAMINO</v>
          </cell>
          <cell r="C24">
            <v>19645310.550000001</v>
          </cell>
          <cell r="D24">
            <v>15651343</v>
          </cell>
          <cell r="E24">
            <v>19804101.010000002</v>
          </cell>
          <cell r="F24">
            <v>15492552.539999999</v>
          </cell>
        </row>
        <row r="25">
          <cell r="A25" t="str">
            <v>1.003.000.0000</v>
          </cell>
          <cell r="B25" t="str">
            <v>FIJO</v>
          </cell>
          <cell r="C25">
            <v>19145274.390000001</v>
          </cell>
          <cell r="D25">
            <v>103841.45</v>
          </cell>
          <cell r="F25">
            <v>19249115.84</v>
          </cell>
        </row>
        <row r="26">
          <cell r="A26" t="str">
            <v>1.003.001.0000</v>
          </cell>
          <cell r="B26" t="str">
            <v>INVERSIONES EN ACCIONES</v>
          </cell>
          <cell r="C26">
            <v>317000</v>
          </cell>
          <cell r="F26">
            <v>317000</v>
          </cell>
        </row>
        <row r="27">
          <cell r="A27" t="str">
            <v>1.003.002.0000</v>
          </cell>
          <cell r="B27" t="str">
            <v>TERRENOS</v>
          </cell>
          <cell r="C27">
            <v>967687.25</v>
          </cell>
          <cell r="F27">
            <v>967687.25</v>
          </cell>
        </row>
        <row r="28">
          <cell r="A28" t="str">
            <v>1.003.003.0000</v>
          </cell>
          <cell r="B28" t="str">
            <v>EDIFICIOS</v>
          </cell>
          <cell r="C28">
            <v>9821664.1999999993</v>
          </cell>
          <cell r="F28">
            <v>9821664.1999999993</v>
          </cell>
        </row>
        <row r="29">
          <cell r="A29" t="str">
            <v>1.003.004.0000</v>
          </cell>
          <cell r="B29" t="str">
            <v>MEJORAS A EDIFICIOS</v>
          </cell>
          <cell r="C29">
            <v>763691.21</v>
          </cell>
          <cell r="F29">
            <v>763691.21</v>
          </cell>
        </row>
        <row r="30">
          <cell r="A30" t="str">
            <v>1.003.005.0000</v>
          </cell>
          <cell r="B30" t="str">
            <v>MOBILIARIO Y EQUIPO</v>
          </cell>
          <cell r="C30">
            <v>1527077.12</v>
          </cell>
          <cell r="D30">
            <v>49874.3</v>
          </cell>
          <cell r="F30">
            <v>1576951.42</v>
          </cell>
        </row>
        <row r="31">
          <cell r="A31" t="str">
            <v>1.003.006.0000</v>
          </cell>
          <cell r="B31" t="str">
            <v>EQUIPO DE COMPUTACION</v>
          </cell>
          <cell r="C31">
            <v>3369521.23</v>
          </cell>
          <cell r="D31">
            <v>42721.61</v>
          </cell>
          <cell r="F31">
            <v>3412242.84</v>
          </cell>
        </row>
        <row r="32">
          <cell r="A32" t="str">
            <v>1.003.007.0000</v>
          </cell>
          <cell r="B32" t="str">
            <v>VEHICULOS</v>
          </cell>
          <cell r="C32">
            <v>831518.93</v>
          </cell>
          <cell r="D32">
            <v>11245.54</v>
          </cell>
          <cell r="F32">
            <v>842764.47</v>
          </cell>
        </row>
        <row r="33">
          <cell r="A33" t="str">
            <v>1.003.008.0000</v>
          </cell>
          <cell r="B33" t="str">
            <v>MAQUINARIA Y EQUIPO</v>
          </cell>
          <cell r="C33">
            <v>722967.86</v>
          </cell>
          <cell r="F33">
            <v>722967.86</v>
          </cell>
        </row>
        <row r="34">
          <cell r="A34" t="str">
            <v>1.003.009.0000</v>
          </cell>
          <cell r="B34" t="str">
            <v>HERRAMIENTAS</v>
          </cell>
          <cell r="C34">
            <v>824146.59</v>
          </cell>
          <cell r="F34">
            <v>824146.59</v>
          </cell>
        </row>
        <row r="35">
          <cell r="A35" t="str">
            <v>1.004.000.0000</v>
          </cell>
          <cell r="B35" t="str">
            <v>DEPRECIACION ACUMULADA</v>
          </cell>
          <cell r="C35">
            <v>-9678259.0899999999</v>
          </cell>
          <cell r="E35">
            <v>89980.5</v>
          </cell>
          <cell r="F35">
            <v>-9768239.5899999999</v>
          </cell>
        </row>
        <row r="36">
          <cell r="A36" t="str">
            <v>1.004.001.0000</v>
          </cell>
          <cell r="B36" t="str">
            <v>DEPREC.ACUM. EDIFICIOS</v>
          </cell>
          <cell r="C36">
            <v>-2800491.49</v>
          </cell>
          <cell r="E36">
            <v>40448.21</v>
          </cell>
          <cell r="F36">
            <v>-2840939.7</v>
          </cell>
        </row>
        <row r="37">
          <cell r="A37" t="str">
            <v>1.004.002.0000</v>
          </cell>
          <cell r="B37" t="str">
            <v>DEPREC.ACUM. MEJORAS A EDIFICIOS</v>
          </cell>
          <cell r="C37">
            <v>-467612.02</v>
          </cell>
          <cell r="E37">
            <v>2797.11</v>
          </cell>
          <cell r="F37">
            <v>-470409.13</v>
          </cell>
        </row>
        <row r="38">
          <cell r="A38" t="str">
            <v>1.004.003.0000</v>
          </cell>
          <cell r="B38" t="str">
            <v>DEP.ACUMULADA MOBILIARIO Y EQUIPO</v>
          </cell>
          <cell r="C38">
            <v>-1185369.01</v>
          </cell>
          <cell r="E38">
            <v>13515.14</v>
          </cell>
          <cell r="F38">
            <v>-1198884.1499999999</v>
          </cell>
        </row>
        <row r="39">
          <cell r="A39" t="str">
            <v>1.004.004.0000</v>
          </cell>
          <cell r="B39" t="str">
            <v>DEP.ACUMULADA EQUIPO DE COMPUTACION</v>
          </cell>
          <cell r="C39">
            <v>-3062516.63</v>
          </cell>
          <cell r="E39">
            <v>17122.18</v>
          </cell>
          <cell r="F39">
            <v>-3079638.81</v>
          </cell>
        </row>
        <row r="40">
          <cell r="A40" t="str">
            <v>1.004.005.0000</v>
          </cell>
          <cell r="B40" t="str">
            <v>DEP.ACUMULADA VEHICULOS</v>
          </cell>
          <cell r="C40">
            <v>-705180.72</v>
          </cell>
          <cell r="E40">
            <v>11160.41</v>
          </cell>
          <cell r="F40">
            <v>-716341.13</v>
          </cell>
        </row>
        <row r="41">
          <cell r="A41" t="str">
            <v>1.004.006.0000</v>
          </cell>
          <cell r="B41" t="str">
            <v>DEP.ACUMULADA MAQUINARIA Y EQUIPO</v>
          </cell>
          <cell r="C41">
            <v>-633644.36</v>
          </cell>
          <cell r="E41">
            <v>4900.5200000000004</v>
          </cell>
          <cell r="F41">
            <v>-638544.88</v>
          </cell>
        </row>
        <row r="42">
          <cell r="A42" t="str">
            <v>1.004.007.0000</v>
          </cell>
          <cell r="B42" t="str">
            <v>DEPREC.ACUMULADA HERRAMIENTAS</v>
          </cell>
          <cell r="C42">
            <v>-823444.86</v>
          </cell>
          <cell r="E42">
            <v>36.93</v>
          </cell>
          <cell r="F42">
            <v>-823481.79</v>
          </cell>
        </row>
        <row r="43">
          <cell r="A43" t="str">
            <v>1.005.000.0000</v>
          </cell>
          <cell r="B43" t="str">
            <v>CONSTRUCCIONES EN PROCESO</v>
          </cell>
          <cell r="C43">
            <v>846568.64</v>
          </cell>
          <cell r="D43">
            <v>164824.54</v>
          </cell>
          <cell r="F43">
            <v>1011393.18</v>
          </cell>
        </row>
        <row r="44">
          <cell r="A44" t="str">
            <v>1.005.001.0000</v>
          </cell>
          <cell r="B44" t="str">
            <v>CONSTRUCCIONES EN PROCESO EDIFICIOS</v>
          </cell>
          <cell r="C44">
            <v>846568.64</v>
          </cell>
          <cell r="D44">
            <v>164824.54</v>
          </cell>
          <cell r="F44">
            <v>1011393.18</v>
          </cell>
        </row>
        <row r="45">
          <cell r="A45" t="str">
            <v>1.006.000.0000</v>
          </cell>
          <cell r="B45" t="str">
            <v>DEPOSITOS</v>
          </cell>
          <cell r="C45">
            <v>118506.03</v>
          </cell>
          <cell r="F45">
            <v>118506.03</v>
          </cell>
        </row>
        <row r="46">
          <cell r="A46" t="str">
            <v>1.006.001.0000</v>
          </cell>
          <cell r="B46" t="str">
            <v>DEPOSITOS</v>
          </cell>
          <cell r="C46">
            <v>118506.03</v>
          </cell>
          <cell r="F46">
            <v>118506.03</v>
          </cell>
        </row>
        <row r="47">
          <cell r="A47" t="str">
            <v>1.007.000.0000</v>
          </cell>
          <cell r="B47" t="str">
            <v>GASTOS DE ORGANIZACION</v>
          </cell>
          <cell r="C47">
            <v>68275.100000000006</v>
          </cell>
          <cell r="F47">
            <v>68275.100000000006</v>
          </cell>
        </row>
        <row r="48">
          <cell r="A48" t="str">
            <v>1.007.001.0000</v>
          </cell>
          <cell r="B48" t="str">
            <v>GASTOS DE ORGANIZACION</v>
          </cell>
          <cell r="C48">
            <v>68275.100000000006</v>
          </cell>
          <cell r="F48">
            <v>68275.100000000006</v>
          </cell>
        </row>
        <row r="49">
          <cell r="A49" t="str">
            <v>1.008.000.0000</v>
          </cell>
          <cell r="B49" t="str">
            <v>AMORTIZACION GTOS DE ORGANIZACION</v>
          </cell>
          <cell r="C49">
            <v>-22758.400000000001</v>
          </cell>
          <cell r="E49">
            <v>1137.92</v>
          </cell>
          <cell r="F49">
            <v>-23896.32</v>
          </cell>
        </row>
        <row r="50">
          <cell r="A50" t="str">
            <v>1.008.001.0000</v>
          </cell>
          <cell r="B50" t="str">
            <v>AMORTIZACION GTOS DE ORGANIZACION</v>
          </cell>
          <cell r="C50">
            <v>-22758.400000000001</v>
          </cell>
          <cell r="E50">
            <v>1137.92</v>
          </cell>
          <cell r="F50">
            <v>-23896.32</v>
          </cell>
        </row>
        <row r="51">
          <cell r="A51" t="str">
            <v>2.000.000.0000</v>
          </cell>
          <cell r="B51" t="str">
            <v>PASIVO</v>
          </cell>
          <cell r="C51">
            <v>-71934947.170000002</v>
          </cell>
          <cell r="D51">
            <v>35756710.240000002</v>
          </cell>
          <cell r="E51">
            <v>44077065.219999999</v>
          </cell>
          <cell r="F51">
            <v>-80255302.150000006</v>
          </cell>
        </row>
        <row r="52">
          <cell r="A52" t="str">
            <v>2.001.000.0000</v>
          </cell>
          <cell r="B52" t="str">
            <v>CORTO PLAZO</v>
          </cell>
          <cell r="C52">
            <v>-69310689.120000005</v>
          </cell>
          <cell r="D52">
            <v>35756710.240000002</v>
          </cell>
          <cell r="E52">
            <v>43989254.960000001</v>
          </cell>
          <cell r="F52">
            <v>-77543233.840000004</v>
          </cell>
        </row>
        <row r="53">
          <cell r="A53" t="str">
            <v>2.001.001.0000</v>
          </cell>
          <cell r="B53" t="str">
            <v>CUENTAS Y DOCTOS.POR PAGAR EXTERIOR</v>
          </cell>
          <cell r="C53">
            <v>-46552398.560000002</v>
          </cell>
          <cell r="D53">
            <v>9620985.7300000004</v>
          </cell>
          <cell r="E53">
            <v>13039936.109999999</v>
          </cell>
          <cell r="F53">
            <v>-49971348.939999998</v>
          </cell>
        </row>
        <row r="54">
          <cell r="A54" t="str">
            <v>2.001.003.0000</v>
          </cell>
          <cell r="B54" t="str">
            <v>CTAS.X PAGAR EMPRESAS AFILIADAS</v>
          </cell>
          <cell r="C54">
            <v>-9646637.3900000006</v>
          </cell>
          <cell r="D54">
            <v>2316915.64</v>
          </cell>
          <cell r="E54">
            <v>3537857.24</v>
          </cell>
          <cell r="F54">
            <v>-10867578.99</v>
          </cell>
        </row>
        <row r="55">
          <cell r="A55" t="str">
            <v>2.001.004.0000</v>
          </cell>
          <cell r="B55" t="str">
            <v>CUENTAS X PAGAR LOCALES</v>
          </cell>
          <cell r="C55">
            <v>-4851315.38</v>
          </cell>
          <cell r="D55">
            <v>9589316.8399999999</v>
          </cell>
          <cell r="E55">
            <v>13135306.869999999</v>
          </cell>
          <cell r="F55">
            <v>-8397305.4100000001</v>
          </cell>
        </row>
        <row r="56">
          <cell r="A56" t="str">
            <v>2.001.005.0000</v>
          </cell>
          <cell r="B56" t="str">
            <v>CHEQUES PREFECHADOS RECIBIDOS</v>
          </cell>
          <cell r="C56">
            <v>-2865845.77</v>
          </cell>
          <cell r="E56">
            <v>398054.71</v>
          </cell>
          <cell r="F56">
            <v>-3263900.48</v>
          </cell>
        </row>
        <row r="57">
          <cell r="A57" t="str">
            <v>2.001.006.0000</v>
          </cell>
          <cell r="B57" t="str">
            <v>PRESTAMOS BANCARIOS LOCALES</v>
          </cell>
          <cell r="C57">
            <v>-2000000</v>
          </cell>
          <cell r="D57">
            <v>2000000</v>
          </cell>
          <cell r="F57">
            <v>0</v>
          </cell>
        </row>
        <row r="58">
          <cell r="A58" t="str">
            <v>2.001.012.0000</v>
          </cell>
          <cell r="B58" t="str">
            <v>SEGUROS Y FIANZAS POR PAGAR</v>
          </cell>
          <cell r="C58">
            <v>-161292.79999999999</v>
          </cell>
          <cell r="E58">
            <v>49208.2</v>
          </cell>
          <cell r="F58">
            <v>-210501</v>
          </cell>
        </row>
        <row r="59">
          <cell r="A59" t="str">
            <v>2.001.013.0000</v>
          </cell>
          <cell r="B59" t="str">
            <v>DEPOSITOS LEGALES POR PAGAR</v>
          </cell>
          <cell r="C59">
            <v>-46049.09</v>
          </cell>
          <cell r="D59">
            <v>10408.5</v>
          </cell>
          <cell r="E59">
            <v>46657.49</v>
          </cell>
          <cell r="F59">
            <v>-82298.080000000002</v>
          </cell>
        </row>
        <row r="60">
          <cell r="A60" t="str">
            <v>2.001.030.0000</v>
          </cell>
          <cell r="B60" t="str">
            <v>RETENCIONES A EMPLEADOS</v>
          </cell>
          <cell r="C60">
            <v>-255400.1</v>
          </cell>
          <cell r="D60">
            <v>303163.49</v>
          </cell>
          <cell r="E60">
            <v>232874.68</v>
          </cell>
          <cell r="F60">
            <v>-185111.29</v>
          </cell>
        </row>
        <row r="61">
          <cell r="A61" t="str">
            <v>2.001.031.0000</v>
          </cell>
          <cell r="B61" t="str">
            <v>OBLIGACIONES LABORALES POR PAGAR</v>
          </cell>
          <cell r="C61">
            <v>-1477508.82</v>
          </cell>
          <cell r="D61">
            <v>684416.76</v>
          </cell>
          <cell r="E61">
            <v>793571.08</v>
          </cell>
          <cell r="F61">
            <v>-1586663.14</v>
          </cell>
        </row>
        <row r="62">
          <cell r="A62" t="str">
            <v>2.001.035.0000</v>
          </cell>
          <cell r="B62" t="str">
            <v>RETENCIONES,IMPTOS Y CUOTAS X PAGAR</v>
          </cell>
          <cell r="C62">
            <v>-385117.75</v>
          </cell>
          <cell r="D62">
            <v>4603652.7699999996</v>
          </cell>
          <cell r="E62">
            <v>4654931.0199999996</v>
          </cell>
          <cell r="F62">
            <v>-436396</v>
          </cell>
        </row>
        <row r="63">
          <cell r="A63" t="str">
            <v>2.001.038.0000</v>
          </cell>
          <cell r="B63" t="str">
            <v>ANTICIPOS RECIBIDOS</v>
          </cell>
          <cell r="C63">
            <v>-1069123.46</v>
          </cell>
          <cell r="D63">
            <v>6627850.5099999998</v>
          </cell>
          <cell r="E63">
            <v>8100857.5599999996</v>
          </cell>
          <cell r="F63">
            <v>-2542130.5099999998</v>
          </cell>
        </row>
        <row r="64">
          <cell r="A64" t="str">
            <v>2.003.000.0000</v>
          </cell>
          <cell r="B64" t="str">
            <v>RESERVA PARA INDEMNIZACIONES</v>
          </cell>
          <cell r="C64">
            <v>-2624258.0499999998</v>
          </cell>
          <cell r="E64">
            <v>87810.26</v>
          </cell>
          <cell r="F64">
            <v>-2712068.31</v>
          </cell>
        </row>
        <row r="65">
          <cell r="A65" t="str">
            <v>2.003.001.0000</v>
          </cell>
          <cell r="B65" t="str">
            <v>RESERVA PARA INDEMNIZACIONES</v>
          </cell>
          <cell r="C65">
            <v>-2624258.0499999998</v>
          </cell>
          <cell r="E65">
            <v>87810.26</v>
          </cell>
          <cell r="F65">
            <v>-2712068.31</v>
          </cell>
        </row>
        <row r="66">
          <cell r="A66" t="str">
            <v>3.000.000.0000</v>
          </cell>
          <cell r="B66" t="str">
            <v>CAPITAL, RESERVAS Y UTILIDADES RET.</v>
          </cell>
          <cell r="C66">
            <v>-29933649.379999999</v>
          </cell>
          <cell r="F66">
            <v>-29933649.379999999</v>
          </cell>
        </row>
        <row r="67">
          <cell r="A67" t="str">
            <v>3.001.000.0000</v>
          </cell>
          <cell r="B67" t="str">
            <v>CAPITAL SOCIAL</v>
          </cell>
          <cell r="C67">
            <v>-5400000</v>
          </cell>
          <cell r="F67">
            <v>-5400000</v>
          </cell>
        </row>
        <row r="68">
          <cell r="A68" t="str">
            <v>3.001.001.0000</v>
          </cell>
          <cell r="B68" t="str">
            <v>CAPITAL SOCIAL AUTORIZADO</v>
          </cell>
          <cell r="C68">
            <v>-15000000</v>
          </cell>
          <cell r="F68">
            <v>-15000000</v>
          </cell>
        </row>
        <row r="69">
          <cell r="A69" t="str">
            <v>3.001.002.0000</v>
          </cell>
          <cell r="B69" t="str">
            <v>CAPITAL SOCIAL SUSCRITO NO PAGADO</v>
          </cell>
          <cell r="C69">
            <v>9600000</v>
          </cell>
          <cell r="F69">
            <v>9600000</v>
          </cell>
        </row>
        <row r="70">
          <cell r="A70" t="str">
            <v>3.002.000.0000</v>
          </cell>
          <cell r="B70" t="str">
            <v>RESERVAS DE CAPITAL</v>
          </cell>
          <cell r="C70">
            <v>-4667602.8600000003</v>
          </cell>
          <cell r="F70">
            <v>-4667602.8600000003</v>
          </cell>
        </row>
        <row r="71">
          <cell r="A71" t="str">
            <v>3.002.001.0000</v>
          </cell>
          <cell r="B71" t="str">
            <v>RESERVAS DE CAPITAL</v>
          </cell>
          <cell r="C71">
            <v>-4667602.8600000003</v>
          </cell>
          <cell r="F71">
            <v>-4667602.8600000003</v>
          </cell>
        </row>
        <row r="72">
          <cell r="A72" t="str">
            <v>3.003.000.0000</v>
          </cell>
          <cell r="B72" t="str">
            <v>UTILIDADES RETENIDAS VARIAS</v>
          </cell>
          <cell r="C72">
            <v>-19866046.52</v>
          </cell>
          <cell r="F72">
            <v>-19866046.52</v>
          </cell>
        </row>
        <row r="73">
          <cell r="A73" t="str">
            <v>3.003.001.0000</v>
          </cell>
          <cell r="B73" t="str">
            <v>UTILIDADES RETENIDAS VARIAS</v>
          </cell>
          <cell r="C73">
            <v>-19866046.52</v>
          </cell>
          <cell r="F73">
            <v>-19866046.52</v>
          </cell>
        </row>
        <row r="74">
          <cell r="A74" t="str">
            <v>4.000.000.0000</v>
          </cell>
          <cell r="B74" t="str">
            <v>INGRESOS</v>
          </cell>
          <cell r="C74">
            <v>-238503134.47</v>
          </cell>
          <cell r="D74">
            <v>5961640.4699999997</v>
          </cell>
          <cell r="E74">
            <v>36903973.399999999</v>
          </cell>
          <cell r="F74">
            <v>-269445467.39999998</v>
          </cell>
        </row>
        <row r="75">
          <cell r="A75" t="str">
            <v>4.001.000.0000</v>
          </cell>
          <cell r="B75" t="str">
            <v>VENTAS CENTRAL</v>
          </cell>
          <cell r="C75">
            <v>-115083431.58</v>
          </cell>
          <cell r="D75">
            <v>1698082.61</v>
          </cell>
          <cell r="E75">
            <v>17481707.059999999</v>
          </cell>
          <cell r="F75">
            <v>-130867056.03</v>
          </cell>
        </row>
        <row r="76">
          <cell r="A76" t="str">
            <v>4.001.001.0000</v>
          </cell>
          <cell r="B76" t="str">
            <v>VENTAS AUTOS NUEVOS CONTADO CENTRAL</v>
          </cell>
          <cell r="C76">
            <v>-38031475.619999997</v>
          </cell>
          <cell r="D76">
            <v>329636.34000000003</v>
          </cell>
          <cell r="E76">
            <v>5784417.9100000001</v>
          </cell>
          <cell r="F76">
            <v>-43486257.189999998</v>
          </cell>
        </row>
        <row r="77">
          <cell r="A77" t="str">
            <v>4.001.002.0000</v>
          </cell>
          <cell r="B77" t="str">
            <v>AUTOS NUEVOS CREDITO</v>
          </cell>
          <cell r="C77">
            <v>-61311646.719999999</v>
          </cell>
          <cell r="D77">
            <v>1189575.08</v>
          </cell>
          <cell r="E77">
            <v>10005411.439999999</v>
          </cell>
          <cell r="F77">
            <v>-70127483.079999998</v>
          </cell>
        </row>
        <row r="78">
          <cell r="A78" t="str">
            <v>4.001.003.0000</v>
          </cell>
          <cell r="B78" t="str">
            <v>REB/DEV NUEVOS CONTADO</v>
          </cell>
          <cell r="C78">
            <v>88145.69</v>
          </cell>
          <cell r="F78">
            <v>88145.69</v>
          </cell>
        </row>
        <row r="79">
          <cell r="A79" t="str">
            <v>4.001.004.0000</v>
          </cell>
          <cell r="B79" t="str">
            <v>REB/DEV NUEVOS CREDITO</v>
          </cell>
          <cell r="C79">
            <v>8305.98</v>
          </cell>
          <cell r="F79">
            <v>8305.98</v>
          </cell>
        </row>
        <row r="80">
          <cell r="A80" t="str">
            <v>4.001.005.0000</v>
          </cell>
          <cell r="B80" t="str">
            <v>AUTOS USADOS CONTADO</v>
          </cell>
          <cell r="C80">
            <v>-329000</v>
          </cell>
          <cell r="F80">
            <v>-329000</v>
          </cell>
        </row>
        <row r="81">
          <cell r="A81" t="str">
            <v>4.001.006.0000</v>
          </cell>
          <cell r="B81" t="str">
            <v>AUTOS USADOS CREDITO</v>
          </cell>
          <cell r="C81">
            <v>-567000</v>
          </cell>
          <cell r="F81">
            <v>-567000</v>
          </cell>
        </row>
        <row r="82">
          <cell r="A82" t="str">
            <v>4.001.021.0000</v>
          </cell>
          <cell r="B82" t="str">
            <v>REPUESTOS CONTADO</v>
          </cell>
          <cell r="C82">
            <v>-5168501.01</v>
          </cell>
          <cell r="D82">
            <v>79518.759999999995</v>
          </cell>
          <cell r="E82">
            <v>701654.78</v>
          </cell>
          <cell r="F82">
            <v>-5790637.0300000003</v>
          </cell>
        </row>
        <row r="83">
          <cell r="A83" t="str">
            <v>4.001.022.0000</v>
          </cell>
          <cell r="B83" t="str">
            <v>REPUESTOS CREDITO</v>
          </cell>
          <cell r="C83">
            <v>-9616193.6999999993</v>
          </cell>
          <cell r="D83">
            <v>98125.37</v>
          </cell>
          <cell r="E83">
            <v>966239.79</v>
          </cell>
          <cell r="F83">
            <v>-10484308.119999999</v>
          </cell>
        </row>
        <row r="84">
          <cell r="A84" t="str">
            <v>4.001.025.0000</v>
          </cell>
          <cell r="B84" t="str">
            <v>ACCESORIOS CONTADO</v>
          </cell>
          <cell r="C84">
            <v>-107709.28</v>
          </cell>
          <cell r="D84">
            <v>8.42</v>
          </cell>
          <cell r="E84">
            <v>15477.01</v>
          </cell>
          <cell r="F84">
            <v>-123177.87</v>
          </cell>
        </row>
        <row r="85">
          <cell r="A85" t="str">
            <v>4.001.026.0000</v>
          </cell>
          <cell r="B85" t="str">
            <v>ACCESORIOS CREDITO</v>
          </cell>
          <cell r="C85">
            <v>-48356.92</v>
          </cell>
          <cell r="D85">
            <v>1218.6400000000001</v>
          </cell>
          <cell r="E85">
            <v>8506.1299999999992</v>
          </cell>
          <cell r="F85">
            <v>-55644.41</v>
          </cell>
        </row>
        <row r="86">
          <cell r="A86" t="str">
            <v>4.002.000.0000</v>
          </cell>
          <cell r="B86" t="str">
            <v>VENTAS TIVOLI</v>
          </cell>
          <cell r="C86">
            <v>-8170160.6900000004</v>
          </cell>
          <cell r="D86">
            <v>129617.17</v>
          </cell>
          <cell r="E86">
            <v>1204393.75</v>
          </cell>
          <cell r="F86">
            <v>-9244937.2699999996</v>
          </cell>
        </row>
        <row r="87">
          <cell r="A87" t="str">
            <v>4.002.021.0000</v>
          </cell>
          <cell r="B87" t="str">
            <v>REPUESTOS CONTADO</v>
          </cell>
          <cell r="C87">
            <v>-1072004.31</v>
          </cell>
          <cell r="D87">
            <v>26547.85</v>
          </cell>
          <cell r="E87">
            <v>153025.37</v>
          </cell>
          <cell r="F87">
            <v>-1198481.83</v>
          </cell>
        </row>
        <row r="88">
          <cell r="A88" t="str">
            <v>4.002.022.0000</v>
          </cell>
          <cell r="B88" t="str">
            <v>REPUESTOS CREDITO</v>
          </cell>
          <cell r="C88">
            <v>-7001986.8399999999</v>
          </cell>
          <cell r="D88">
            <v>101339.59</v>
          </cell>
          <cell r="E88">
            <v>1028594.7</v>
          </cell>
          <cell r="F88">
            <v>-7929241.9500000002</v>
          </cell>
        </row>
        <row r="89">
          <cell r="A89" t="str">
            <v>4.002.024.0000</v>
          </cell>
          <cell r="B89" t="str">
            <v>REB/DEV REP CREDITO</v>
          </cell>
          <cell r="C89">
            <v>2713.71</v>
          </cell>
          <cell r="F89">
            <v>2713.71</v>
          </cell>
        </row>
        <row r="90">
          <cell r="A90" t="str">
            <v>4.002.025.0000</v>
          </cell>
          <cell r="B90" t="str">
            <v>ACCESORIOS CONTADO</v>
          </cell>
          <cell r="C90">
            <v>-23850.92</v>
          </cell>
          <cell r="D90">
            <v>128.57</v>
          </cell>
          <cell r="E90">
            <v>3225.06</v>
          </cell>
          <cell r="F90">
            <v>-26947.41</v>
          </cell>
        </row>
        <row r="91">
          <cell r="A91" t="str">
            <v>4.002.026.0000</v>
          </cell>
          <cell r="B91" t="str">
            <v>ACCESORIOS CREDITO</v>
          </cell>
          <cell r="C91">
            <v>-75032.33</v>
          </cell>
          <cell r="D91">
            <v>1601.16</v>
          </cell>
          <cell r="E91">
            <v>19548.62</v>
          </cell>
          <cell r="F91">
            <v>-92979.79</v>
          </cell>
        </row>
        <row r="92">
          <cell r="A92" t="str">
            <v>4.003.000.0000</v>
          </cell>
          <cell r="B92" t="str">
            <v>VENTAS TERMINAL</v>
          </cell>
          <cell r="C92">
            <v>-1480852.27</v>
          </cell>
          <cell r="D92">
            <v>14902.8</v>
          </cell>
          <cell r="E92">
            <v>219538.39</v>
          </cell>
          <cell r="F92">
            <v>-1685487.86</v>
          </cell>
        </row>
        <row r="93">
          <cell r="A93" t="str">
            <v>4.003.021.0000</v>
          </cell>
          <cell r="B93" t="str">
            <v>REPUESTOS CONTADO</v>
          </cell>
          <cell r="C93">
            <v>-1212199.98</v>
          </cell>
          <cell r="D93">
            <v>8445.94</v>
          </cell>
          <cell r="E93">
            <v>181966.96</v>
          </cell>
          <cell r="F93">
            <v>-1385721</v>
          </cell>
        </row>
        <row r="94">
          <cell r="A94" t="str">
            <v>4.003.022.0000</v>
          </cell>
          <cell r="B94" t="str">
            <v>REPUESTOS CREDITO</v>
          </cell>
          <cell r="C94">
            <v>-251570.34</v>
          </cell>
          <cell r="D94">
            <v>6456.86</v>
          </cell>
          <cell r="E94">
            <v>35511.279999999999</v>
          </cell>
          <cell r="F94">
            <v>-280624.76</v>
          </cell>
        </row>
        <row r="95">
          <cell r="A95" t="str">
            <v>4.003.025.0000</v>
          </cell>
          <cell r="B95" t="str">
            <v>ACCESORIOS CONTADO</v>
          </cell>
          <cell r="C95">
            <v>-15003.45</v>
          </cell>
          <cell r="E95">
            <v>2060.15</v>
          </cell>
          <cell r="F95">
            <v>-17063.599999999999</v>
          </cell>
        </row>
        <row r="96">
          <cell r="A96" t="str">
            <v>4.003.026.0000</v>
          </cell>
          <cell r="B96" t="str">
            <v>ACCESORIOS CREDITO</v>
          </cell>
          <cell r="C96">
            <v>-2078.5</v>
          </cell>
          <cell r="F96">
            <v>-2078.5</v>
          </cell>
        </row>
        <row r="97">
          <cell r="A97" t="str">
            <v>4.004.000.0000</v>
          </cell>
          <cell r="B97" t="str">
            <v>VENTAS EL CASTAÑO</v>
          </cell>
          <cell r="C97">
            <v>-997008.73</v>
          </cell>
          <cell r="D97">
            <v>8195.19</v>
          </cell>
          <cell r="E97">
            <v>96295.28</v>
          </cell>
          <cell r="F97">
            <v>-1085108.82</v>
          </cell>
        </row>
        <row r="98">
          <cell r="A98" t="str">
            <v>4.004.021.0000</v>
          </cell>
          <cell r="B98" t="str">
            <v>REPUESTOS CONTADO</v>
          </cell>
          <cell r="C98">
            <v>-745461.88</v>
          </cell>
          <cell r="D98">
            <v>7553.54</v>
          </cell>
          <cell r="E98">
            <v>69208.98</v>
          </cell>
          <cell r="F98">
            <v>-807117.32</v>
          </cell>
        </row>
        <row r="99">
          <cell r="A99" t="str">
            <v>4.004.022.0000</v>
          </cell>
          <cell r="B99" t="str">
            <v>REPUESTOS CREDITO</v>
          </cell>
          <cell r="C99">
            <v>-242124.78</v>
          </cell>
          <cell r="E99">
            <v>24347.66</v>
          </cell>
          <cell r="F99">
            <v>-266472.44</v>
          </cell>
        </row>
        <row r="100">
          <cell r="A100" t="str">
            <v>4.004.025.0000</v>
          </cell>
          <cell r="B100" t="str">
            <v>ACCESORIOS CONTADO</v>
          </cell>
          <cell r="C100">
            <v>-9422.07</v>
          </cell>
          <cell r="D100">
            <v>641.65</v>
          </cell>
          <cell r="E100">
            <v>2738.64</v>
          </cell>
          <cell r="F100">
            <v>-11519.06</v>
          </cell>
        </row>
        <row r="101">
          <cell r="A101" t="str">
            <v>4.005.000.0000</v>
          </cell>
          <cell r="B101" t="str">
            <v>VENTAS LA TORRE</v>
          </cell>
          <cell r="C101">
            <v>-34955170.119999997</v>
          </cell>
          <cell r="D101">
            <v>598014.4</v>
          </cell>
          <cell r="E101">
            <v>4347537.92</v>
          </cell>
          <cell r="F101">
            <v>-38704693.640000001</v>
          </cell>
        </row>
        <row r="102">
          <cell r="A102" t="str">
            <v>4.005.001.0000</v>
          </cell>
          <cell r="B102" t="str">
            <v>VENTAS AUTOS NUEVOS CONTADO TORRE</v>
          </cell>
          <cell r="C102">
            <v>-16908031.609999999</v>
          </cell>
          <cell r="D102">
            <v>563949.75</v>
          </cell>
          <cell r="E102">
            <v>2011744.77</v>
          </cell>
          <cell r="F102">
            <v>-18355826.629999999</v>
          </cell>
        </row>
        <row r="103">
          <cell r="A103" t="str">
            <v>4.005.002.0000</v>
          </cell>
          <cell r="B103" t="str">
            <v>AUTOS NUEVOS CREDITO</v>
          </cell>
          <cell r="C103">
            <v>-16306735.34</v>
          </cell>
          <cell r="E103">
            <v>2041760</v>
          </cell>
          <cell r="F103">
            <v>-18348495.34</v>
          </cell>
        </row>
        <row r="104">
          <cell r="A104" t="str">
            <v>4.005.003.0000</v>
          </cell>
          <cell r="B104" t="str">
            <v>REB/DEV AUTOS NUEVOS CONTADO</v>
          </cell>
          <cell r="C104">
            <v>18244.04</v>
          </cell>
          <cell r="D104">
            <v>3961.61</v>
          </cell>
          <cell r="F104">
            <v>22205.65</v>
          </cell>
        </row>
        <row r="105">
          <cell r="A105" t="str">
            <v>4.005.021.0000</v>
          </cell>
          <cell r="B105" t="str">
            <v>REPUESTOS CONTADO</v>
          </cell>
          <cell r="C105">
            <v>-1356469.11</v>
          </cell>
          <cell r="D105">
            <v>25215.51</v>
          </cell>
          <cell r="E105">
            <v>247386.72</v>
          </cell>
          <cell r="F105">
            <v>-1578640.32</v>
          </cell>
        </row>
        <row r="106">
          <cell r="A106" t="str">
            <v>4.005.022.0000</v>
          </cell>
          <cell r="B106" t="str">
            <v>REPUESTOS CREDITO</v>
          </cell>
          <cell r="C106">
            <v>-384675.49</v>
          </cell>
          <cell r="D106">
            <v>4887.53</v>
          </cell>
          <cell r="E106">
            <v>44441.64</v>
          </cell>
          <cell r="F106">
            <v>-424229.6</v>
          </cell>
        </row>
        <row r="107">
          <cell r="A107" t="str">
            <v>4.005.025.0000</v>
          </cell>
          <cell r="B107" t="str">
            <v>ACCESORIOS CONTADO</v>
          </cell>
          <cell r="C107">
            <v>-13880.05</v>
          </cell>
          <cell r="E107">
            <v>2204.79</v>
          </cell>
          <cell r="F107">
            <v>-16084.84</v>
          </cell>
        </row>
        <row r="108">
          <cell r="A108" t="str">
            <v>4.005.026.0000</v>
          </cell>
          <cell r="B108" t="str">
            <v>ACCESORIOS CREDITO</v>
          </cell>
          <cell r="C108">
            <v>-3622.56</v>
          </cell>
          <cell r="F108">
            <v>-3622.56</v>
          </cell>
        </row>
        <row r="109">
          <cell r="A109" t="str">
            <v>4.006.000.0000</v>
          </cell>
          <cell r="B109" t="str">
            <v>VENTAS PIRAMIDE</v>
          </cell>
          <cell r="C109">
            <v>-21975508.059999999</v>
          </cell>
          <cell r="D109">
            <v>258999.67999999999</v>
          </cell>
          <cell r="E109">
            <v>2993700</v>
          </cell>
          <cell r="F109">
            <v>-24710208.379999999</v>
          </cell>
        </row>
        <row r="110">
          <cell r="A110" t="str">
            <v>4.006.001.0000</v>
          </cell>
          <cell r="B110" t="str">
            <v>VENTAS AUTOS NUEVOS CONTAD PIRAMIDE</v>
          </cell>
          <cell r="C110">
            <v>-4042049.67</v>
          </cell>
          <cell r="D110">
            <v>100000</v>
          </cell>
          <cell r="E110">
            <v>219000</v>
          </cell>
          <cell r="F110">
            <v>-4161049.67</v>
          </cell>
        </row>
        <row r="111">
          <cell r="A111" t="str">
            <v>4.006.002.0000</v>
          </cell>
          <cell r="B111" t="str">
            <v>AUTOS NUEVOS CREDITO</v>
          </cell>
          <cell r="C111">
            <v>-5696823.8799999999</v>
          </cell>
          <cell r="D111">
            <v>58000</v>
          </cell>
          <cell r="E111">
            <v>58000</v>
          </cell>
          <cell r="F111">
            <v>-5696823.8799999999</v>
          </cell>
        </row>
        <row r="112">
          <cell r="A112" t="str">
            <v>4.006.003.0000</v>
          </cell>
          <cell r="B112" t="str">
            <v>REB/DEV AUTOS NUEVOS CONTADO</v>
          </cell>
          <cell r="C112">
            <v>0</v>
          </cell>
          <cell r="D112">
            <v>3999.68</v>
          </cell>
          <cell r="F112">
            <v>3999.68</v>
          </cell>
        </row>
        <row r="113">
          <cell r="A113" t="str">
            <v>4.006.005.0000</v>
          </cell>
          <cell r="B113" t="str">
            <v>AUTOS USADOS CONTADO</v>
          </cell>
          <cell r="C113">
            <v>-5156399.51</v>
          </cell>
          <cell r="D113">
            <v>97000</v>
          </cell>
          <cell r="E113">
            <v>1469000</v>
          </cell>
          <cell r="F113">
            <v>-6528399.5099999998</v>
          </cell>
        </row>
        <row r="114">
          <cell r="A114" t="str">
            <v>4.006.006.0000</v>
          </cell>
          <cell r="B114" t="str">
            <v>AUTOS USADOS CREDITO</v>
          </cell>
          <cell r="C114">
            <v>-7125235</v>
          </cell>
          <cell r="E114">
            <v>1247700</v>
          </cell>
          <cell r="F114">
            <v>-8372935</v>
          </cell>
        </row>
        <row r="115">
          <cell r="A115" t="str">
            <v>4.006.008.0000</v>
          </cell>
          <cell r="B115" t="str">
            <v>REB/DEV AUTOS USADOS CREDITO</v>
          </cell>
          <cell r="C115">
            <v>45000</v>
          </cell>
          <cell r="F115">
            <v>45000</v>
          </cell>
        </row>
        <row r="116">
          <cell r="A116" t="str">
            <v>4.007.000.0000</v>
          </cell>
          <cell r="B116" t="str">
            <v>VENTAS PRADERA</v>
          </cell>
          <cell r="C116">
            <v>-46347962.880000003</v>
          </cell>
          <cell r="D116">
            <v>2765028.62</v>
          </cell>
          <cell r="E116">
            <v>8689104.5800000001</v>
          </cell>
          <cell r="F116">
            <v>-52272038.840000004</v>
          </cell>
        </row>
        <row r="117">
          <cell r="A117" t="str">
            <v>4.007.001.0000</v>
          </cell>
          <cell r="B117" t="str">
            <v>VENTAS AUTOS NUEVOS CONTADO PRADERA</v>
          </cell>
          <cell r="C117">
            <v>-23785133.510000002</v>
          </cell>
          <cell r="D117">
            <v>2304696.3199999998</v>
          </cell>
          <cell r="E117">
            <v>5774497.9800000004</v>
          </cell>
          <cell r="F117">
            <v>-27254935.170000002</v>
          </cell>
        </row>
        <row r="118">
          <cell r="A118" t="str">
            <v>4.007.002.0000</v>
          </cell>
          <cell r="B118" t="str">
            <v>AUTOS NUEVOS CREDITO</v>
          </cell>
          <cell r="C118">
            <v>-20137067.25</v>
          </cell>
          <cell r="D118">
            <v>436718</v>
          </cell>
          <cell r="E118">
            <v>2595418</v>
          </cell>
          <cell r="F118">
            <v>-22295767.25</v>
          </cell>
        </row>
        <row r="119">
          <cell r="A119" t="str">
            <v>4.007.003.0000</v>
          </cell>
          <cell r="B119" t="str">
            <v>REB/DEV AUTOS NUEVOS CONTADO</v>
          </cell>
          <cell r="C119">
            <v>9405.0499999999993</v>
          </cell>
          <cell r="F119">
            <v>9405.0499999999993</v>
          </cell>
        </row>
        <row r="120">
          <cell r="A120" t="str">
            <v>4.007.004.0000</v>
          </cell>
          <cell r="B120" t="str">
            <v>REB/DEV AUTOS NUEVOS CREDITO</v>
          </cell>
          <cell r="C120">
            <v>0</v>
          </cell>
          <cell r="D120">
            <v>1000</v>
          </cell>
          <cell r="F120">
            <v>1000</v>
          </cell>
        </row>
        <row r="121">
          <cell r="A121" t="str">
            <v>4.007.006.0000</v>
          </cell>
          <cell r="B121" t="str">
            <v>AUTOS USADOS CREDITO</v>
          </cell>
          <cell r="C121">
            <v>-45000</v>
          </cell>
          <cell r="F121">
            <v>-45000</v>
          </cell>
        </row>
        <row r="122">
          <cell r="A122" t="str">
            <v>4.007.021.0000</v>
          </cell>
          <cell r="B122" t="str">
            <v>REPUESTOS CONTADO</v>
          </cell>
          <cell r="C122">
            <v>-559612.78</v>
          </cell>
          <cell r="D122">
            <v>7491.82</v>
          </cell>
          <cell r="E122">
            <v>64803.519999999997</v>
          </cell>
          <cell r="F122">
            <v>-616924.48</v>
          </cell>
        </row>
        <row r="123">
          <cell r="A123" t="str">
            <v>4.007.022.0000</v>
          </cell>
          <cell r="B123" t="str">
            <v>REPUESTOS CREDITO</v>
          </cell>
          <cell r="C123">
            <v>-1801254.47</v>
          </cell>
          <cell r="D123">
            <v>14994.75</v>
          </cell>
          <cell r="E123">
            <v>249505.8</v>
          </cell>
          <cell r="F123">
            <v>-2035765.52</v>
          </cell>
        </row>
        <row r="124">
          <cell r="A124" t="str">
            <v>4.007.025.0000</v>
          </cell>
          <cell r="B124" t="str">
            <v>ACCESORIOS CONTADO</v>
          </cell>
          <cell r="C124">
            <v>-10597.78</v>
          </cell>
          <cell r="D124">
            <v>127.73</v>
          </cell>
          <cell r="E124">
            <v>2702.42</v>
          </cell>
          <cell r="F124">
            <v>-13172.47</v>
          </cell>
        </row>
        <row r="125">
          <cell r="A125" t="str">
            <v>4.007.026.0000</v>
          </cell>
          <cell r="B125" t="str">
            <v>ACCESORIOS CREDITO</v>
          </cell>
          <cell r="C125">
            <v>-18702.14</v>
          </cell>
          <cell r="E125">
            <v>2176.86</v>
          </cell>
          <cell r="F125">
            <v>-20879</v>
          </cell>
        </row>
        <row r="126">
          <cell r="A126" t="str">
            <v>4.008.001.0000</v>
          </cell>
          <cell r="B126" t="str">
            <v>VENTAS AUTOS NUEVOS CONTADO FLOTAS</v>
          </cell>
          <cell r="C126">
            <v>-3602407.58</v>
          </cell>
          <cell r="D126">
            <v>261900</v>
          </cell>
          <cell r="E126">
            <v>1032596.42</v>
          </cell>
          <cell r="F126">
            <v>-4373104</v>
          </cell>
        </row>
        <row r="127">
          <cell r="A127" t="str">
            <v>4.008.002.0000</v>
          </cell>
          <cell r="B127" t="str">
            <v>VENTAS AUTOS NUEVOS CREDITO FLOTAS</v>
          </cell>
          <cell r="C127">
            <v>-5892140.5599999996</v>
          </cell>
          <cell r="D127">
            <v>226900</v>
          </cell>
          <cell r="E127">
            <v>839100</v>
          </cell>
          <cell r="F127">
            <v>-6504340.5599999996</v>
          </cell>
        </row>
        <row r="128">
          <cell r="A128" t="str">
            <v>4.008.003.0000</v>
          </cell>
          <cell r="B128" t="str">
            <v>REB/DEV NUEVOS CONTA FLOTAS</v>
          </cell>
          <cell r="C128">
            <v>1508</v>
          </cell>
          <cell r="F128">
            <v>1508</v>
          </cell>
        </row>
        <row r="129">
          <cell r="A129" t="str">
            <v>5.000.000.0000</v>
          </cell>
          <cell r="B129" t="str">
            <v>COSTOS</v>
          </cell>
          <cell r="C129">
            <v>192604923.49000001</v>
          </cell>
          <cell r="D129">
            <v>30524076.699999999</v>
          </cell>
          <cell r="E129">
            <v>5092070.67</v>
          </cell>
          <cell r="F129">
            <v>218036929.52000001</v>
          </cell>
        </row>
        <row r="130">
          <cell r="A130" t="str">
            <v>5.001.000.0000</v>
          </cell>
          <cell r="B130" t="str">
            <v>COSTO DE VTAS CENTRAL</v>
          </cell>
          <cell r="C130">
            <v>93914929.430000007</v>
          </cell>
          <cell r="D130">
            <v>14637183.66</v>
          </cell>
          <cell r="E130">
            <v>1667546.11</v>
          </cell>
          <cell r="F130">
            <v>106884566.98</v>
          </cell>
        </row>
        <row r="131">
          <cell r="A131" t="str">
            <v>5.001.001.0000</v>
          </cell>
          <cell r="B131" t="str">
            <v>COSTO AUTOS NUEVOS CONTADO</v>
          </cell>
          <cell r="C131">
            <v>31798778.629999999</v>
          </cell>
          <cell r="D131">
            <v>4850211.3899999997</v>
          </cell>
          <cell r="E131">
            <v>293192.75</v>
          </cell>
          <cell r="F131">
            <v>36355797.270000003</v>
          </cell>
        </row>
        <row r="132">
          <cell r="A132" t="str">
            <v>5.001.002.0000</v>
          </cell>
          <cell r="B132" t="str">
            <v>AUTOS NUEVOS CREDITO</v>
          </cell>
          <cell r="C132">
            <v>50326601.469999999</v>
          </cell>
          <cell r="D132">
            <v>8429416.25</v>
          </cell>
          <cell r="E132">
            <v>1023885.73</v>
          </cell>
          <cell r="F132">
            <v>57732131.990000002</v>
          </cell>
        </row>
        <row r="133">
          <cell r="A133" t="str">
            <v>5.001.005.0000</v>
          </cell>
          <cell r="B133" t="str">
            <v>AUTOS USADOS CONTADO</v>
          </cell>
          <cell r="C133">
            <v>317000</v>
          </cell>
          <cell r="F133">
            <v>317000</v>
          </cell>
        </row>
        <row r="134">
          <cell r="A134" t="str">
            <v>5.001.006.0000</v>
          </cell>
          <cell r="B134" t="str">
            <v>AUTOS USADOS CREDITO</v>
          </cell>
          <cell r="C134">
            <v>549000</v>
          </cell>
          <cell r="F134">
            <v>549000</v>
          </cell>
        </row>
        <row r="135">
          <cell r="A135" t="str">
            <v>5.001.021.0000</v>
          </cell>
          <cell r="B135" t="str">
            <v>REPUESTOS CONTADO</v>
          </cell>
          <cell r="C135">
            <v>2860119.81</v>
          </cell>
          <cell r="D135">
            <v>421479.84</v>
          </cell>
          <cell r="E135">
            <v>79851.34</v>
          </cell>
          <cell r="F135">
            <v>3201748.31</v>
          </cell>
        </row>
        <row r="136">
          <cell r="A136" t="str">
            <v>5.001.022.0000</v>
          </cell>
          <cell r="B136" t="str">
            <v>REPUESTOS CREDITO</v>
          </cell>
          <cell r="C136">
            <v>7906866.9900000002</v>
          </cell>
          <cell r="D136">
            <v>705302.94</v>
          </cell>
          <cell r="E136">
            <v>51604.59</v>
          </cell>
          <cell r="F136">
            <v>8560565.3399999999</v>
          </cell>
        </row>
        <row r="137">
          <cell r="A137" t="str">
            <v>5.001.025.0000</v>
          </cell>
          <cell r="B137" t="str">
            <v>ACCESORIOS CONTADO</v>
          </cell>
          <cell r="C137">
            <v>64018.26</v>
          </cell>
          <cell r="D137">
            <v>9209.0499999999993</v>
          </cell>
          <cell r="E137">
            <v>5.54</v>
          </cell>
          <cell r="F137">
            <v>73221.77</v>
          </cell>
        </row>
        <row r="138">
          <cell r="A138" t="str">
            <v>5.001.026.0000</v>
          </cell>
          <cell r="B138" t="str">
            <v>ACCESORIOS CREDITO</v>
          </cell>
          <cell r="C138">
            <v>27987.48</v>
          </cell>
          <cell r="D138">
            <v>4300.83</v>
          </cell>
          <cell r="E138">
            <v>591.65</v>
          </cell>
          <cell r="F138">
            <v>31696.66</v>
          </cell>
        </row>
        <row r="139">
          <cell r="A139" t="str">
            <v>5.001.029.0000</v>
          </cell>
          <cell r="B139" t="str">
            <v>AJUSTES INVENTARIO</v>
          </cell>
          <cell r="C139">
            <v>64556.79</v>
          </cell>
          <cell r="D139">
            <v>217263.35999999999</v>
          </cell>
          <cell r="E139">
            <v>218414.51</v>
          </cell>
          <cell r="F139">
            <v>63405.64</v>
          </cell>
        </row>
        <row r="140">
          <cell r="A140" t="str">
            <v>5.002.000.0000</v>
          </cell>
          <cell r="B140" t="str">
            <v>COSTO DE VTAS TIVOLI</v>
          </cell>
          <cell r="C140">
            <v>4504418.4400000004</v>
          </cell>
          <cell r="D140">
            <v>660772.35</v>
          </cell>
          <cell r="E140">
            <v>70538.98</v>
          </cell>
          <cell r="F140">
            <v>5094651.8099999996</v>
          </cell>
        </row>
        <row r="141">
          <cell r="A141" t="str">
            <v>5.002.021.0000</v>
          </cell>
          <cell r="B141" t="str">
            <v>REPUESTOS CONTADO</v>
          </cell>
          <cell r="C141">
            <v>539561.07999999996</v>
          </cell>
          <cell r="D141">
            <v>78092.800000000003</v>
          </cell>
          <cell r="E141">
            <v>13817.95</v>
          </cell>
          <cell r="F141">
            <v>603835.93000000005</v>
          </cell>
        </row>
        <row r="142">
          <cell r="A142" t="str">
            <v>5.002.022.0000</v>
          </cell>
          <cell r="B142" t="str">
            <v>REPUESTOS CREDITO</v>
          </cell>
          <cell r="C142">
            <v>3900702.31</v>
          </cell>
          <cell r="D142">
            <v>569022.25</v>
          </cell>
          <cell r="E142">
            <v>55784.55</v>
          </cell>
          <cell r="F142">
            <v>4413940.01</v>
          </cell>
        </row>
        <row r="143">
          <cell r="A143" t="str">
            <v>5.002.025.0000</v>
          </cell>
          <cell r="B143" t="str">
            <v>ACCESORIOS CONTADO</v>
          </cell>
          <cell r="C143">
            <v>14228.63</v>
          </cell>
          <cell r="D143">
            <v>2180.9499999999998</v>
          </cell>
          <cell r="E143">
            <v>61.07</v>
          </cell>
          <cell r="F143">
            <v>16348.51</v>
          </cell>
        </row>
        <row r="144">
          <cell r="A144" t="str">
            <v>5.002.026.0000</v>
          </cell>
          <cell r="B144" t="str">
            <v>ACCESORIOS CREDITO</v>
          </cell>
          <cell r="C144">
            <v>45289.94</v>
          </cell>
          <cell r="D144">
            <v>11476.35</v>
          </cell>
          <cell r="E144">
            <v>875.41</v>
          </cell>
          <cell r="F144">
            <v>55890.879999999997</v>
          </cell>
        </row>
        <row r="145">
          <cell r="A145" t="str">
            <v>5.003.000.0000</v>
          </cell>
          <cell r="B145" t="str">
            <v>COSTO DE VTAS TERMINAL</v>
          </cell>
          <cell r="C145">
            <v>762215.91</v>
          </cell>
          <cell r="D145">
            <v>120904.1</v>
          </cell>
          <cell r="E145">
            <v>7418.28</v>
          </cell>
          <cell r="F145">
            <v>875701.73</v>
          </cell>
        </row>
        <row r="146">
          <cell r="A146" t="str">
            <v>5.003.021.0000</v>
          </cell>
          <cell r="B146" t="str">
            <v>REPUESTOS CONTADO</v>
          </cell>
          <cell r="C146">
            <v>622469.06999999995</v>
          </cell>
          <cell r="D146">
            <v>99327.1</v>
          </cell>
          <cell r="E146">
            <v>4142.28</v>
          </cell>
          <cell r="F146">
            <v>717653.89</v>
          </cell>
        </row>
        <row r="147">
          <cell r="A147" t="str">
            <v>5.003.022.0000</v>
          </cell>
          <cell r="B147" t="str">
            <v>REPUESTOS CREDITO</v>
          </cell>
          <cell r="C147">
            <v>131277.19</v>
          </cell>
          <cell r="D147">
            <v>20304.900000000001</v>
          </cell>
          <cell r="E147">
            <v>3276</v>
          </cell>
          <cell r="F147">
            <v>148306.09</v>
          </cell>
        </row>
        <row r="148">
          <cell r="A148" t="str">
            <v>5.003.025.0000</v>
          </cell>
          <cell r="B148" t="str">
            <v>ACCESORIOS CONTADO</v>
          </cell>
          <cell r="C148">
            <v>7610.4</v>
          </cell>
          <cell r="D148">
            <v>1272.0999999999999</v>
          </cell>
          <cell r="F148">
            <v>8882.5</v>
          </cell>
        </row>
        <row r="149">
          <cell r="A149" t="str">
            <v>5.003.026.0000</v>
          </cell>
          <cell r="B149" t="str">
            <v>ACCESORIOS CREDITO</v>
          </cell>
          <cell r="C149">
            <v>859.25</v>
          </cell>
          <cell r="F149">
            <v>859.25</v>
          </cell>
        </row>
        <row r="150">
          <cell r="A150" t="str">
            <v>5.004.000.0000</v>
          </cell>
          <cell r="B150" t="str">
            <v>COSTO DE VTAS CASTAÑO</v>
          </cell>
          <cell r="C150">
            <v>554701.06000000006</v>
          </cell>
          <cell r="D150">
            <v>54865.03</v>
          </cell>
          <cell r="E150">
            <v>3684.21</v>
          </cell>
          <cell r="F150">
            <v>605881.88</v>
          </cell>
        </row>
        <row r="151">
          <cell r="A151" t="str">
            <v>5.004.021.0000</v>
          </cell>
          <cell r="B151" t="str">
            <v>REPUESTOS CONTADO</v>
          </cell>
          <cell r="C151">
            <v>365969.12</v>
          </cell>
          <cell r="D151">
            <v>32372.22</v>
          </cell>
          <cell r="E151">
            <v>3229.2</v>
          </cell>
          <cell r="F151">
            <v>395112.14</v>
          </cell>
        </row>
        <row r="152">
          <cell r="A152" t="str">
            <v>5.004.022.0000</v>
          </cell>
          <cell r="B152" t="str">
            <v>REPUESTOS CREDITO</v>
          </cell>
          <cell r="C152">
            <v>181758.58</v>
          </cell>
          <cell r="D152">
            <v>20841.810000000001</v>
          </cell>
          <cell r="F152">
            <v>202600.39</v>
          </cell>
        </row>
        <row r="153">
          <cell r="A153" t="str">
            <v>5.004.025.0000</v>
          </cell>
          <cell r="B153" t="str">
            <v>ACCESORIOS CONTADO</v>
          </cell>
          <cell r="C153">
            <v>6696.33</v>
          </cell>
          <cell r="D153">
            <v>1651</v>
          </cell>
          <cell r="E153">
            <v>455.01</v>
          </cell>
          <cell r="F153">
            <v>7892.32</v>
          </cell>
        </row>
        <row r="154">
          <cell r="A154" t="str">
            <v>5.005.000.0000</v>
          </cell>
          <cell r="B154" t="str">
            <v>COSTO DE VTAS TORRE</v>
          </cell>
          <cell r="C154">
            <v>28167305.32</v>
          </cell>
          <cell r="D154">
            <v>3552229.89</v>
          </cell>
          <cell r="E154">
            <v>484014.57</v>
          </cell>
          <cell r="F154">
            <v>31235520.640000001</v>
          </cell>
        </row>
        <row r="155">
          <cell r="A155" t="str">
            <v>5.005.001.0000</v>
          </cell>
          <cell r="B155" t="str">
            <v>AUTOS NUEVOS CONTADO</v>
          </cell>
          <cell r="C155">
            <v>13903757.6</v>
          </cell>
          <cell r="D155">
            <v>1689357.12</v>
          </cell>
          <cell r="E155">
            <v>469977.85</v>
          </cell>
          <cell r="F155">
            <v>15123136.869999999</v>
          </cell>
        </row>
        <row r="156">
          <cell r="A156" t="str">
            <v>5.005.002.0000</v>
          </cell>
          <cell r="B156" t="str">
            <v>AUTOS NUEVOS CREDITO</v>
          </cell>
          <cell r="C156">
            <v>13385185.800000001</v>
          </cell>
          <cell r="D156">
            <v>1717136.19</v>
          </cell>
          <cell r="F156">
            <v>15102321.99</v>
          </cell>
        </row>
        <row r="157">
          <cell r="A157" t="str">
            <v>5.005.021.0000</v>
          </cell>
          <cell r="B157" t="str">
            <v>REPUESTOS CONTADO</v>
          </cell>
          <cell r="C157">
            <v>683096.03</v>
          </cell>
          <cell r="D157">
            <v>122508.56</v>
          </cell>
          <cell r="E157">
            <v>11286.79</v>
          </cell>
          <cell r="F157">
            <v>794317.8</v>
          </cell>
        </row>
        <row r="158">
          <cell r="A158" t="str">
            <v>5.005.022.0000</v>
          </cell>
          <cell r="B158" t="str">
            <v>REPUESTOS CREDITO</v>
          </cell>
          <cell r="C158">
            <v>185841.65</v>
          </cell>
          <cell r="D158">
            <v>22065.47</v>
          </cell>
          <cell r="E158">
            <v>2749.93</v>
          </cell>
          <cell r="F158">
            <v>205157.19</v>
          </cell>
        </row>
        <row r="159">
          <cell r="A159" t="str">
            <v>5.005.025.0000</v>
          </cell>
          <cell r="B159" t="str">
            <v>ACCESORIOS CONTADO</v>
          </cell>
          <cell r="C159">
            <v>7005.98</v>
          </cell>
          <cell r="D159">
            <v>1162.55</v>
          </cell>
          <cell r="F159">
            <v>8168.53</v>
          </cell>
        </row>
        <row r="160">
          <cell r="A160" t="str">
            <v>5.005.026.0000</v>
          </cell>
          <cell r="B160" t="str">
            <v>ACCESORIOS CREDITO</v>
          </cell>
          <cell r="C160">
            <v>1990.35</v>
          </cell>
          <cell r="F160">
            <v>1990.35</v>
          </cell>
        </row>
        <row r="161">
          <cell r="A161" t="str">
            <v>5.006.000.0000</v>
          </cell>
          <cell r="B161" t="str">
            <v>COSTO DE VTAS PIRAMIDE</v>
          </cell>
          <cell r="C161">
            <v>19964309.16</v>
          </cell>
          <cell r="D161">
            <v>2916299.53</v>
          </cell>
          <cell r="E161">
            <v>253000</v>
          </cell>
          <cell r="F161">
            <v>22627608.690000001</v>
          </cell>
        </row>
        <row r="162">
          <cell r="A162" t="str">
            <v>5.006.001.0000</v>
          </cell>
          <cell r="B162" t="str">
            <v>AUTOS NUEVOS CONTADO</v>
          </cell>
          <cell r="C162">
            <v>3423506.22</v>
          </cell>
          <cell r="D162">
            <v>206299.53</v>
          </cell>
          <cell r="E162">
            <v>100000</v>
          </cell>
          <cell r="F162">
            <v>3529805.75</v>
          </cell>
        </row>
        <row r="163">
          <cell r="A163" t="str">
            <v>5.006.002.0000</v>
          </cell>
          <cell r="B163" t="str">
            <v>AUTOS NUEVOS CREDITO</v>
          </cell>
          <cell r="C163">
            <v>4620567.9800000004</v>
          </cell>
          <cell r="D163">
            <v>58000</v>
          </cell>
          <cell r="E163">
            <v>58000</v>
          </cell>
          <cell r="F163">
            <v>4620567.9800000004</v>
          </cell>
        </row>
        <row r="164">
          <cell r="A164" t="str">
            <v>5.006.005.0000</v>
          </cell>
          <cell r="B164" t="str">
            <v>AUTOS USADOS CONTADO</v>
          </cell>
          <cell r="C164">
            <v>5054130.58</v>
          </cell>
          <cell r="D164">
            <v>1445000</v>
          </cell>
          <cell r="E164">
            <v>95000</v>
          </cell>
          <cell r="F164">
            <v>6404130.5800000001</v>
          </cell>
        </row>
        <row r="165">
          <cell r="A165" t="str">
            <v>5.006.006.0000</v>
          </cell>
          <cell r="B165" t="str">
            <v>AUTOS USADOS CREDITO</v>
          </cell>
          <cell r="C165">
            <v>6866104.3799999999</v>
          </cell>
          <cell r="D165">
            <v>1207000</v>
          </cell>
          <cell r="F165">
            <v>8073104.3799999999</v>
          </cell>
        </row>
        <row r="166">
          <cell r="A166" t="str">
            <v>5.007.000.0000</v>
          </cell>
          <cell r="B166" t="str">
            <v>COSTO DE VTAS PRADERA</v>
          </cell>
          <cell r="C166">
            <v>37086753.829999998</v>
          </cell>
          <cell r="D166">
            <v>7043558.4199999999</v>
          </cell>
          <cell r="E166">
            <v>2221444.85</v>
          </cell>
          <cell r="F166">
            <v>41908867.399999999</v>
          </cell>
        </row>
        <row r="167">
          <cell r="A167" t="str">
            <v>5.007.001.0000</v>
          </cell>
          <cell r="B167" t="str">
            <v>AUTOS NUEVOS CONTADO</v>
          </cell>
          <cell r="C167">
            <v>19313855.120000001</v>
          </cell>
          <cell r="D167">
            <v>4724367.67</v>
          </cell>
          <cell r="E167">
            <v>1869588.42</v>
          </cell>
          <cell r="F167">
            <v>22168634.370000001</v>
          </cell>
        </row>
        <row r="168">
          <cell r="A168" t="str">
            <v>5.007.002.0000</v>
          </cell>
          <cell r="B168" t="str">
            <v>AUTOS NUEVOS CREDITO</v>
          </cell>
          <cell r="C168">
            <v>16460452.15</v>
          </cell>
          <cell r="D168">
            <v>2148658.23</v>
          </cell>
          <cell r="E168">
            <v>341364.41</v>
          </cell>
          <cell r="F168">
            <v>18267745.969999999</v>
          </cell>
        </row>
        <row r="169">
          <cell r="A169" t="str">
            <v>5.007.006.0000</v>
          </cell>
          <cell r="B169" t="str">
            <v>AUTOS USADOS CREDITO</v>
          </cell>
          <cell r="C169">
            <v>45000</v>
          </cell>
          <cell r="F169">
            <v>45000</v>
          </cell>
        </row>
        <row r="170">
          <cell r="A170" t="str">
            <v>5.007.021.0000</v>
          </cell>
          <cell r="B170" t="str">
            <v>REPUESTOS CONTADO</v>
          </cell>
          <cell r="C170">
            <v>268624.17</v>
          </cell>
          <cell r="D170">
            <v>29792.49</v>
          </cell>
          <cell r="E170">
            <v>2608.98</v>
          </cell>
          <cell r="F170">
            <v>295807.68</v>
          </cell>
        </row>
        <row r="171">
          <cell r="A171" t="str">
            <v>5.007.022.0000</v>
          </cell>
          <cell r="B171" t="str">
            <v>REPUESTOS CREDITO</v>
          </cell>
          <cell r="C171">
            <v>979686.33</v>
          </cell>
          <cell r="D171">
            <v>138022.54999999999</v>
          </cell>
          <cell r="E171">
            <v>7767.15</v>
          </cell>
          <cell r="F171">
            <v>1109941.73</v>
          </cell>
        </row>
        <row r="172">
          <cell r="A172" t="str">
            <v>5.007.025.0000</v>
          </cell>
          <cell r="B172" t="str">
            <v>ACCESORIOS CONTADO</v>
          </cell>
          <cell r="C172">
            <v>6548.1</v>
          </cell>
          <cell r="D172">
            <v>1177.6300000000001</v>
          </cell>
          <cell r="E172">
            <v>40</v>
          </cell>
          <cell r="F172">
            <v>7685.73</v>
          </cell>
        </row>
        <row r="173">
          <cell r="A173" t="str">
            <v>5.007.026.0000</v>
          </cell>
          <cell r="B173" t="str">
            <v>ACCESORIOS CREDITO</v>
          </cell>
          <cell r="C173">
            <v>11370.92</v>
          </cell>
          <cell r="D173">
            <v>1463.96</v>
          </cell>
          <cell r="F173">
            <v>12834.88</v>
          </cell>
        </row>
        <row r="174">
          <cell r="A174" t="str">
            <v>5.008.000.0000</v>
          </cell>
          <cell r="B174" t="str">
            <v>COSTO AUTOS NUEVOS FLOTAS</v>
          </cell>
          <cell r="C174">
            <v>7650290.3399999999</v>
          </cell>
          <cell r="D174">
            <v>1538263.72</v>
          </cell>
          <cell r="E174">
            <v>384423.67</v>
          </cell>
          <cell r="F174">
            <v>8804130.3900000006</v>
          </cell>
        </row>
        <row r="175">
          <cell r="A175" t="str">
            <v>5.008.001.0000</v>
          </cell>
          <cell r="B175" t="str">
            <v>AUTOS NUEVOS CONTADO</v>
          </cell>
          <cell r="C175">
            <v>2919998.16</v>
          </cell>
          <cell r="D175">
            <v>844197.47</v>
          </cell>
          <cell r="E175">
            <v>210542.83</v>
          </cell>
          <cell r="F175">
            <v>3553652.8</v>
          </cell>
        </row>
        <row r="176">
          <cell r="A176" t="str">
            <v>5.008.002.0000</v>
          </cell>
          <cell r="B176" t="str">
            <v>COSTO AUTOS NUEVOS CREDITO FLOTAS</v>
          </cell>
          <cell r="C176">
            <v>4730292.18</v>
          </cell>
          <cell r="D176">
            <v>694066.25</v>
          </cell>
          <cell r="E176">
            <v>173880.84</v>
          </cell>
          <cell r="F176">
            <v>5250477.59</v>
          </cell>
        </row>
        <row r="177">
          <cell r="A177" t="str">
            <v>6.000.000.0000</v>
          </cell>
          <cell r="B177" t="str">
            <v>GASTOS</v>
          </cell>
          <cell r="C177">
            <v>27534557.27</v>
          </cell>
          <cell r="D177">
            <v>7415632.6699999999</v>
          </cell>
          <cell r="E177">
            <v>2327303.65</v>
          </cell>
          <cell r="F177">
            <v>32622886.289999999</v>
          </cell>
        </row>
        <row r="178">
          <cell r="A178" t="str">
            <v>6.001.000.0000</v>
          </cell>
          <cell r="B178" t="str">
            <v>GASTOS CENTRAL</v>
          </cell>
          <cell r="C178">
            <v>20831888.550000001</v>
          </cell>
          <cell r="D178">
            <v>6571251</v>
          </cell>
          <cell r="E178">
            <v>2294062.83</v>
          </cell>
          <cell r="F178">
            <v>25109076.719999999</v>
          </cell>
        </row>
        <row r="179">
          <cell r="A179" t="str">
            <v>6.002.000.0000</v>
          </cell>
          <cell r="B179" t="str">
            <v>GASTOS TIVOLI</v>
          </cell>
          <cell r="C179">
            <v>229484.11</v>
          </cell>
          <cell r="D179">
            <v>28110.97</v>
          </cell>
          <cell r="F179">
            <v>257595.08</v>
          </cell>
        </row>
        <row r="180">
          <cell r="A180" t="str">
            <v>6.003.000.0000</v>
          </cell>
          <cell r="B180" t="str">
            <v>GASTOS TERMINAL</v>
          </cell>
          <cell r="C180">
            <v>191452.83</v>
          </cell>
          <cell r="D180">
            <v>23944.75</v>
          </cell>
          <cell r="F180">
            <v>215397.58</v>
          </cell>
        </row>
        <row r="181">
          <cell r="A181" t="str">
            <v>6.004.000.0000</v>
          </cell>
          <cell r="B181" t="str">
            <v>GASTOS CASTAÑO</v>
          </cell>
          <cell r="C181">
            <v>183250.28</v>
          </cell>
          <cell r="D181">
            <v>22320.35</v>
          </cell>
          <cell r="F181">
            <v>205570.63</v>
          </cell>
        </row>
        <row r="182">
          <cell r="A182" t="str">
            <v>6.005.000.0000</v>
          </cell>
          <cell r="B182" t="str">
            <v>GASTOS TORRE</v>
          </cell>
          <cell r="C182">
            <v>2105167.7999999998</v>
          </cell>
          <cell r="D182">
            <v>245036.7</v>
          </cell>
          <cell r="F182">
            <v>2350204.5</v>
          </cell>
        </row>
        <row r="183">
          <cell r="A183" t="str">
            <v>6.006.000.0000</v>
          </cell>
          <cell r="B183" t="str">
            <v>GASTOS PIRAMIDE</v>
          </cell>
          <cell r="C183">
            <v>1222632.06</v>
          </cell>
          <cell r="D183">
            <v>181183.68</v>
          </cell>
          <cell r="F183">
            <v>1403815.74</v>
          </cell>
        </row>
        <row r="184">
          <cell r="A184" t="str">
            <v>6.007.000.0000</v>
          </cell>
          <cell r="B184" t="str">
            <v>GASTOS PRADERA</v>
          </cell>
          <cell r="C184">
            <v>2770681.64</v>
          </cell>
          <cell r="D184">
            <v>343785.22</v>
          </cell>
          <cell r="E184">
            <v>33240.82</v>
          </cell>
          <cell r="F184">
            <v>3081226.04</v>
          </cell>
        </row>
        <row r="185">
          <cell r="A185" t="str">
            <v>6.001.201.0000</v>
          </cell>
          <cell r="B185" t="str">
            <v>GASTOS VENTAS AUTOS</v>
          </cell>
          <cell r="C185">
            <v>13358238.640000001</v>
          </cell>
          <cell r="D185">
            <v>5455813.5700000003</v>
          </cell>
          <cell r="E185">
            <v>2128937.33</v>
          </cell>
          <cell r="F185">
            <v>16685114.880000001</v>
          </cell>
        </row>
        <row r="186">
          <cell r="A186" t="str">
            <v>6.005.201.0000</v>
          </cell>
          <cell r="B186" t="str">
            <v>VENTAS AUTOS</v>
          </cell>
          <cell r="C186">
            <v>1892400.68</v>
          </cell>
          <cell r="D186">
            <v>219484.02</v>
          </cell>
          <cell r="F186">
            <v>2111884.7000000002</v>
          </cell>
        </row>
        <row r="187">
          <cell r="A187" t="str">
            <v>6.006.201.0000</v>
          </cell>
          <cell r="B187" t="str">
            <v>VENTAS AUTOS</v>
          </cell>
          <cell r="C187">
            <v>1222632.06</v>
          </cell>
          <cell r="D187">
            <v>181183.68</v>
          </cell>
          <cell r="F187">
            <v>1403815.74</v>
          </cell>
        </row>
        <row r="188">
          <cell r="A188" t="str">
            <v>6.007.201.0000</v>
          </cell>
          <cell r="B188" t="str">
            <v>VENTAS AUTOS</v>
          </cell>
          <cell r="C188">
            <v>2424810.77</v>
          </cell>
          <cell r="D188">
            <v>298739.32</v>
          </cell>
          <cell r="E188">
            <v>33240.82</v>
          </cell>
          <cell r="F188">
            <v>2690309.27</v>
          </cell>
        </row>
        <row r="189">
          <cell r="A189" t="str">
            <v>6.001.202.0000</v>
          </cell>
          <cell r="B189" t="str">
            <v>GASTOS REPUESTOS</v>
          </cell>
          <cell r="C189">
            <v>2018750.57</v>
          </cell>
          <cell r="D189">
            <v>329389.62</v>
          </cell>
          <cell r="E189">
            <v>64400</v>
          </cell>
          <cell r="F189">
            <v>2283740.19</v>
          </cell>
        </row>
        <row r="190">
          <cell r="A190" t="str">
            <v>6.002.202.0000</v>
          </cell>
          <cell r="B190" t="str">
            <v>REPUESTOS</v>
          </cell>
          <cell r="C190">
            <v>229484.11</v>
          </cell>
          <cell r="D190">
            <v>28110.97</v>
          </cell>
          <cell r="F190">
            <v>257595.08</v>
          </cell>
        </row>
        <row r="191">
          <cell r="A191" t="str">
            <v>6.003.202.0000</v>
          </cell>
          <cell r="B191" t="str">
            <v>REPUESTOS</v>
          </cell>
          <cell r="C191">
            <v>191452.83</v>
          </cell>
          <cell r="D191">
            <v>23944.75</v>
          </cell>
          <cell r="F191">
            <v>215397.58</v>
          </cell>
        </row>
        <row r="192">
          <cell r="A192" t="str">
            <v>6.004.202.0000</v>
          </cell>
          <cell r="B192" t="str">
            <v>REPUESTOS</v>
          </cell>
          <cell r="C192">
            <v>183250.28</v>
          </cell>
          <cell r="D192">
            <v>22320.35</v>
          </cell>
          <cell r="F192">
            <v>205570.63</v>
          </cell>
        </row>
        <row r="193">
          <cell r="A193" t="str">
            <v>6.005.202.0000</v>
          </cell>
          <cell r="B193" t="str">
            <v>REPUESTOS</v>
          </cell>
          <cell r="C193">
            <v>192170.7</v>
          </cell>
          <cell r="D193">
            <v>22568.02</v>
          </cell>
          <cell r="F193">
            <v>214738.72</v>
          </cell>
        </row>
        <row r="194">
          <cell r="A194" t="str">
            <v>6.007.202.0000</v>
          </cell>
          <cell r="B194" t="str">
            <v>REPUESTOS</v>
          </cell>
          <cell r="C194">
            <v>319081.65999999997</v>
          </cell>
          <cell r="D194">
            <v>41936.17</v>
          </cell>
          <cell r="F194">
            <v>361017.83</v>
          </cell>
        </row>
        <row r="195">
          <cell r="A195" t="str">
            <v>6.001.203.0000</v>
          </cell>
          <cell r="B195" t="str">
            <v>GASTOS CARTERA-COBROS</v>
          </cell>
          <cell r="C195">
            <v>221098.12</v>
          </cell>
          <cell r="D195">
            <v>35783.919999999998</v>
          </cell>
          <cell r="F195">
            <v>256882.04</v>
          </cell>
        </row>
        <row r="196">
          <cell r="A196" t="str">
            <v>6.001.204.0000</v>
          </cell>
          <cell r="B196" t="str">
            <v>GASTOS DIRECCION-GERENCIA</v>
          </cell>
          <cell r="C196">
            <v>2039753.91</v>
          </cell>
          <cell r="D196">
            <v>355677.47</v>
          </cell>
          <cell r="E196">
            <v>1854.78</v>
          </cell>
          <cell r="F196">
            <v>2393576.6</v>
          </cell>
        </row>
        <row r="197">
          <cell r="A197" t="str">
            <v>6.001.205.0000</v>
          </cell>
          <cell r="B197" t="str">
            <v>GASTOS CONTABILIDAD</v>
          </cell>
          <cell r="C197">
            <v>935821.53</v>
          </cell>
          <cell r="D197">
            <v>135201.76</v>
          </cell>
          <cell r="F197">
            <v>1071023.29</v>
          </cell>
        </row>
        <row r="198">
          <cell r="A198" t="str">
            <v>6.005.205.0000</v>
          </cell>
          <cell r="B198" t="str">
            <v>GASTOS CONTABILIDAD</v>
          </cell>
          <cell r="C198">
            <v>20596.419999999998</v>
          </cell>
          <cell r="D198">
            <v>2984.66</v>
          </cell>
          <cell r="F198">
            <v>23581.08</v>
          </cell>
        </row>
        <row r="199">
          <cell r="A199" t="str">
            <v>6.007.205.0000</v>
          </cell>
          <cell r="B199" t="str">
            <v>CONTABILIDAD</v>
          </cell>
          <cell r="C199">
            <v>26789.21</v>
          </cell>
          <cell r="D199">
            <v>3109.73</v>
          </cell>
          <cell r="F199">
            <v>29898.94</v>
          </cell>
        </row>
        <row r="200">
          <cell r="A200" t="str">
            <v>6.001.206.0000</v>
          </cell>
          <cell r="B200" t="str">
            <v>GASTOS AUDITORIA</v>
          </cell>
          <cell r="C200">
            <v>8869.4</v>
          </cell>
          <cell r="D200">
            <v>1173.24</v>
          </cell>
          <cell r="F200">
            <v>10042.64</v>
          </cell>
        </row>
        <row r="201">
          <cell r="A201" t="str">
            <v>6.001.207.0000</v>
          </cell>
          <cell r="B201" t="str">
            <v>GASTOS DEPTO.ADMINISTRACION</v>
          </cell>
          <cell r="C201">
            <v>152850.47</v>
          </cell>
          <cell r="D201">
            <v>31289.47</v>
          </cell>
          <cell r="F201">
            <v>184139.94</v>
          </cell>
        </row>
        <row r="202">
          <cell r="A202" t="str">
            <v>6.001.208.0000</v>
          </cell>
          <cell r="B202" t="str">
            <v>GASTOS COMPUTOS</v>
          </cell>
          <cell r="C202">
            <v>589006.38</v>
          </cell>
          <cell r="D202">
            <v>42538.65</v>
          </cell>
          <cell r="F202">
            <v>631545.03</v>
          </cell>
        </row>
        <row r="203">
          <cell r="A203" t="str">
            <v>6.001.210.0000</v>
          </cell>
          <cell r="B203" t="str">
            <v>GASTOS TALLER DE SERVICIO</v>
          </cell>
          <cell r="C203">
            <v>455235.19</v>
          </cell>
          <cell r="D203">
            <v>54983.66</v>
          </cell>
          <cell r="F203">
            <v>510218.85</v>
          </cell>
        </row>
        <row r="204">
          <cell r="A204" t="str">
            <v>6.001.211.0000</v>
          </cell>
          <cell r="B204" t="str">
            <v>GASTOS DEPTO VARIOS</v>
          </cell>
          <cell r="C204">
            <v>758561.15</v>
          </cell>
          <cell r="D204">
            <v>99735.48</v>
          </cell>
          <cell r="E204">
            <v>89420.72</v>
          </cell>
          <cell r="F204">
            <v>768875.91</v>
          </cell>
        </row>
        <row r="205">
          <cell r="A205" t="str">
            <v>6.001.212.0000</v>
          </cell>
          <cell r="B205" t="str">
            <v>GASTOS DEPTO SERVICIO AL CLIENTE</v>
          </cell>
          <cell r="C205">
            <v>184771.8</v>
          </cell>
          <cell r="D205">
            <v>24764.16</v>
          </cell>
          <cell r="F205">
            <v>209535.96</v>
          </cell>
        </row>
        <row r="206">
          <cell r="A206" t="str">
            <v>6.001.213.0000</v>
          </cell>
          <cell r="B206" t="str">
            <v>GASTOS DE FLOTAS</v>
          </cell>
          <cell r="C206">
            <v>108931.39</v>
          </cell>
          <cell r="D206">
            <v>4900</v>
          </cell>
          <cell r="E206">
            <v>9450</v>
          </cell>
          <cell r="F206">
            <v>104381.39</v>
          </cell>
        </row>
        <row r="207">
          <cell r="A207" t="str">
            <v>7.000.000.0000</v>
          </cell>
          <cell r="B207" t="str">
            <v>OTROS INGRESOS</v>
          </cell>
          <cell r="C207">
            <v>-3146264.7</v>
          </cell>
          <cell r="D207">
            <v>292.35000000000002</v>
          </cell>
          <cell r="E207">
            <v>707270.06</v>
          </cell>
          <cell r="F207">
            <v>-3853242.41</v>
          </cell>
        </row>
        <row r="208">
          <cell r="A208" t="str">
            <v>7.001.000.0000</v>
          </cell>
          <cell r="B208" t="str">
            <v>OFICINAS CENTRALES</v>
          </cell>
          <cell r="C208">
            <v>-3146264.7</v>
          </cell>
          <cell r="D208">
            <v>292.35000000000002</v>
          </cell>
          <cell r="E208">
            <v>707270.06</v>
          </cell>
          <cell r="F208">
            <v>-3853242.41</v>
          </cell>
        </row>
        <row r="209">
          <cell r="A209" t="str">
            <v>7.001.211.0000</v>
          </cell>
          <cell r="B209" t="str">
            <v>DEPTO VARIOS</v>
          </cell>
          <cell r="C209">
            <v>-3146264.7</v>
          </cell>
          <cell r="D209">
            <v>292.35000000000002</v>
          </cell>
          <cell r="E209">
            <v>707270.06</v>
          </cell>
          <cell r="F209">
            <v>-3853242.41</v>
          </cell>
        </row>
        <row r="210">
          <cell r="A210" t="str">
            <v>8.000.000.0000</v>
          </cell>
          <cell r="B210" t="str">
            <v>OTROS GASTOS</v>
          </cell>
          <cell r="C210">
            <v>5439428.8099999996</v>
          </cell>
          <cell r="D210">
            <v>1529546.86</v>
          </cell>
          <cell r="E210">
            <v>1238989.0900000001</v>
          </cell>
          <cell r="F210">
            <v>5729986.5800000001</v>
          </cell>
        </row>
        <row r="211">
          <cell r="A211" t="str">
            <v>8.001.000.0000</v>
          </cell>
          <cell r="B211" t="str">
            <v>OFICINAS CENTRALES</v>
          </cell>
          <cell r="C211">
            <v>5439428.8099999996</v>
          </cell>
          <cell r="D211">
            <v>1529546.86</v>
          </cell>
          <cell r="E211">
            <v>1238989.0900000001</v>
          </cell>
          <cell r="F211">
            <v>5729986.5800000001</v>
          </cell>
        </row>
        <row r="212">
          <cell r="A212" t="str">
            <v>8.001.211.0000</v>
          </cell>
          <cell r="B212" t="str">
            <v>DEPTO VARIOS</v>
          </cell>
          <cell r="C212">
            <v>5439428.8099999996</v>
          </cell>
          <cell r="D212">
            <v>1529546.86</v>
          </cell>
          <cell r="E212">
            <v>1238989.0900000001</v>
          </cell>
          <cell r="F212">
            <v>5729986.5800000001</v>
          </cell>
        </row>
        <row r="213">
          <cell r="A213" t="str">
            <v>1.001.001.0001</v>
          </cell>
          <cell r="B213" t="str">
            <v>Caja General Central</v>
          </cell>
          <cell r="C213">
            <v>974999.58</v>
          </cell>
          <cell r="D213">
            <v>32144754.539999999</v>
          </cell>
          <cell r="E213">
            <v>32813209.309999999</v>
          </cell>
          <cell r="F213">
            <v>306544.81</v>
          </cell>
        </row>
        <row r="214">
          <cell r="A214" t="str">
            <v>1.001.001.0002</v>
          </cell>
          <cell r="B214" t="str">
            <v>Caja General Tívoli</v>
          </cell>
          <cell r="C214">
            <v>2465.52</v>
          </cell>
          <cell r="D214">
            <v>175004.83</v>
          </cell>
          <cell r="E214">
            <v>164994.26999999999</v>
          </cell>
          <cell r="F214">
            <v>12476.08</v>
          </cell>
        </row>
        <row r="215">
          <cell r="A215" t="str">
            <v>1.001.001.0003</v>
          </cell>
          <cell r="B215" t="str">
            <v>Caja General Terminal</v>
          </cell>
          <cell r="C215">
            <v>1365.42</v>
          </cell>
          <cell r="D215">
            <v>205610.8</v>
          </cell>
          <cell r="E215">
            <v>193892.24</v>
          </cell>
          <cell r="F215">
            <v>13083.98</v>
          </cell>
        </row>
        <row r="216">
          <cell r="A216" t="str">
            <v>1.001.001.0004</v>
          </cell>
          <cell r="B216" t="str">
            <v>Caja General Castaño</v>
          </cell>
          <cell r="C216">
            <v>4128.05</v>
          </cell>
          <cell r="D216">
            <v>80476.75</v>
          </cell>
          <cell r="E216">
            <v>77074.61</v>
          </cell>
          <cell r="F216">
            <v>7530.19</v>
          </cell>
        </row>
        <row r="217">
          <cell r="A217" t="str">
            <v>1.001.001.0005</v>
          </cell>
          <cell r="B217" t="str">
            <v>Caja General Torre</v>
          </cell>
          <cell r="C217">
            <v>652.82000000000005</v>
          </cell>
          <cell r="D217">
            <v>2953383.76</v>
          </cell>
          <cell r="E217">
            <v>2790149.61</v>
          </cell>
          <cell r="F217">
            <v>163886.97</v>
          </cell>
        </row>
        <row r="218">
          <cell r="A218" t="str">
            <v>1.001.001.0006</v>
          </cell>
          <cell r="B218" t="str">
            <v>Caja General Pradera</v>
          </cell>
          <cell r="C218">
            <v>12641.01</v>
          </cell>
          <cell r="D218">
            <v>4928445.9400000004</v>
          </cell>
          <cell r="E218">
            <v>4494670.7300000004</v>
          </cell>
          <cell r="F218">
            <v>446416.22</v>
          </cell>
        </row>
        <row r="219">
          <cell r="A219" t="str">
            <v>1.001.001.0008</v>
          </cell>
          <cell r="B219" t="str">
            <v>Caja Dólares</v>
          </cell>
          <cell r="C219">
            <v>151807.38</v>
          </cell>
          <cell r="D219">
            <v>426606.59</v>
          </cell>
          <cell r="E219">
            <v>359239.2</v>
          </cell>
          <cell r="F219">
            <v>219174.77</v>
          </cell>
        </row>
        <row r="220">
          <cell r="A220" t="str">
            <v>1.001.002.0001</v>
          </cell>
          <cell r="B220" t="str">
            <v>Caja Chica Caja General</v>
          </cell>
          <cell r="C220">
            <v>2500</v>
          </cell>
          <cell r="F220">
            <v>2500</v>
          </cell>
        </row>
        <row r="221">
          <cell r="A221" t="str">
            <v>1.001.002.0003</v>
          </cell>
          <cell r="B221" t="str">
            <v>Caja Chica Gastos Placas</v>
          </cell>
          <cell r="C221">
            <v>11000</v>
          </cell>
          <cell r="F221">
            <v>11000</v>
          </cell>
        </row>
        <row r="222">
          <cell r="A222" t="str">
            <v>1.001.002.0004</v>
          </cell>
          <cell r="B222" t="str">
            <v>Caja Chica Gastos Contabilidad</v>
          </cell>
          <cell r="C222">
            <v>800</v>
          </cell>
          <cell r="F222">
            <v>800</v>
          </cell>
        </row>
        <row r="223">
          <cell r="A223" t="str">
            <v>1.001.002.0005</v>
          </cell>
          <cell r="B223" t="str">
            <v>Caja Chica Gastos Gerencia Ventas</v>
          </cell>
          <cell r="C223">
            <v>500</v>
          </cell>
          <cell r="F223">
            <v>500</v>
          </cell>
        </row>
        <row r="224">
          <cell r="A224" t="str">
            <v>1.001.002.0006</v>
          </cell>
          <cell r="B224" t="str">
            <v>Caja Chica Tívoli</v>
          </cell>
          <cell r="C224">
            <v>1300</v>
          </cell>
          <cell r="F224">
            <v>1300</v>
          </cell>
        </row>
        <row r="225">
          <cell r="A225" t="str">
            <v>1.001.002.0007</v>
          </cell>
          <cell r="B225" t="str">
            <v>Caja Chica Gastos Repuestos</v>
          </cell>
          <cell r="C225">
            <v>2000</v>
          </cell>
          <cell r="F225">
            <v>2000</v>
          </cell>
        </row>
        <row r="226">
          <cell r="A226" t="str">
            <v>1.001.002.0008</v>
          </cell>
          <cell r="B226" t="str">
            <v>Caja Chica Castaño</v>
          </cell>
          <cell r="C226">
            <v>500</v>
          </cell>
          <cell r="F226">
            <v>500</v>
          </cell>
        </row>
        <row r="227">
          <cell r="A227" t="str">
            <v>1.001.002.0009</v>
          </cell>
          <cell r="B227" t="str">
            <v>Caja Chica Gastos Gerencia</v>
          </cell>
          <cell r="C227">
            <v>500</v>
          </cell>
          <cell r="F227">
            <v>500</v>
          </cell>
        </row>
        <row r="228">
          <cell r="A228" t="str">
            <v>1.001.002.0010</v>
          </cell>
          <cell r="B228" t="str">
            <v>Caja Chica Canjes</v>
          </cell>
          <cell r="C228">
            <v>1000</v>
          </cell>
          <cell r="F228">
            <v>1000</v>
          </cell>
        </row>
        <row r="229">
          <cell r="A229" t="str">
            <v>1.001.002.0011</v>
          </cell>
          <cell r="B229" t="str">
            <v>Caja Chica La Torre</v>
          </cell>
          <cell r="C229">
            <v>1000</v>
          </cell>
          <cell r="F229">
            <v>1000</v>
          </cell>
        </row>
        <row r="230">
          <cell r="A230" t="str">
            <v>1.001.002.0013</v>
          </cell>
          <cell r="B230" t="str">
            <v>Caja Chica La Pradera</v>
          </cell>
          <cell r="C230">
            <v>1000</v>
          </cell>
          <cell r="F230">
            <v>1000</v>
          </cell>
        </row>
        <row r="231">
          <cell r="A231" t="str">
            <v>1.001.002.0014</v>
          </cell>
          <cell r="B231" t="str">
            <v>Caja Chica Gastos La Pradera</v>
          </cell>
          <cell r="C231">
            <v>500</v>
          </cell>
          <cell r="F231">
            <v>500</v>
          </cell>
        </row>
        <row r="232">
          <cell r="A232" t="str">
            <v>1.001.002.0015</v>
          </cell>
          <cell r="B232" t="str">
            <v>Caja Chica Terminal</v>
          </cell>
          <cell r="C232">
            <v>500</v>
          </cell>
          <cell r="F232">
            <v>500</v>
          </cell>
        </row>
        <row r="233">
          <cell r="A233" t="str">
            <v>1.001.003.0001</v>
          </cell>
          <cell r="B233" t="str">
            <v>Cheques Pre-fechados</v>
          </cell>
          <cell r="C233">
            <v>2865845.77</v>
          </cell>
          <cell r="D233">
            <v>398054.71</v>
          </cell>
          <cell r="F233">
            <v>3263900.48</v>
          </cell>
        </row>
        <row r="234">
          <cell r="A234" t="str">
            <v>1.001.004.0002</v>
          </cell>
          <cell r="B234" t="str">
            <v>Banco Granai &amp; Townson, S.A.</v>
          </cell>
          <cell r="C234">
            <v>644269.91</v>
          </cell>
          <cell r="D234">
            <v>8068508.04</v>
          </cell>
          <cell r="E234">
            <v>8298372.8200000003</v>
          </cell>
          <cell r="F234">
            <v>414405.13</v>
          </cell>
        </row>
        <row r="235">
          <cell r="A235" t="str">
            <v>1.001.004.0005</v>
          </cell>
          <cell r="B235" t="str">
            <v>Banco Industrial, S.A.</v>
          </cell>
          <cell r="C235">
            <v>97795.29</v>
          </cell>
          <cell r="D235">
            <v>1379958.59</v>
          </cell>
          <cell r="E235">
            <v>1477753.88</v>
          </cell>
          <cell r="F235">
            <v>0</v>
          </cell>
        </row>
        <row r="236">
          <cell r="A236" t="str">
            <v>1.001.004.0008</v>
          </cell>
          <cell r="B236" t="str">
            <v>LLoyds Bank Plc.</v>
          </cell>
          <cell r="C236">
            <v>82940.58</v>
          </cell>
          <cell r="D236">
            <v>53949.83</v>
          </cell>
          <cell r="E236">
            <v>100000</v>
          </cell>
          <cell r="F236">
            <v>36890.410000000003</v>
          </cell>
        </row>
        <row r="237">
          <cell r="A237" t="str">
            <v>1.001.004.0011</v>
          </cell>
          <cell r="B237" t="str">
            <v>Banco de Occidente, S.A.</v>
          </cell>
          <cell r="C237">
            <v>94144.3</v>
          </cell>
          <cell r="D237">
            <v>3561.64</v>
          </cell>
          <cell r="E237">
            <v>80000</v>
          </cell>
          <cell r="F237">
            <v>17705.939999999999</v>
          </cell>
        </row>
        <row r="238">
          <cell r="A238" t="str">
            <v>1.001.004.0014</v>
          </cell>
          <cell r="B238" t="str">
            <v>Banco Continental, S.A.</v>
          </cell>
          <cell r="C238">
            <v>1992662.82</v>
          </cell>
          <cell r="D238">
            <v>27955847.149999999</v>
          </cell>
          <cell r="E238">
            <v>28750320.77</v>
          </cell>
          <cell r="F238">
            <v>1198189.2</v>
          </cell>
        </row>
        <row r="239">
          <cell r="A239" t="str">
            <v>1.001.004.0015</v>
          </cell>
          <cell r="B239" t="str">
            <v>Multibanco, S.A.</v>
          </cell>
          <cell r="C239">
            <v>378109.64</v>
          </cell>
          <cell r="D239">
            <v>916077.14</v>
          </cell>
          <cell r="E239">
            <v>1160993.1399999999</v>
          </cell>
          <cell r="F239">
            <v>133193.64000000001</v>
          </cell>
        </row>
        <row r="240">
          <cell r="A240" t="str">
            <v>1.001.004.0016</v>
          </cell>
          <cell r="B240" t="str">
            <v>Transf. Bancarias en Tránsito</v>
          </cell>
          <cell r="C240">
            <v>421720</v>
          </cell>
          <cell r="D240">
            <v>33169893.07</v>
          </cell>
          <cell r="E240">
            <v>8197651.7199999997</v>
          </cell>
          <cell r="F240">
            <v>25393961.350000001</v>
          </cell>
        </row>
        <row r="241">
          <cell r="A241" t="str">
            <v>1.001.004.0018</v>
          </cell>
          <cell r="B241" t="str">
            <v>Banco del Agro, S.A.</v>
          </cell>
          <cell r="C241">
            <v>30324.77</v>
          </cell>
          <cell r="D241">
            <v>480350.37</v>
          </cell>
          <cell r="E241">
            <v>300000</v>
          </cell>
          <cell r="F241">
            <v>210675.14</v>
          </cell>
        </row>
        <row r="242">
          <cell r="A242" t="str">
            <v>1.001.004.0019</v>
          </cell>
          <cell r="B242" t="str">
            <v>Banco Cuscatlán</v>
          </cell>
          <cell r="C242">
            <v>88608.04</v>
          </cell>
          <cell r="D242">
            <v>142.04</v>
          </cell>
          <cell r="E242">
            <v>80000</v>
          </cell>
          <cell r="F242">
            <v>8750.08</v>
          </cell>
        </row>
        <row r="243">
          <cell r="A243" t="str">
            <v>1.001.004.0020</v>
          </cell>
          <cell r="B243" t="str">
            <v>Banco de América Central</v>
          </cell>
          <cell r="C243">
            <v>115749.41</v>
          </cell>
          <cell r="D243">
            <v>176627.36</v>
          </cell>
          <cell r="E243">
            <v>281353.11</v>
          </cell>
          <cell r="F243">
            <v>11023.66</v>
          </cell>
        </row>
        <row r="244">
          <cell r="A244" t="str">
            <v>1.001.004.0021</v>
          </cell>
          <cell r="B244" t="str">
            <v>Banco de Desarrollo Rural, S.A.</v>
          </cell>
          <cell r="C244">
            <v>25788.05</v>
          </cell>
          <cell r="D244">
            <v>345208.23</v>
          </cell>
          <cell r="E244">
            <v>288271.94</v>
          </cell>
          <cell r="F244">
            <v>82724.34</v>
          </cell>
        </row>
        <row r="245">
          <cell r="A245" t="str">
            <v>1.001.004.0022</v>
          </cell>
          <cell r="B245" t="str">
            <v>Banco de la República</v>
          </cell>
          <cell r="C245">
            <v>14142.85</v>
          </cell>
          <cell r="D245">
            <v>207494.91</v>
          </cell>
          <cell r="E245">
            <v>80000</v>
          </cell>
          <cell r="F245">
            <v>141637.76000000001</v>
          </cell>
        </row>
        <row r="246">
          <cell r="A246" t="str">
            <v>1.001.004.0024</v>
          </cell>
          <cell r="B246" t="str">
            <v>Banco Cuscatlán AHORRO(US$ DOLARES)</v>
          </cell>
          <cell r="C246">
            <v>1117820.46</v>
          </cell>
          <cell r="D246">
            <v>1123452.55</v>
          </cell>
          <cell r="E246">
            <v>2231207.5699999998</v>
          </cell>
          <cell r="F246">
            <v>10065.44</v>
          </cell>
        </row>
        <row r="247">
          <cell r="A247" t="str">
            <v>1.001.004.0025</v>
          </cell>
          <cell r="B247" t="str">
            <v>Banco Cuscatlán DM(US$ DOLARES)</v>
          </cell>
          <cell r="C247">
            <v>26361.98</v>
          </cell>
          <cell r="D247">
            <v>18.93</v>
          </cell>
          <cell r="E247">
            <v>21000</v>
          </cell>
          <cell r="F247">
            <v>5380.91</v>
          </cell>
        </row>
        <row r="248">
          <cell r="A248" t="str">
            <v>1.001.004.0026</v>
          </cell>
          <cell r="B248" t="str">
            <v>Fondo Banco Cuscatlán, S.A.</v>
          </cell>
          <cell r="C248">
            <v>7787992.2000000002</v>
          </cell>
          <cell r="D248">
            <v>7618028.4000000004</v>
          </cell>
          <cell r="E248">
            <v>15301504.26</v>
          </cell>
          <cell r="F248">
            <v>104516.34</v>
          </cell>
        </row>
        <row r="249">
          <cell r="A249" t="str">
            <v>1.001.006.0004</v>
          </cell>
          <cell r="B249" t="str">
            <v>Banco 4</v>
          </cell>
          <cell r="C249">
            <v>185634.55</v>
          </cell>
          <cell r="D249">
            <v>28222.74</v>
          </cell>
          <cell r="E249">
            <v>1100.99</v>
          </cell>
          <cell r="F249">
            <v>212756.3</v>
          </cell>
        </row>
        <row r="250">
          <cell r="A250" t="str">
            <v>1.001.007.0001</v>
          </cell>
          <cell r="B250" t="str">
            <v>Cuentas Por Cobrar Autos Nuevos</v>
          </cell>
          <cell r="C250">
            <v>27271451.260000002</v>
          </cell>
          <cell r="D250">
            <v>35041088.939999998</v>
          </cell>
          <cell r="E250">
            <v>35407698.380000003</v>
          </cell>
          <cell r="F250">
            <v>26904841.82</v>
          </cell>
        </row>
        <row r="251">
          <cell r="A251" t="str">
            <v>1.001.007.0003</v>
          </cell>
          <cell r="B251" t="str">
            <v>Cuentas Por Cobrar Repuestos</v>
          </cell>
          <cell r="C251">
            <v>2821790.74</v>
          </cell>
          <cell r="D251">
            <v>2787399.65</v>
          </cell>
          <cell r="E251">
            <v>3933366.34</v>
          </cell>
          <cell r="F251">
            <v>1675824.05</v>
          </cell>
        </row>
        <row r="252">
          <cell r="A252" t="str">
            <v>1.001.008.0003</v>
          </cell>
          <cell r="B252" t="str">
            <v>Mitsubishi Motors Corp.-Repuestos</v>
          </cell>
          <cell r="C252">
            <v>2386094.02</v>
          </cell>
          <cell r="D252">
            <v>787500</v>
          </cell>
          <cell r="E252">
            <v>897519.42</v>
          </cell>
          <cell r="F252">
            <v>2276074.6</v>
          </cell>
        </row>
        <row r="253">
          <cell r="A253" t="str">
            <v>1.001.008.0004</v>
          </cell>
          <cell r="B253" t="str">
            <v>NGK Corporation</v>
          </cell>
          <cell r="C253">
            <v>108105.8</v>
          </cell>
          <cell r="D253">
            <v>830649.36</v>
          </cell>
          <cell r="E253">
            <v>112362.54</v>
          </cell>
          <cell r="F253">
            <v>826392.62</v>
          </cell>
        </row>
        <row r="254">
          <cell r="A254" t="str">
            <v>1.001.008.0005</v>
          </cell>
          <cell r="B254" t="str">
            <v>Mitsubishi Motors Sales Of Caribbea</v>
          </cell>
          <cell r="C254">
            <v>9091.02</v>
          </cell>
          <cell r="E254">
            <v>46.8</v>
          </cell>
          <cell r="F254">
            <v>9044.2199999999993</v>
          </cell>
        </row>
        <row r="255">
          <cell r="A255" t="str">
            <v>1.001.008.0006</v>
          </cell>
          <cell r="B255" t="str">
            <v>Hyundai Mobis</v>
          </cell>
          <cell r="C255">
            <v>213319.17</v>
          </cell>
          <cell r="E255">
            <v>103518.05</v>
          </cell>
          <cell r="F255">
            <v>109801.12</v>
          </cell>
        </row>
        <row r="256">
          <cell r="A256" t="str">
            <v>1.001.008.0007</v>
          </cell>
          <cell r="B256" t="str">
            <v>Iti Inter-trade Industrial Inc.</v>
          </cell>
          <cell r="C256">
            <v>72994.039999999994</v>
          </cell>
          <cell r="E256">
            <v>72994.039999999994</v>
          </cell>
          <cell r="F256">
            <v>0</v>
          </cell>
        </row>
        <row r="257">
          <cell r="A257" t="str">
            <v>1.001.008.0008</v>
          </cell>
          <cell r="B257" t="str">
            <v>Motorix International Inc (Filtros)</v>
          </cell>
          <cell r="C257">
            <v>7806.6</v>
          </cell>
          <cell r="E257">
            <v>40.19</v>
          </cell>
          <cell r="F257">
            <v>7766.41</v>
          </cell>
        </row>
        <row r="258">
          <cell r="A258" t="str">
            <v>1.001.009.0001</v>
          </cell>
          <cell r="B258" t="str">
            <v>Cheques Rechazados Varios</v>
          </cell>
          <cell r="C258">
            <v>276818.96000000002</v>
          </cell>
          <cell r="D258">
            <v>1424560.48</v>
          </cell>
          <cell r="E258">
            <v>912093.02</v>
          </cell>
          <cell r="F258">
            <v>789286.42</v>
          </cell>
        </row>
        <row r="259">
          <cell r="A259" t="str">
            <v>1.001.010.0007</v>
          </cell>
          <cell r="B259" t="str">
            <v>Automax, S.A. de C.V.</v>
          </cell>
          <cell r="C259">
            <v>3836</v>
          </cell>
          <cell r="D259">
            <v>3900</v>
          </cell>
          <cell r="E259">
            <v>3836</v>
          </cell>
          <cell r="F259">
            <v>3900</v>
          </cell>
        </row>
        <row r="260">
          <cell r="A260" t="str">
            <v>1.001.011.0002</v>
          </cell>
          <cell r="B260" t="str">
            <v>Cuentas Por Cobrar Ecosa</v>
          </cell>
          <cell r="C260">
            <v>1294771.29</v>
          </cell>
          <cell r="F260">
            <v>1294771.29</v>
          </cell>
        </row>
        <row r="261">
          <cell r="A261" t="str">
            <v>1.001.011.0003</v>
          </cell>
          <cell r="B261" t="str">
            <v>Cuentas Por Cobrar Servitalleres</v>
          </cell>
          <cell r="C261">
            <v>635015.9</v>
          </cell>
          <cell r="F261">
            <v>635015.9</v>
          </cell>
        </row>
        <row r="262">
          <cell r="A262" t="str">
            <v>1.001.012.0001</v>
          </cell>
          <cell r="B262" t="str">
            <v>Credomatic de Guatemala, S.A.</v>
          </cell>
          <cell r="C262">
            <v>1652.49</v>
          </cell>
          <cell r="D262">
            <v>9309.6299999999992</v>
          </cell>
          <cell r="E262">
            <v>9452.92</v>
          </cell>
          <cell r="F262">
            <v>1509.2</v>
          </cell>
        </row>
        <row r="263">
          <cell r="A263" t="str">
            <v>1.001.012.0004</v>
          </cell>
          <cell r="B263" t="str">
            <v>Diversas</v>
          </cell>
          <cell r="C263">
            <v>652509.85</v>
          </cell>
          <cell r="D263">
            <v>2994071.78</v>
          </cell>
          <cell r="E263">
            <v>1567842.72</v>
          </cell>
          <cell r="F263">
            <v>2078738.91</v>
          </cell>
        </row>
        <row r="264">
          <cell r="A264" t="str">
            <v>1.001.012.0005</v>
          </cell>
          <cell r="B264" t="str">
            <v>Intered</v>
          </cell>
          <cell r="C264">
            <v>7146.53</v>
          </cell>
          <cell r="D264">
            <v>8707.42</v>
          </cell>
          <cell r="E264">
            <v>12415.85</v>
          </cell>
          <cell r="F264">
            <v>3438.1</v>
          </cell>
        </row>
        <row r="265">
          <cell r="A265" t="str">
            <v>1.001.012.0015</v>
          </cell>
          <cell r="B265" t="str">
            <v>Corporación de Inversiones, S.A.</v>
          </cell>
          <cell r="C265">
            <v>376101.87</v>
          </cell>
          <cell r="D265">
            <v>3500</v>
          </cell>
          <cell r="E265">
            <v>379601.87</v>
          </cell>
          <cell r="F265">
            <v>0</v>
          </cell>
        </row>
        <row r="266">
          <cell r="A266" t="str">
            <v>1.001.013.0001</v>
          </cell>
          <cell r="B266" t="str">
            <v>Anticipo Quincenal</v>
          </cell>
          <cell r="C266">
            <v>0</v>
          </cell>
          <cell r="D266">
            <v>172539.05</v>
          </cell>
          <cell r="E266">
            <v>172539.05</v>
          </cell>
          <cell r="F266">
            <v>0</v>
          </cell>
        </row>
        <row r="267">
          <cell r="A267" t="str">
            <v>1.001.013.0002</v>
          </cell>
          <cell r="B267" t="str">
            <v>Anticipos de Sueldos a Empleados</v>
          </cell>
          <cell r="C267">
            <v>9775</v>
          </cell>
          <cell r="D267">
            <v>23475.01</v>
          </cell>
          <cell r="E267">
            <v>25844.34</v>
          </cell>
          <cell r="F267">
            <v>7405.67</v>
          </cell>
        </row>
        <row r="268">
          <cell r="A268" t="str">
            <v>1.001.015.0001</v>
          </cell>
          <cell r="B268" t="str">
            <v>IVA Por Cobrar</v>
          </cell>
          <cell r="C268">
            <v>0</v>
          </cell>
          <cell r="D268">
            <v>735961.53</v>
          </cell>
          <cell r="E268">
            <v>735961.53</v>
          </cell>
          <cell r="F268">
            <v>0</v>
          </cell>
        </row>
        <row r="269">
          <cell r="A269" t="str">
            <v>1.001.015.0002</v>
          </cell>
          <cell r="B269" t="str">
            <v>IVA Importaciones</v>
          </cell>
          <cell r="C269">
            <v>0</v>
          </cell>
          <cell r="D269">
            <v>2551242.85</v>
          </cell>
          <cell r="E269">
            <v>2551242.85</v>
          </cell>
          <cell r="F269">
            <v>0</v>
          </cell>
        </row>
        <row r="270">
          <cell r="A270" t="str">
            <v>1.001.015.0004</v>
          </cell>
          <cell r="B270" t="str">
            <v>ISR Pagos a Cuenta</v>
          </cell>
          <cell r="C270">
            <v>2662148.23</v>
          </cell>
          <cell r="F270">
            <v>2662148.23</v>
          </cell>
        </row>
        <row r="271">
          <cell r="A271" t="str">
            <v>1.001.015.0006</v>
          </cell>
          <cell r="B271" t="str">
            <v>IVA Constancias</v>
          </cell>
          <cell r="C271">
            <v>38460.28</v>
          </cell>
          <cell r="D271">
            <v>131235.5</v>
          </cell>
          <cell r="E271">
            <v>61142.080000000002</v>
          </cell>
          <cell r="F271">
            <v>108553.7</v>
          </cell>
        </row>
        <row r="272">
          <cell r="A272" t="str">
            <v>1.001.015.0010</v>
          </cell>
          <cell r="B272" t="str">
            <v>Impto. Empresas Mercantiles 2003</v>
          </cell>
          <cell r="C272">
            <v>2778121.69</v>
          </cell>
          <cell r="F272">
            <v>2778121.69</v>
          </cell>
        </row>
        <row r="273">
          <cell r="A273" t="str">
            <v>1.001.020.0001</v>
          </cell>
          <cell r="B273" t="str">
            <v>Previsión Ctas.Incobrables (Prov.)</v>
          </cell>
          <cell r="C273">
            <v>-790124.53</v>
          </cell>
          <cell r="F273">
            <v>-790124.53</v>
          </cell>
        </row>
        <row r="274">
          <cell r="A274" t="str">
            <v>1.001.025.0001</v>
          </cell>
          <cell r="B274" t="str">
            <v>Gastos Anticipados</v>
          </cell>
          <cell r="C274">
            <v>879049.87</v>
          </cell>
          <cell r="D274">
            <v>584316.14</v>
          </cell>
          <cell r="E274">
            <v>765261.87</v>
          </cell>
          <cell r="F274">
            <v>698104.14</v>
          </cell>
        </row>
        <row r="275">
          <cell r="A275" t="str">
            <v>1.001.025.0005</v>
          </cell>
          <cell r="B275" t="str">
            <v>Publicidad Anticipada -Varios-</v>
          </cell>
          <cell r="C275">
            <v>158438.6</v>
          </cell>
          <cell r="F275">
            <v>158438.6</v>
          </cell>
        </row>
        <row r="276">
          <cell r="A276" t="str">
            <v>1.001.025.0007</v>
          </cell>
          <cell r="B276" t="str">
            <v>Gtos Anticipados Cartas de Crédito</v>
          </cell>
          <cell r="C276">
            <v>268613.36</v>
          </cell>
          <cell r="D276">
            <v>687045.99</v>
          </cell>
          <cell r="E276">
            <v>608518.52</v>
          </cell>
          <cell r="F276">
            <v>347140.83</v>
          </cell>
        </row>
        <row r="277">
          <cell r="A277" t="str">
            <v>1.002.001.0001</v>
          </cell>
          <cell r="B277" t="str">
            <v>Inventario Repuestos Central</v>
          </cell>
          <cell r="C277">
            <v>8476222.4399999995</v>
          </cell>
          <cell r="D277">
            <v>2001779.55</v>
          </cell>
          <cell r="E277">
            <v>2549430.4300000002</v>
          </cell>
          <cell r="F277">
            <v>7928571.5599999996</v>
          </cell>
        </row>
        <row r="278">
          <cell r="A278" t="str">
            <v>1.002.001.0002</v>
          </cell>
          <cell r="B278" t="str">
            <v>Inventario Repuestos Tivoli</v>
          </cell>
          <cell r="C278">
            <v>832341.71</v>
          </cell>
          <cell r="D278">
            <v>786922.99</v>
          </cell>
          <cell r="E278">
            <v>762789.24</v>
          </cell>
          <cell r="F278">
            <v>856475.46</v>
          </cell>
        </row>
        <row r="279">
          <cell r="A279" t="str">
            <v>1.002.001.0003</v>
          </cell>
          <cell r="B279" t="str">
            <v>Inventario Repuestos Terminal</v>
          </cell>
          <cell r="C279">
            <v>354001.75</v>
          </cell>
          <cell r="D279">
            <v>201832.78</v>
          </cell>
          <cell r="E279">
            <v>210703.31</v>
          </cell>
          <cell r="F279">
            <v>345131.22</v>
          </cell>
        </row>
        <row r="280">
          <cell r="A280" t="str">
            <v>1.002.001.0004</v>
          </cell>
          <cell r="B280" t="str">
            <v>Inventario Repuestos Castaño</v>
          </cell>
          <cell r="C280">
            <v>218389.29</v>
          </cell>
          <cell r="D280">
            <v>114403.04</v>
          </cell>
          <cell r="E280">
            <v>102459.92</v>
          </cell>
          <cell r="F280">
            <v>230332.41</v>
          </cell>
        </row>
        <row r="281">
          <cell r="A281" t="str">
            <v>1.002.001.0005</v>
          </cell>
          <cell r="B281" t="str">
            <v>Inventario Repuestos La Torre</v>
          </cell>
          <cell r="C281">
            <v>284381.40000000002</v>
          </cell>
          <cell r="D281">
            <v>202639.29</v>
          </cell>
          <cell r="E281">
            <v>216515.55</v>
          </cell>
          <cell r="F281">
            <v>270505.14</v>
          </cell>
        </row>
        <row r="282">
          <cell r="A282" t="str">
            <v>1.002.001.0006</v>
          </cell>
          <cell r="B282" t="str">
            <v>Inventario Repuestos Pradera</v>
          </cell>
          <cell r="C282">
            <v>291661.71000000002</v>
          </cell>
          <cell r="D282">
            <v>200089.64</v>
          </cell>
          <cell r="E282">
            <v>215210.08</v>
          </cell>
          <cell r="F282">
            <v>276541.27</v>
          </cell>
        </row>
        <row r="283">
          <cell r="A283" t="str">
            <v>1.002.003.0001</v>
          </cell>
          <cell r="B283" t="str">
            <v>Inventario Autos Usados Propios</v>
          </cell>
          <cell r="C283">
            <v>2380500</v>
          </cell>
          <cell r="D283">
            <v>2603000</v>
          </cell>
          <cell r="E283">
            <v>2810000</v>
          </cell>
          <cell r="F283">
            <v>2173500</v>
          </cell>
        </row>
        <row r="284">
          <cell r="A284" t="str">
            <v>1.002.003.0020</v>
          </cell>
          <cell r="B284" t="str">
            <v>Inventario de Vehículos Nuevos</v>
          </cell>
          <cell r="C284">
            <v>15694612.189999999</v>
          </cell>
          <cell r="D284">
            <v>23314092.23</v>
          </cell>
          <cell r="E284">
            <v>25163791.440000001</v>
          </cell>
          <cell r="F284">
            <v>13844912.98</v>
          </cell>
        </row>
        <row r="285">
          <cell r="A285" t="str">
            <v>1.002.004.0001</v>
          </cell>
          <cell r="B285" t="str">
            <v>Mercaderías en Camino Autos</v>
          </cell>
          <cell r="C285">
            <v>15750360.859999999</v>
          </cell>
          <cell r="D285">
            <v>13852979.35</v>
          </cell>
          <cell r="E285">
            <v>17498940.460000001</v>
          </cell>
          <cell r="F285">
            <v>12104399.75</v>
          </cell>
        </row>
        <row r="286">
          <cell r="A286" t="str">
            <v>1.002.004.0002</v>
          </cell>
          <cell r="B286" t="str">
            <v>Mercaderías en Camino Camiones</v>
          </cell>
          <cell r="C286">
            <v>2890783.72</v>
          </cell>
          <cell r="D286">
            <v>930576.29</v>
          </cell>
          <cell r="E286">
            <v>1269674.8</v>
          </cell>
          <cell r="F286">
            <v>2551685.21</v>
          </cell>
        </row>
        <row r="287">
          <cell r="A287" t="str">
            <v>1.002.004.0003</v>
          </cell>
          <cell r="B287" t="str">
            <v>Mercaderías en Camino Repuestos</v>
          </cell>
          <cell r="C287">
            <v>1004165.97</v>
          </cell>
          <cell r="D287">
            <v>867787.36</v>
          </cell>
          <cell r="E287">
            <v>1035485.75</v>
          </cell>
          <cell r="F287">
            <v>836467.58</v>
          </cell>
        </row>
        <row r="288">
          <cell r="A288" t="str">
            <v>1.003.001.0001</v>
          </cell>
          <cell r="B288" t="str">
            <v>Servicolt, S.A.</v>
          </cell>
          <cell r="C288">
            <v>106000</v>
          </cell>
          <cell r="F288">
            <v>106000</v>
          </cell>
        </row>
        <row r="289">
          <cell r="A289" t="str">
            <v>1.003.001.0002</v>
          </cell>
          <cell r="B289" t="str">
            <v>Equipos Comerciales, S.A.</v>
          </cell>
          <cell r="C289">
            <v>205000</v>
          </cell>
          <cell r="F289">
            <v>205000</v>
          </cell>
        </row>
        <row r="290">
          <cell r="A290" t="str">
            <v>1.003.001.0011</v>
          </cell>
          <cell r="B290" t="str">
            <v>Servitalleres, S.A.</v>
          </cell>
          <cell r="C290">
            <v>6000</v>
          </cell>
          <cell r="F290">
            <v>6000</v>
          </cell>
        </row>
        <row r="291">
          <cell r="A291" t="str">
            <v>1.003.002.0001</v>
          </cell>
          <cell r="B291" t="str">
            <v>Aguilar Batres Zona 11</v>
          </cell>
          <cell r="C291">
            <v>250000</v>
          </cell>
          <cell r="F291">
            <v>250000</v>
          </cell>
        </row>
        <row r="292">
          <cell r="A292" t="str">
            <v>1.003.002.0003</v>
          </cell>
          <cell r="B292" t="str">
            <v>10a.Calle 0-59 Zona 9</v>
          </cell>
          <cell r="C292">
            <v>717687.25</v>
          </cell>
          <cell r="F292">
            <v>717687.25</v>
          </cell>
        </row>
        <row r="293">
          <cell r="A293" t="str">
            <v>1.003.003.0001</v>
          </cell>
          <cell r="B293" t="str">
            <v>Aguilar Batres Zona 11</v>
          </cell>
          <cell r="C293">
            <v>108286.88</v>
          </cell>
          <cell r="F293">
            <v>108286.88</v>
          </cell>
        </row>
        <row r="294">
          <cell r="A294" t="str">
            <v>1.003.003.0003</v>
          </cell>
          <cell r="B294" t="str">
            <v>Tívoli Zona 9</v>
          </cell>
          <cell r="C294">
            <v>3569371.41</v>
          </cell>
          <cell r="F294">
            <v>3569371.41</v>
          </cell>
        </row>
        <row r="295">
          <cell r="A295" t="str">
            <v>1.003.003.0004</v>
          </cell>
          <cell r="B295" t="str">
            <v>Los Próceres</v>
          </cell>
          <cell r="C295">
            <v>6144005.9100000001</v>
          </cell>
          <cell r="F295">
            <v>6144005.9100000001</v>
          </cell>
        </row>
        <row r="296">
          <cell r="A296" t="str">
            <v>1.003.004.0001</v>
          </cell>
          <cell r="B296" t="str">
            <v>Aguilar Batres Zona 11</v>
          </cell>
          <cell r="C296">
            <v>563140.96</v>
          </cell>
          <cell r="F296">
            <v>563140.96</v>
          </cell>
        </row>
        <row r="297">
          <cell r="A297" t="str">
            <v>1.003.004.0002</v>
          </cell>
          <cell r="B297" t="str">
            <v>26 Calle Zona 11</v>
          </cell>
          <cell r="C297">
            <v>200550.25</v>
          </cell>
          <cell r="F297">
            <v>200550.25</v>
          </cell>
        </row>
        <row r="298">
          <cell r="A298" t="str">
            <v>1.003.005.0001</v>
          </cell>
          <cell r="B298" t="str">
            <v>Mobiliario y Equipo Ventas</v>
          </cell>
          <cell r="C298">
            <v>494353.93</v>
          </cell>
          <cell r="D298">
            <v>28587.96</v>
          </cell>
          <cell r="F298">
            <v>522941.89</v>
          </cell>
        </row>
        <row r="299">
          <cell r="A299" t="str">
            <v>1.003.005.0002</v>
          </cell>
          <cell r="B299" t="str">
            <v>Mobiliario y Equipo Repuestos</v>
          </cell>
          <cell r="C299">
            <v>335761.61</v>
          </cell>
          <cell r="F299">
            <v>335761.61</v>
          </cell>
        </row>
        <row r="300">
          <cell r="A300" t="str">
            <v>1.003.005.0003</v>
          </cell>
          <cell r="B300" t="str">
            <v>Mobiliario y Equipo Cartera</v>
          </cell>
          <cell r="C300">
            <v>6143.32</v>
          </cell>
          <cell r="F300">
            <v>6143.32</v>
          </cell>
        </row>
        <row r="301">
          <cell r="A301" t="str">
            <v>1.003.005.0004</v>
          </cell>
          <cell r="B301" t="str">
            <v>Mob.y Equipo Dirección-Gerencia</v>
          </cell>
          <cell r="C301">
            <v>149924.15</v>
          </cell>
          <cell r="D301">
            <v>19754.2</v>
          </cell>
          <cell r="F301">
            <v>169678.35</v>
          </cell>
        </row>
        <row r="302">
          <cell r="A302" t="str">
            <v>1.003.005.0005</v>
          </cell>
          <cell r="B302" t="str">
            <v>Mobiliario y Equipo Contabilidad</v>
          </cell>
          <cell r="C302">
            <v>76865.919999999998</v>
          </cell>
          <cell r="D302">
            <v>1532.14</v>
          </cell>
          <cell r="F302">
            <v>78398.06</v>
          </cell>
        </row>
        <row r="303">
          <cell r="A303" t="str">
            <v>1.003.005.0006</v>
          </cell>
          <cell r="B303" t="str">
            <v>Mobiliario y Equipo Auditoría</v>
          </cell>
          <cell r="C303">
            <v>17973.5</v>
          </cell>
          <cell r="F303">
            <v>17973.5</v>
          </cell>
        </row>
        <row r="304">
          <cell r="A304" t="str">
            <v>1.003.005.0007</v>
          </cell>
          <cell r="B304" t="str">
            <v>Mobiliario y Equipo Administración</v>
          </cell>
          <cell r="C304">
            <v>43734.5</v>
          </cell>
          <cell r="F304">
            <v>43734.5</v>
          </cell>
        </row>
        <row r="305">
          <cell r="A305" t="str">
            <v>1.003.005.0008</v>
          </cell>
          <cell r="B305" t="str">
            <v>Mobiliario y Equipo Cómputos</v>
          </cell>
          <cell r="C305">
            <v>22947.439999999999</v>
          </cell>
          <cell r="F305">
            <v>22947.439999999999</v>
          </cell>
        </row>
        <row r="306">
          <cell r="A306" t="str">
            <v>1.003.005.0010</v>
          </cell>
          <cell r="B306" t="str">
            <v>Mobiliario y Equipo Varios</v>
          </cell>
          <cell r="C306">
            <v>188244.32</v>
          </cell>
          <cell r="F306">
            <v>188244.32</v>
          </cell>
        </row>
        <row r="307">
          <cell r="A307" t="str">
            <v>1.003.005.0011</v>
          </cell>
          <cell r="B307" t="str">
            <v>Mobiliario y Equipo Pradera</v>
          </cell>
          <cell r="C307">
            <v>183769.36</v>
          </cell>
          <cell r="F307">
            <v>183769.36</v>
          </cell>
        </row>
        <row r="308">
          <cell r="A308" t="str">
            <v>1.003.005.0012</v>
          </cell>
          <cell r="B308" t="str">
            <v>Mobiliario y Equipo Flotas</v>
          </cell>
          <cell r="C308">
            <v>7359.07</v>
          </cell>
          <cell r="F308">
            <v>7359.07</v>
          </cell>
        </row>
        <row r="309">
          <cell r="A309" t="str">
            <v>1.003.006.0001</v>
          </cell>
          <cell r="B309" t="str">
            <v>Equipo Computación Ventas</v>
          </cell>
          <cell r="C309">
            <v>35094.370000000003</v>
          </cell>
          <cell r="D309">
            <v>11517.86</v>
          </cell>
          <cell r="F309">
            <v>46612.23</v>
          </cell>
        </row>
        <row r="310">
          <cell r="A310" t="str">
            <v>1.003.006.0002</v>
          </cell>
          <cell r="B310" t="str">
            <v>Equipo Computación Repuestos</v>
          </cell>
          <cell r="C310">
            <v>35012.75</v>
          </cell>
          <cell r="F310">
            <v>35012.75</v>
          </cell>
        </row>
        <row r="311">
          <cell r="A311" t="str">
            <v>1.003.006.0004</v>
          </cell>
          <cell r="B311" t="str">
            <v>Equipo Comput.Dirección-Gerencia</v>
          </cell>
          <cell r="C311">
            <v>25495.45</v>
          </cell>
          <cell r="F311">
            <v>25495.45</v>
          </cell>
        </row>
        <row r="312">
          <cell r="A312" t="str">
            <v>1.003.006.0006</v>
          </cell>
          <cell r="B312" t="str">
            <v>Equipo Computación Auditoría</v>
          </cell>
          <cell r="C312">
            <v>31830.36</v>
          </cell>
          <cell r="D312">
            <v>31203.75</v>
          </cell>
          <cell r="F312">
            <v>63034.11</v>
          </cell>
        </row>
        <row r="313">
          <cell r="A313" t="str">
            <v>1.003.006.0008</v>
          </cell>
          <cell r="B313" t="str">
            <v>Equipo Computación Cómputos</v>
          </cell>
          <cell r="C313">
            <v>3223897.39</v>
          </cell>
          <cell r="F313">
            <v>3223897.39</v>
          </cell>
        </row>
        <row r="314">
          <cell r="A314" t="str">
            <v>1.003.006.0010</v>
          </cell>
          <cell r="B314" t="str">
            <v>Equipo Computación Varios</v>
          </cell>
          <cell r="C314">
            <v>18190.91</v>
          </cell>
          <cell r="F314">
            <v>18190.91</v>
          </cell>
        </row>
        <row r="315">
          <cell r="A315" t="str">
            <v>1.003.007.0001</v>
          </cell>
          <cell r="B315" t="str">
            <v>Vehículos Ventas</v>
          </cell>
          <cell r="C315">
            <v>63908.19</v>
          </cell>
          <cell r="F315">
            <v>63908.19</v>
          </cell>
        </row>
        <row r="316">
          <cell r="A316" t="str">
            <v>1.003.007.0002</v>
          </cell>
          <cell r="B316" t="str">
            <v>Vehículos Repuestos</v>
          </cell>
          <cell r="C316">
            <v>248534.85</v>
          </cell>
          <cell r="D316">
            <v>11245.54</v>
          </cell>
          <cell r="F316">
            <v>259780.39</v>
          </cell>
        </row>
        <row r="317">
          <cell r="A317" t="str">
            <v>1.003.007.0003</v>
          </cell>
          <cell r="B317" t="str">
            <v>Vehículos Cartera-Cobros</v>
          </cell>
          <cell r="C317">
            <v>23000</v>
          </cell>
          <cell r="F317">
            <v>23000</v>
          </cell>
        </row>
        <row r="318">
          <cell r="A318" t="str">
            <v>1.003.007.0004</v>
          </cell>
          <cell r="B318" t="str">
            <v>Vehículos Dirección-Gerencia</v>
          </cell>
          <cell r="C318">
            <v>286300.68</v>
          </cell>
          <cell r="F318">
            <v>286300.68</v>
          </cell>
        </row>
        <row r="319">
          <cell r="A319" t="str">
            <v>1.003.007.0005</v>
          </cell>
          <cell r="B319" t="str">
            <v>Vehículos Contabilidad</v>
          </cell>
          <cell r="C319">
            <v>74000</v>
          </cell>
          <cell r="F319">
            <v>74000</v>
          </cell>
        </row>
        <row r="320">
          <cell r="A320" t="str">
            <v>1.003.007.0010</v>
          </cell>
          <cell r="B320" t="str">
            <v>Vehículos Varios</v>
          </cell>
          <cell r="C320">
            <v>135775.21</v>
          </cell>
          <cell r="F320">
            <v>135775.21</v>
          </cell>
        </row>
        <row r="321">
          <cell r="A321" t="str">
            <v>1.003.008.0001</v>
          </cell>
          <cell r="B321" t="str">
            <v>Maquinaria y Equipo Ventas</v>
          </cell>
          <cell r="C321">
            <v>98935.41</v>
          </cell>
          <cell r="F321">
            <v>98935.41</v>
          </cell>
        </row>
        <row r="322">
          <cell r="A322" t="str">
            <v>1.003.008.0002</v>
          </cell>
          <cell r="B322" t="str">
            <v>Maquinaria y Equipo Repuestos</v>
          </cell>
          <cell r="C322">
            <v>4566.7700000000004</v>
          </cell>
          <cell r="F322">
            <v>4566.7700000000004</v>
          </cell>
        </row>
        <row r="323">
          <cell r="A323" t="str">
            <v>1.003.008.0003</v>
          </cell>
          <cell r="B323" t="str">
            <v>Maquinaria y Equipo Tívoli</v>
          </cell>
          <cell r="C323">
            <v>424901.87</v>
          </cell>
          <cell r="F323">
            <v>424901.87</v>
          </cell>
        </row>
        <row r="324">
          <cell r="A324" t="str">
            <v>1.003.008.0004</v>
          </cell>
          <cell r="B324" t="str">
            <v>Maquinaria y Equipo Pradera</v>
          </cell>
          <cell r="C324">
            <v>137514.1</v>
          </cell>
          <cell r="F324">
            <v>137514.1</v>
          </cell>
        </row>
        <row r="325">
          <cell r="A325" t="str">
            <v>1.003.008.0005</v>
          </cell>
          <cell r="B325" t="str">
            <v>Maquinaria y Equipo Aguilar Batres</v>
          </cell>
          <cell r="C325">
            <v>25000</v>
          </cell>
          <cell r="F325">
            <v>25000</v>
          </cell>
        </row>
        <row r="326">
          <cell r="A326" t="str">
            <v>1.003.008.0006</v>
          </cell>
          <cell r="B326" t="str">
            <v>Maquinaria y Equipo Ensamblaje</v>
          </cell>
          <cell r="C326">
            <v>32049.71</v>
          </cell>
          <cell r="F326">
            <v>32049.71</v>
          </cell>
        </row>
        <row r="327">
          <cell r="A327" t="str">
            <v>1.003.009.0001</v>
          </cell>
          <cell r="B327" t="str">
            <v>Herramientas Ventas</v>
          </cell>
          <cell r="C327">
            <v>1772.73</v>
          </cell>
          <cell r="F327">
            <v>1772.73</v>
          </cell>
        </row>
        <row r="328">
          <cell r="A328" t="str">
            <v>1.003.009.0002</v>
          </cell>
          <cell r="B328" t="str">
            <v>Herramientas Tívoli</v>
          </cell>
          <cell r="C328">
            <v>822373.86</v>
          </cell>
          <cell r="F328">
            <v>822373.86</v>
          </cell>
        </row>
        <row r="329">
          <cell r="A329" t="str">
            <v>1.004.001.0001</v>
          </cell>
          <cell r="B329" t="str">
            <v>Dep.Acum.Edificios Aguilar Batres</v>
          </cell>
          <cell r="C329">
            <v>-106447.35</v>
          </cell>
          <cell r="E329">
            <v>10.6</v>
          </cell>
          <cell r="F329">
            <v>-106457.95</v>
          </cell>
        </row>
        <row r="330">
          <cell r="A330" t="str">
            <v>1.004.001.0003</v>
          </cell>
          <cell r="B330" t="str">
            <v>Dep.Acum.Edificios Tívoli</v>
          </cell>
          <cell r="C330">
            <v>-1958003.61</v>
          </cell>
          <cell r="E330">
            <v>14709.24</v>
          </cell>
          <cell r="F330">
            <v>-1972712.85</v>
          </cell>
        </row>
        <row r="331">
          <cell r="A331" t="str">
            <v>1.004.001.0004</v>
          </cell>
          <cell r="B331" t="str">
            <v>Dep.Acum.Edificios Pradera</v>
          </cell>
          <cell r="C331">
            <v>-736040.53</v>
          </cell>
          <cell r="E331">
            <v>25728.37</v>
          </cell>
          <cell r="F331">
            <v>-761768.9</v>
          </cell>
        </row>
        <row r="332">
          <cell r="A332" t="str">
            <v>1.004.002.0001</v>
          </cell>
          <cell r="B332" t="str">
            <v>Dep.Acum.Mej.Edif.Aguilar Batres</v>
          </cell>
          <cell r="C332">
            <v>-284407.18</v>
          </cell>
          <cell r="E332">
            <v>1975.45</v>
          </cell>
          <cell r="F332">
            <v>-286382.63</v>
          </cell>
        </row>
        <row r="333">
          <cell r="A333" t="str">
            <v>1.004.002.0002</v>
          </cell>
          <cell r="B333" t="str">
            <v>Dep.Acum.Mej.Edif.26 Calle</v>
          </cell>
          <cell r="C333">
            <v>-183204.84</v>
          </cell>
          <cell r="E333">
            <v>821.66</v>
          </cell>
          <cell r="F333">
            <v>-184026.5</v>
          </cell>
        </row>
        <row r="334">
          <cell r="A334" t="str">
            <v>1.004.003.0001</v>
          </cell>
          <cell r="B334" t="str">
            <v>Dep.Acum.Mob.y Equipo Ventas</v>
          </cell>
          <cell r="C334">
            <v>-334204.90000000002</v>
          </cell>
          <cell r="E334">
            <v>5480.47</v>
          </cell>
          <cell r="F334">
            <v>-339685.37</v>
          </cell>
        </row>
        <row r="335">
          <cell r="A335" t="str">
            <v>1.004.003.0002</v>
          </cell>
          <cell r="B335" t="str">
            <v>Dep.Acum.Mob.y Equipo Repuestos</v>
          </cell>
          <cell r="C335">
            <v>-296266.43</v>
          </cell>
          <cell r="E335">
            <v>1875.15</v>
          </cell>
          <cell r="F335">
            <v>-298141.58</v>
          </cell>
        </row>
        <row r="336">
          <cell r="A336" t="str">
            <v>1.004.003.0003</v>
          </cell>
          <cell r="B336" t="str">
            <v>Dep.Acum.Mob-Equipo Cartera-Cobros</v>
          </cell>
          <cell r="C336">
            <v>-4792.1400000000003</v>
          </cell>
          <cell r="E336">
            <v>68.37</v>
          </cell>
          <cell r="F336">
            <v>-4860.51</v>
          </cell>
        </row>
        <row r="337">
          <cell r="A337" t="str">
            <v>1.004.003.0004</v>
          </cell>
          <cell r="B337" t="str">
            <v>Dep.Acum.Mob-Equipo Direc-Gerencia</v>
          </cell>
          <cell r="C337">
            <v>-112991.89</v>
          </cell>
          <cell r="E337">
            <v>1150.75</v>
          </cell>
          <cell r="F337">
            <v>-114142.64</v>
          </cell>
        </row>
        <row r="338">
          <cell r="A338" t="str">
            <v>1.004.003.0005</v>
          </cell>
          <cell r="B338" t="str">
            <v>Dep.Acum.Mob.y Equipo Contabilidad</v>
          </cell>
          <cell r="C338">
            <v>-69650.13</v>
          </cell>
          <cell r="E338">
            <v>365.18</v>
          </cell>
          <cell r="F338">
            <v>-70015.31</v>
          </cell>
        </row>
        <row r="339">
          <cell r="A339" t="str">
            <v>1.004.003.0006</v>
          </cell>
          <cell r="B339" t="str">
            <v>Dep.Acum.Mob.y Equipo Auditoría</v>
          </cell>
          <cell r="C339">
            <v>-1269.51</v>
          </cell>
          <cell r="E339">
            <v>289.06</v>
          </cell>
          <cell r="F339">
            <v>-1558.57</v>
          </cell>
        </row>
        <row r="340">
          <cell r="A340" t="str">
            <v>1.004.003.0007</v>
          </cell>
          <cell r="B340" t="str">
            <v>Dep.Acum.Mob.y Equipo Admón.</v>
          </cell>
          <cell r="C340">
            <v>-36147</v>
          </cell>
          <cell r="E340">
            <v>640.66999999999996</v>
          </cell>
          <cell r="F340">
            <v>-36787.67</v>
          </cell>
        </row>
        <row r="341">
          <cell r="A341" t="str">
            <v>1.004.003.0008</v>
          </cell>
          <cell r="B341" t="str">
            <v>Dep.Acum.Mob.y Equipo Cómputos</v>
          </cell>
          <cell r="C341">
            <v>-15475.37</v>
          </cell>
          <cell r="E341">
            <v>378.1</v>
          </cell>
          <cell r="F341">
            <v>-15853.47</v>
          </cell>
        </row>
        <row r="342">
          <cell r="A342" t="str">
            <v>1.004.003.0010</v>
          </cell>
          <cell r="B342" t="str">
            <v>Dep.Acum.Mob.y Equipo Varios</v>
          </cell>
          <cell r="C342">
            <v>-188244.32</v>
          </cell>
          <cell r="F342">
            <v>-188244.32</v>
          </cell>
        </row>
        <row r="343">
          <cell r="A343" t="str">
            <v>1.004.003.0011</v>
          </cell>
          <cell r="B343" t="str">
            <v>Dep.Acum.Mob.y Equipo Pradera</v>
          </cell>
          <cell r="C343">
            <v>-126327.32</v>
          </cell>
          <cell r="E343">
            <v>3267.39</v>
          </cell>
          <cell r="F343">
            <v>-129594.71</v>
          </cell>
        </row>
        <row r="344">
          <cell r="A344" t="str">
            <v>1.004.004.0001</v>
          </cell>
          <cell r="B344" t="str">
            <v>Dep.Acum.Eq.Computación Ventas</v>
          </cell>
          <cell r="C344">
            <v>-12902.14</v>
          </cell>
          <cell r="E344">
            <v>974.84</v>
          </cell>
          <cell r="F344">
            <v>-13876.98</v>
          </cell>
        </row>
        <row r="345">
          <cell r="A345" t="str">
            <v>1.004.004.0002</v>
          </cell>
          <cell r="B345" t="str">
            <v>Dep.Acum.Eq.Computación Repuestos</v>
          </cell>
          <cell r="C345">
            <v>-29346.44</v>
          </cell>
          <cell r="E345">
            <v>1477.87</v>
          </cell>
          <cell r="F345">
            <v>-30824.31</v>
          </cell>
        </row>
        <row r="346">
          <cell r="A346" t="str">
            <v>1.004.004.0003</v>
          </cell>
          <cell r="B346" t="str">
            <v>Dep.Acum.Eq.Comp.Cartera-Cobros</v>
          </cell>
          <cell r="C346">
            <v>-2177.2199999999998</v>
          </cell>
          <cell r="F346">
            <v>-2177.2199999999998</v>
          </cell>
        </row>
        <row r="347">
          <cell r="A347" t="str">
            <v>1.004.004.0004</v>
          </cell>
          <cell r="B347" t="str">
            <v>Dep.Acum.Eq.Comp.Dirección-Gerencia</v>
          </cell>
          <cell r="C347">
            <v>-22480.400000000001</v>
          </cell>
          <cell r="E347">
            <v>708.2</v>
          </cell>
          <cell r="F347">
            <v>-23188.6</v>
          </cell>
        </row>
        <row r="348">
          <cell r="A348" t="str">
            <v>1.004.004.0008</v>
          </cell>
          <cell r="B348" t="str">
            <v>Dep.Acum.Eq.Computación Cómputos</v>
          </cell>
          <cell r="C348">
            <v>-2978522.7</v>
          </cell>
          <cell r="E348">
            <v>13961.27</v>
          </cell>
          <cell r="F348">
            <v>-2992483.97</v>
          </cell>
        </row>
        <row r="349">
          <cell r="A349" t="str">
            <v>1.004.004.0009</v>
          </cell>
          <cell r="B349" t="str">
            <v>Dep.Acum.Eq.Computación Mercadeo</v>
          </cell>
          <cell r="C349">
            <v>-1553.43</v>
          </cell>
          <cell r="F349">
            <v>-1553.43</v>
          </cell>
        </row>
        <row r="350">
          <cell r="A350" t="str">
            <v>1.004.004.0010</v>
          </cell>
          <cell r="B350" t="str">
            <v>Dep.Acum.Eq.Computación Varios</v>
          </cell>
          <cell r="C350">
            <v>-15534.3</v>
          </cell>
          <cell r="F350">
            <v>-15534.3</v>
          </cell>
        </row>
        <row r="351">
          <cell r="A351" t="str">
            <v>1.004.005.0001</v>
          </cell>
          <cell r="B351" t="str">
            <v>Dep.Acum.Vehículos Ventas</v>
          </cell>
          <cell r="C351">
            <v>-61258.31</v>
          </cell>
          <cell r="E351">
            <v>1813.57</v>
          </cell>
          <cell r="F351">
            <v>-63071.88</v>
          </cell>
        </row>
        <row r="352">
          <cell r="A352" t="str">
            <v>1.004.005.0002</v>
          </cell>
          <cell r="B352" t="str">
            <v>Dep.Acum.Vehículos Repuestos</v>
          </cell>
          <cell r="C352">
            <v>-177628.71</v>
          </cell>
          <cell r="E352">
            <v>5076.3599999999997</v>
          </cell>
          <cell r="F352">
            <v>-182705.07</v>
          </cell>
        </row>
        <row r="353">
          <cell r="A353" t="str">
            <v>1.004.005.0003</v>
          </cell>
          <cell r="B353" t="str">
            <v>Dep.Acum.Vehículos Cartera-Cobros</v>
          </cell>
          <cell r="C353">
            <v>-16387.86</v>
          </cell>
          <cell r="E353">
            <v>522.47</v>
          </cell>
          <cell r="F353">
            <v>-16910.330000000002</v>
          </cell>
        </row>
        <row r="354">
          <cell r="A354" t="str">
            <v>1.004.005.0004</v>
          </cell>
          <cell r="B354" t="str">
            <v>Dep.Acum.Vehículos Direc-Gerencia</v>
          </cell>
          <cell r="C354">
            <v>-304751.40000000002</v>
          </cell>
          <cell r="E354">
            <v>1955.25</v>
          </cell>
          <cell r="F354">
            <v>-306706.65000000002</v>
          </cell>
        </row>
        <row r="355">
          <cell r="A355" t="str">
            <v>1.004.005.0005</v>
          </cell>
          <cell r="B355" t="str">
            <v>Dep.Acum.Vehículos Contabilidad</v>
          </cell>
          <cell r="C355">
            <v>-60524.5</v>
          </cell>
          <cell r="E355">
            <v>1064.82</v>
          </cell>
          <cell r="F355">
            <v>-61589.32</v>
          </cell>
        </row>
        <row r="356">
          <cell r="A356" t="str">
            <v>1.004.005.0010</v>
          </cell>
          <cell r="B356" t="str">
            <v>Dep.Acum.Vehículos Varios</v>
          </cell>
          <cell r="C356">
            <v>-84629.94</v>
          </cell>
          <cell r="E356">
            <v>727.94</v>
          </cell>
          <cell r="F356">
            <v>-85357.88</v>
          </cell>
        </row>
        <row r="357">
          <cell r="A357" t="str">
            <v>1.004.006.0001</v>
          </cell>
          <cell r="B357" t="str">
            <v>Dep.Acum.Maq.y Equipo Ventas</v>
          </cell>
          <cell r="C357">
            <v>-77703.23</v>
          </cell>
          <cell r="E357">
            <v>1164.8499999999999</v>
          </cell>
          <cell r="F357">
            <v>-78868.08</v>
          </cell>
        </row>
        <row r="358">
          <cell r="A358" t="str">
            <v>1.004.006.0002</v>
          </cell>
          <cell r="B358" t="str">
            <v>Dep.Acum.Maq.y Equipo Repuestos</v>
          </cell>
          <cell r="C358">
            <v>-3768.16</v>
          </cell>
          <cell r="E358">
            <v>43.82</v>
          </cell>
          <cell r="F358">
            <v>-3811.98</v>
          </cell>
        </row>
        <row r="359">
          <cell r="A359" t="str">
            <v>1.004.006.0003</v>
          </cell>
          <cell r="B359" t="str">
            <v>Dep.Acum.Maq.y Equipo Tívoli</v>
          </cell>
          <cell r="C359">
            <v>-423186.81</v>
          </cell>
          <cell r="E359">
            <v>94.1</v>
          </cell>
          <cell r="F359">
            <v>-423280.91</v>
          </cell>
        </row>
        <row r="360">
          <cell r="A360" t="str">
            <v>1.004.006.0004</v>
          </cell>
          <cell r="B360" t="str">
            <v>Dep.Acum.Maq.y Equipo Pradera</v>
          </cell>
          <cell r="C360">
            <v>-73849.73</v>
          </cell>
          <cell r="E360">
            <v>3492.78</v>
          </cell>
          <cell r="F360">
            <v>-77342.509999999995</v>
          </cell>
        </row>
        <row r="361">
          <cell r="A361" t="str">
            <v>1.004.006.0005</v>
          </cell>
          <cell r="B361" t="str">
            <v>Dep.Acum.Maq.y Equip Aguilar Batres</v>
          </cell>
          <cell r="C361">
            <v>-23179.040000000001</v>
          </cell>
          <cell r="E361">
            <v>99.91</v>
          </cell>
          <cell r="F361">
            <v>-23278.95</v>
          </cell>
        </row>
        <row r="362">
          <cell r="A362" t="str">
            <v>1.004.006.0006</v>
          </cell>
          <cell r="B362" t="str">
            <v>Dep.Acum.Maq.y Equipo Ensamblaje</v>
          </cell>
          <cell r="C362">
            <v>-31957.39</v>
          </cell>
          <cell r="E362">
            <v>5.0599999999999996</v>
          </cell>
          <cell r="F362">
            <v>-31962.45</v>
          </cell>
        </row>
        <row r="363">
          <cell r="A363" t="str">
            <v>1.004.007.0001</v>
          </cell>
          <cell r="B363" t="str">
            <v>Dep.Acum.Herramientas Ventas</v>
          </cell>
          <cell r="C363">
            <v>-1074</v>
          </cell>
          <cell r="E363">
            <v>36.93</v>
          </cell>
          <cell r="F363">
            <v>-1110.93</v>
          </cell>
        </row>
        <row r="364">
          <cell r="A364" t="str">
            <v>1.004.007.0002</v>
          </cell>
          <cell r="B364" t="str">
            <v>Dep.Acum.Herramientas Tívoli</v>
          </cell>
          <cell r="C364">
            <v>-822370.86</v>
          </cell>
          <cell r="F364">
            <v>-822370.86</v>
          </cell>
        </row>
        <row r="365">
          <cell r="A365" t="str">
            <v>1.005.001.0004</v>
          </cell>
          <cell r="B365" t="str">
            <v>Sala de Ventas zona 11</v>
          </cell>
          <cell r="C365">
            <v>846568.64</v>
          </cell>
          <cell r="D365">
            <v>164824.54</v>
          </cell>
          <cell r="F365">
            <v>1011393.18</v>
          </cell>
        </row>
        <row r="366">
          <cell r="A366" t="str">
            <v>1.006.001.0001</v>
          </cell>
          <cell r="B366" t="str">
            <v>Depósitos Empresa Eléctrica</v>
          </cell>
          <cell r="C366">
            <v>6151.5</v>
          </cell>
          <cell r="F366">
            <v>6151.5</v>
          </cell>
        </row>
        <row r="367">
          <cell r="A367" t="str">
            <v>1.006.001.0002</v>
          </cell>
          <cell r="B367" t="str">
            <v>Depósitos Arrendamiento Teléfonos</v>
          </cell>
          <cell r="C367">
            <v>25371</v>
          </cell>
          <cell r="F367">
            <v>25371</v>
          </cell>
        </row>
        <row r="368">
          <cell r="A368" t="str">
            <v>1.006.001.0003</v>
          </cell>
          <cell r="B368" t="str">
            <v>Depósitos Varios</v>
          </cell>
          <cell r="C368">
            <v>86983.53</v>
          </cell>
          <cell r="F368">
            <v>86983.53</v>
          </cell>
        </row>
        <row r="369">
          <cell r="A369" t="str">
            <v>1.007.001.0001</v>
          </cell>
          <cell r="B369" t="str">
            <v>Gastos de Organización Pradera</v>
          </cell>
          <cell r="C369">
            <v>68275.100000000006</v>
          </cell>
          <cell r="F369">
            <v>68275.100000000006</v>
          </cell>
        </row>
        <row r="370">
          <cell r="A370" t="str">
            <v>1.008.001.0001</v>
          </cell>
          <cell r="B370" t="str">
            <v>Amortización Gtos de Organización</v>
          </cell>
          <cell r="C370">
            <v>-22758.400000000001</v>
          </cell>
          <cell r="E370">
            <v>1137.92</v>
          </cell>
          <cell r="F370">
            <v>-23896.32</v>
          </cell>
        </row>
        <row r="371">
          <cell r="A371" t="str">
            <v>2.001.001.0002</v>
          </cell>
          <cell r="B371" t="str">
            <v>Ctas.X Pagar Auto Sal (Salvador)</v>
          </cell>
          <cell r="C371">
            <v>-11402.39</v>
          </cell>
          <cell r="D371">
            <v>11402.39</v>
          </cell>
          <cell r="F371">
            <v>0</v>
          </cell>
        </row>
        <row r="372">
          <cell r="A372" t="str">
            <v>2.001.001.0005</v>
          </cell>
          <cell r="B372" t="str">
            <v>Ctas.X Pagar MMC Miami</v>
          </cell>
          <cell r="C372">
            <v>-46.84</v>
          </cell>
          <cell r="F372">
            <v>-46.84</v>
          </cell>
        </row>
        <row r="373">
          <cell r="A373" t="str">
            <v>2.001.001.0006</v>
          </cell>
          <cell r="B373" t="str">
            <v>Ctas.X Pagar Casa Cross (Nicaragua)</v>
          </cell>
          <cell r="C373">
            <v>-1712.73</v>
          </cell>
          <cell r="D373">
            <v>869.63</v>
          </cell>
          <cell r="E373">
            <v>342.74</v>
          </cell>
          <cell r="F373">
            <v>-1185.8399999999999</v>
          </cell>
        </row>
        <row r="374">
          <cell r="A374" t="str">
            <v>2.001.001.0007</v>
          </cell>
          <cell r="B374" t="str">
            <v>Cartas de Crédito Varias</v>
          </cell>
          <cell r="C374">
            <v>-46427851.369999997</v>
          </cell>
          <cell r="D374">
            <v>9543343.7799999993</v>
          </cell>
          <cell r="E374">
            <v>12865971.33</v>
          </cell>
          <cell r="F374">
            <v>-49750478.920000002</v>
          </cell>
        </row>
        <row r="375">
          <cell r="A375" t="str">
            <v>2.001.001.0008</v>
          </cell>
          <cell r="B375" t="str">
            <v>Heurtematte &amp; Arias (Panamá)</v>
          </cell>
          <cell r="C375">
            <v>-2876.21</v>
          </cell>
          <cell r="D375">
            <v>90.65</v>
          </cell>
          <cell r="E375">
            <v>1332.96</v>
          </cell>
          <cell r="F375">
            <v>-4118.5200000000004</v>
          </cell>
        </row>
        <row r="376">
          <cell r="A376" t="str">
            <v>2.001.001.0009</v>
          </cell>
          <cell r="B376" t="str">
            <v>Bonanza Dominicana</v>
          </cell>
          <cell r="C376">
            <v>-2738</v>
          </cell>
          <cell r="E376">
            <v>3982.28</v>
          </cell>
          <cell r="F376">
            <v>-6720.28</v>
          </cell>
        </row>
        <row r="377">
          <cell r="A377" t="str">
            <v>2.001.001.0010</v>
          </cell>
          <cell r="B377" t="str">
            <v>Repuestos Didea</v>
          </cell>
          <cell r="C377">
            <v>-1694.28</v>
          </cell>
          <cell r="D377">
            <v>2036.48</v>
          </cell>
          <cell r="E377">
            <v>1579.3</v>
          </cell>
          <cell r="F377">
            <v>-1237.0999999999999</v>
          </cell>
        </row>
        <row r="378">
          <cell r="A378" t="str">
            <v>2.001.001.0011</v>
          </cell>
          <cell r="B378" t="str">
            <v>Automax, S.A. de C.V.</v>
          </cell>
          <cell r="C378">
            <v>-38220.959999999999</v>
          </cell>
          <cell r="D378">
            <v>38220.959999999999</v>
          </cell>
          <cell r="E378">
            <v>24672.49</v>
          </cell>
          <cell r="F378">
            <v>-24672.49</v>
          </cell>
        </row>
        <row r="379">
          <cell r="A379" t="str">
            <v>2.001.001.0014</v>
          </cell>
          <cell r="B379" t="str">
            <v>Autoexcel (Honduras)</v>
          </cell>
          <cell r="C379">
            <v>-179.62</v>
          </cell>
          <cell r="D379">
            <v>179.62</v>
          </cell>
          <cell r="E379">
            <v>11953.74</v>
          </cell>
          <cell r="F379">
            <v>-11953.74</v>
          </cell>
        </row>
        <row r="380">
          <cell r="A380" t="str">
            <v>2.001.001.0015</v>
          </cell>
          <cell r="B380" t="str">
            <v>Autofácil S.A. de C.V.</v>
          </cell>
          <cell r="C380">
            <v>-2730.9</v>
          </cell>
          <cell r="D380">
            <v>2730.9</v>
          </cell>
          <cell r="F380">
            <v>0</v>
          </cell>
        </row>
        <row r="381">
          <cell r="A381" t="str">
            <v>2.001.001.0025</v>
          </cell>
          <cell r="B381" t="str">
            <v>Fondo Proveedores del Exterior</v>
          </cell>
          <cell r="C381">
            <v>-62945.26</v>
          </cell>
          <cell r="D381">
            <v>22111.32</v>
          </cell>
          <cell r="E381">
            <v>130101.27</v>
          </cell>
          <cell r="F381">
            <v>-170935.21</v>
          </cell>
        </row>
        <row r="382">
          <cell r="A382" t="str">
            <v>2.001.003.0001</v>
          </cell>
          <cell r="B382" t="str">
            <v>Ctas.X Pagar Servicolt, S.A.</v>
          </cell>
          <cell r="C382">
            <v>-5881125.0099999998</v>
          </cell>
          <cell r="D382">
            <v>1116915.6399999999</v>
          </cell>
          <cell r="E382">
            <v>2094295.08</v>
          </cell>
          <cell r="F382">
            <v>-6858504.4500000002</v>
          </cell>
        </row>
        <row r="383">
          <cell r="A383" t="str">
            <v>2.001.003.0002</v>
          </cell>
          <cell r="B383" t="str">
            <v>Ctas.X Pagar Equipos Comerciales</v>
          </cell>
          <cell r="C383">
            <v>-3497584.04</v>
          </cell>
          <cell r="D383">
            <v>1200000</v>
          </cell>
          <cell r="E383">
            <v>1434935</v>
          </cell>
          <cell r="F383">
            <v>-3732519.04</v>
          </cell>
        </row>
        <row r="384">
          <cell r="A384" t="str">
            <v>2.001.003.0003</v>
          </cell>
          <cell r="B384" t="str">
            <v>Ctas.X Pagar Servitalleres, S.A.</v>
          </cell>
          <cell r="C384">
            <v>-267928.34000000003</v>
          </cell>
          <cell r="E384">
            <v>8627.16</v>
          </cell>
          <cell r="F384">
            <v>-276555.5</v>
          </cell>
        </row>
        <row r="385">
          <cell r="A385" t="str">
            <v>2.001.004.0003</v>
          </cell>
          <cell r="B385" t="str">
            <v>Proveedores Varios</v>
          </cell>
          <cell r="C385">
            <v>-618905.61</v>
          </cell>
          <cell r="D385">
            <v>1542065.62</v>
          </cell>
          <cell r="E385">
            <v>6018105.0199999996</v>
          </cell>
          <cell r="F385">
            <v>-5094945.01</v>
          </cell>
        </row>
        <row r="386">
          <cell r="A386" t="str">
            <v>2.001.004.0004</v>
          </cell>
          <cell r="B386" t="str">
            <v>Devoluciones Clientes Varios</v>
          </cell>
          <cell r="C386">
            <v>-1400</v>
          </cell>
          <cell r="F386">
            <v>-1400</v>
          </cell>
        </row>
        <row r="387">
          <cell r="A387" t="str">
            <v>2.001.004.0005</v>
          </cell>
          <cell r="B387" t="str">
            <v>Proveedores Caja Chica</v>
          </cell>
          <cell r="C387">
            <v>-11715.94</v>
          </cell>
          <cell r="D387">
            <v>15690.97</v>
          </cell>
          <cell r="E387">
            <v>12976.41</v>
          </cell>
          <cell r="F387">
            <v>-9001.3799999999992</v>
          </cell>
        </row>
        <row r="388">
          <cell r="A388" t="str">
            <v>2.001.004.0006</v>
          </cell>
          <cell r="B388" t="str">
            <v>Cuentas Por Pagar Varias</v>
          </cell>
          <cell r="C388">
            <v>-3823420.1</v>
          </cell>
          <cell r="D388">
            <v>2340044.89</v>
          </cell>
          <cell r="E388">
            <v>1763583.81</v>
          </cell>
          <cell r="F388">
            <v>-3246959.02</v>
          </cell>
        </row>
        <row r="389">
          <cell r="A389" t="str">
            <v>2.001.004.0009</v>
          </cell>
          <cell r="B389" t="str">
            <v>Wurmser Ogilvy &amp; Mather</v>
          </cell>
          <cell r="C389">
            <v>-396540</v>
          </cell>
          <cell r="D389">
            <v>396540</v>
          </cell>
          <cell r="E389">
            <v>45000</v>
          </cell>
          <cell r="F389">
            <v>-45000</v>
          </cell>
        </row>
        <row r="390">
          <cell r="A390" t="str">
            <v>2.001.004.0020</v>
          </cell>
          <cell r="B390" t="str">
            <v>Ingresos Diarios a Desglosar</v>
          </cell>
          <cell r="C390">
            <v>666.27</v>
          </cell>
          <cell r="D390">
            <v>5294975.3600000003</v>
          </cell>
          <cell r="E390">
            <v>5295641.63</v>
          </cell>
          <cell r="F390">
            <v>0</v>
          </cell>
        </row>
        <row r="391">
          <cell r="A391" t="str">
            <v>2.001.005.0001</v>
          </cell>
          <cell r="B391" t="str">
            <v>Cheques Prefechados Recibidos</v>
          </cell>
          <cell r="C391">
            <v>-2865845.77</v>
          </cell>
          <cell r="E391">
            <v>398054.71</v>
          </cell>
          <cell r="F391">
            <v>-3263900.48</v>
          </cell>
        </row>
        <row r="392">
          <cell r="A392" t="str">
            <v>2.001.006.0005</v>
          </cell>
          <cell r="B392" t="str">
            <v>Préstamos Banco de Occidente, S.A.</v>
          </cell>
          <cell r="C392">
            <v>-2000000</v>
          </cell>
          <cell r="D392">
            <v>2000000</v>
          </cell>
          <cell r="F392">
            <v>0</v>
          </cell>
        </row>
        <row r="393">
          <cell r="A393" t="str">
            <v>2.001.012.0003</v>
          </cell>
          <cell r="B393" t="str">
            <v>Seg.Por Pagar G&amp;T Importaciones</v>
          </cell>
          <cell r="C393">
            <v>-161292.79999999999</v>
          </cell>
          <cell r="E393">
            <v>49208.2</v>
          </cell>
          <cell r="F393">
            <v>-210501</v>
          </cell>
        </row>
        <row r="394">
          <cell r="A394" t="str">
            <v>2.001.013.0001</v>
          </cell>
          <cell r="B394" t="str">
            <v>Depósitos Reserva de Dominio</v>
          </cell>
          <cell r="C394">
            <v>-25166.54</v>
          </cell>
          <cell r="D394">
            <v>531</v>
          </cell>
          <cell r="E394">
            <v>11814.15</v>
          </cell>
          <cell r="F394">
            <v>-36449.69</v>
          </cell>
        </row>
        <row r="395">
          <cell r="A395" t="str">
            <v>2.001.013.0002</v>
          </cell>
          <cell r="B395" t="str">
            <v>Depósitos Para Escrituración</v>
          </cell>
          <cell r="C395">
            <v>-20882.55</v>
          </cell>
          <cell r="D395">
            <v>9877.5</v>
          </cell>
          <cell r="E395">
            <v>34843.339999999997</v>
          </cell>
          <cell r="F395">
            <v>-45848.39</v>
          </cell>
        </row>
        <row r="396">
          <cell r="A396" t="str">
            <v>2.001.030.0001</v>
          </cell>
          <cell r="B396" t="str">
            <v>IGSS Cuota Empleados</v>
          </cell>
          <cell r="C396">
            <v>-56030.720000000001</v>
          </cell>
          <cell r="D396">
            <v>56030.720000000001</v>
          </cell>
          <cell r="E396">
            <v>50895.040000000001</v>
          </cell>
          <cell r="F396">
            <v>-50895.040000000001</v>
          </cell>
        </row>
        <row r="397">
          <cell r="A397" t="str">
            <v>2.001.030.0002</v>
          </cell>
          <cell r="B397" t="str">
            <v>Retención ISR Empleados</v>
          </cell>
          <cell r="C397">
            <v>-125553.1</v>
          </cell>
          <cell r="D397">
            <v>125553.1</v>
          </cell>
          <cell r="E397">
            <v>109654.12</v>
          </cell>
          <cell r="F397">
            <v>-109654.12</v>
          </cell>
        </row>
        <row r="398">
          <cell r="A398" t="str">
            <v>2.001.030.0003</v>
          </cell>
          <cell r="B398" t="str">
            <v>Retención Banco de los Trabajadores</v>
          </cell>
          <cell r="C398">
            <v>-1226.8800000000001</v>
          </cell>
          <cell r="D398">
            <v>1222.3599999999999</v>
          </cell>
          <cell r="E398">
            <v>1222.3599999999999</v>
          </cell>
          <cell r="F398">
            <v>-1226.8800000000001</v>
          </cell>
        </row>
        <row r="399">
          <cell r="A399" t="str">
            <v>2.001.030.0004</v>
          </cell>
          <cell r="B399" t="str">
            <v>Retención Descuentos Judiciales</v>
          </cell>
          <cell r="C399">
            <v>-6956.61</v>
          </cell>
          <cell r="E399">
            <v>902.38</v>
          </cell>
          <cell r="F399">
            <v>-7858.99</v>
          </cell>
        </row>
        <row r="400">
          <cell r="A400" t="str">
            <v>2.001.030.0006</v>
          </cell>
          <cell r="B400" t="str">
            <v>Retención Seguro Médico</v>
          </cell>
          <cell r="C400">
            <v>1362.66</v>
          </cell>
          <cell r="D400">
            <v>13121.42</v>
          </cell>
          <cell r="E400">
            <v>12049.5</v>
          </cell>
          <cell r="F400">
            <v>2434.58</v>
          </cell>
        </row>
        <row r="401">
          <cell r="A401" t="str">
            <v>2.001.030.0007</v>
          </cell>
          <cell r="B401" t="str">
            <v>Otras Retenciones Empleados</v>
          </cell>
          <cell r="C401">
            <v>-47195.54</v>
          </cell>
          <cell r="D401">
            <v>69114.3</v>
          </cell>
          <cell r="E401">
            <v>38559.85</v>
          </cell>
          <cell r="F401">
            <v>-16641.09</v>
          </cell>
        </row>
        <row r="402">
          <cell r="A402" t="str">
            <v>2.001.030.0008</v>
          </cell>
          <cell r="B402" t="str">
            <v>Bancasol</v>
          </cell>
          <cell r="C402">
            <v>-19799.91</v>
          </cell>
          <cell r="D402">
            <v>38121.589999999997</v>
          </cell>
          <cell r="E402">
            <v>19591.43</v>
          </cell>
          <cell r="F402">
            <v>-1269.75</v>
          </cell>
        </row>
        <row r="403">
          <cell r="A403" t="str">
            <v>2.001.031.0001</v>
          </cell>
          <cell r="B403" t="str">
            <v>Sueldos Por Pagar</v>
          </cell>
          <cell r="C403">
            <v>7633.9</v>
          </cell>
          <cell r="D403">
            <v>136228.64000000001</v>
          </cell>
          <cell r="E403">
            <v>127965.44</v>
          </cell>
          <cell r="F403">
            <v>15897.1</v>
          </cell>
        </row>
        <row r="404">
          <cell r="A404" t="str">
            <v>2.001.031.0002</v>
          </cell>
          <cell r="B404" t="str">
            <v>Bonificaciones Por Pagar</v>
          </cell>
          <cell r="C404">
            <v>591.59</v>
          </cell>
          <cell r="F404">
            <v>591.59</v>
          </cell>
        </row>
        <row r="405">
          <cell r="A405" t="str">
            <v>2.001.031.0003</v>
          </cell>
          <cell r="B405" t="str">
            <v>Comisiones Por Pagar</v>
          </cell>
          <cell r="C405">
            <v>-548188.12</v>
          </cell>
          <cell r="D405">
            <v>548188.12</v>
          </cell>
          <cell r="E405">
            <v>489985.1</v>
          </cell>
          <cell r="F405">
            <v>-489985.1</v>
          </cell>
        </row>
        <row r="406">
          <cell r="A406" t="str">
            <v>2.001.031.0004</v>
          </cell>
          <cell r="B406" t="str">
            <v>Aguinaldos Por Pagar</v>
          </cell>
          <cell r="C406">
            <v>-746407.02</v>
          </cell>
          <cell r="E406">
            <v>87810.27</v>
          </cell>
          <cell r="F406">
            <v>-834217.29</v>
          </cell>
        </row>
        <row r="407">
          <cell r="A407" t="str">
            <v>2.001.031.0007</v>
          </cell>
          <cell r="B407" t="str">
            <v>Bonificación Dto.42-92 Por Pagar</v>
          </cell>
          <cell r="C407">
            <v>-191139.17</v>
          </cell>
          <cell r="E407">
            <v>87810.27</v>
          </cell>
          <cell r="F407">
            <v>-278949.44</v>
          </cell>
        </row>
        <row r="408">
          <cell r="A408" t="str">
            <v>2.001.035.0001</v>
          </cell>
          <cell r="B408" t="str">
            <v>Retención ISR Proveedores Locales</v>
          </cell>
          <cell r="C408">
            <v>-16556.79</v>
          </cell>
          <cell r="D408">
            <v>33113.58</v>
          </cell>
          <cell r="E408">
            <v>216667.07</v>
          </cell>
          <cell r="F408">
            <v>-200110.28</v>
          </cell>
        </row>
        <row r="409">
          <cell r="A409" t="str">
            <v>2.001.035.0002</v>
          </cell>
          <cell r="B409" t="str">
            <v>Retención ISR Proveedores Exterior</v>
          </cell>
          <cell r="C409">
            <v>-18398.669999999998</v>
          </cell>
          <cell r="D409">
            <v>19625.599999999999</v>
          </cell>
          <cell r="E409">
            <v>16420.37</v>
          </cell>
          <cell r="F409">
            <v>-15193.44</v>
          </cell>
        </row>
        <row r="410">
          <cell r="A410" t="str">
            <v>2.001.035.0005</v>
          </cell>
          <cell r="B410" t="str">
            <v>Impuesto del Timbre Por Pagar</v>
          </cell>
          <cell r="C410">
            <v>-2133.69</v>
          </cell>
          <cell r="D410">
            <v>2133.69</v>
          </cell>
          <cell r="E410">
            <v>1291.9100000000001</v>
          </cell>
          <cell r="F410">
            <v>-1291.9100000000001</v>
          </cell>
        </row>
        <row r="411">
          <cell r="A411" t="str">
            <v>2.001.035.0006</v>
          </cell>
          <cell r="B411" t="str">
            <v>Impuesto Al Valor Agregado IVA</v>
          </cell>
          <cell r="C411">
            <v>-199937.52</v>
          </cell>
          <cell r="D411">
            <v>4400688.82</v>
          </cell>
          <cell r="E411">
            <v>4285698.5</v>
          </cell>
          <cell r="F411">
            <v>-84947.199999999997</v>
          </cell>
        </row>
        <row r="412">
          <cell r="A412" t="str">
            <v>2.001.035.0008</v>
          </cell>
          <cell r="B412" t="str">
            <v>Cuota Patronal IGSS,IRTRA,INTECAP</v>
          </cell>
          <cell r="C412">
            <v>-146979.23000000001</v>
          </cell>
          <cell r="D412">
            <v>146979.23000000001</v>
          </cell>
          <cell r="E412">
            <v>133507.26999999999</v>
          </cell>
          <cell r="F412">
            <v>-133507.26999999999</v>
          </cell>
        </row>
        <row r="413">
          <cell r="A413" t="str">
            <v>2.001.035.0009</v>
          </cell>
          <cell r="B413" t="str">
            <v>Iva Facturas Especiales</v>
          </cell>
          <cell r="C413">
            <v>-1111.8499999999999</v>
          </cell>
          <cell r="D413">
            <v>1111.8499999999999</v>
          </cell>
          <cell r="E413">
            <v>1345.9</v>
          </cell>
          <cell r="F413">
            <v>-1345.9</v>
          </cell>
        </row>
        <row r="414">
          <cell r="A414" t="str">
            <v>2.001.038.0001</v>
          </cell>
          <cell r="B414" t="str">
            <v>Anticipos Clientes Vehículos</v>
          </cell>
          <cell r="C414">
            <v>-985769.42</v>
          </cell>
          <cell r="D414">
            <v>6494525.7199999997</v>
          </cell>
          <cell r="E414">
            <v>7972114.4900000002</v>
          </cell>
          <cell r="F414">
            <v>-2463358.19</v>
          </cell>
        </row>
        <row r="415">
          <cell r="A415" t="str">
            <v>2.001.038.0002</v>
          </cell>
          <cell r="B415" t="str">
            <v>Anticipos Clientes Repuestos</v>
          </cell>
          <cell r="C415">
            <v>-34020.5</v>
          </cell>
          <cell r="D415">
            <v>12262.79</v>
          </cell>
          <cell r="E415">
            <v>21174.58</v>
          </cell>
          <cell r="F415">
            <v>-42932.29</v>
          </cell>
        </row>
        <row r="416">
          <cell r="A416" t="str">
            <v>2.001.038.0011</v>
          </cell>
          <cell r="B416" t="str">
            <v>Anticipos Gastos de Placas</v>
          </cell>
          <cell r="C416">
            <v>-49333.54</v>
          </cell>
          <cell r="D416">
            <v>121062</v>
          </cell>
          <cell r="E416">
            <v>107568.49</v>
          </cell>
          <cell r="F416">
            <v>-35840.03</v>
          </cell>
        </row>
        <row r="417">
          <cell r="A417" t="str">
            <v>2.003.001.0001</v>
          </cell>
          <cell r="B417" t="str">
            <v>Reserva Para Indemnizaciones</v>
          </cell>
          <cell r="C417">
            <v>-2624258.0499999998</v>
          </cell>
          <cell r="E417">
            <v>87810.26</v>
          </cell>
          <cell r="F417">
            <v>-2712068.31</v>
          </cell>
        </row>
        <row r="418">
          <cell r="A418" t="str">
            <v>3.001.001.0001</v>
          </cell>
          <cell r="B418" t="str">
            <v>Capital Autorizado Acciones Comunes</v>
          </cell>
          <cell r="C418">
            <v>-15000000</v>
          </cell>
          <cell r="F418">
            <v>-15000000</v>
          </cell>
        </row>
        <row r="419">
          <cell r="A419" t="str">
            <v>3.001.002.0001</v>
          </cell>
          <cell r="B419" t="str">
            <v>Capital Social Suscrito No Pagado</v>
          </cell>
          <cell r="C419">
            <v>9600000</v>
          </cell>
          <cell r="F419">
            <v>9600000</v>
          </cell>
        </row>
        <row r="420">
          <cell r="A420" t="str">
            <v>3.002.001.0001</v>
          </cell>
          <cell r="B420" t="str">
            <v>Reserva Legal</v>
          </cell>
          <cell r="C420">
            <v>-4667602.8600000003</v>
          </cell>
          <cell r="F420">
            <v>-4667602.8600000003</v>
          </cell>
        </row>
        <row r="421">
          <cell r="A421" t="str">
            <v>3.003.001.0009</v>
          </cell>
          <cell r="B421" t="str">
            <v>Utilidades Retenidas 99-00</v>
          </cell>
          <cell r="C421">
            <v>-207948.02</v>
          </cell>
          <cell r="F421">
            <v>-207948.02</v>
          </cell>
        </row>
        <row r="422">
          <cell r="A422" t="str">
            <v>3.003.001.0010</v>
          </cell>
          <cell r="B422" t="str">
            <v>Utilidades Retenidas Jul/Dic 2000</v>
          </cell>
          <cell r="C422">
            <v>-3322672.27</v>
          </cell>
          <cell r="F422">
            <v>-3322672.27</v>
          </cell>
        </row>
        <row r="423">
          <cell r="A423" t="str">
            <v>3.003.001.0011</v>
          </cell>
          <cell r="B423" t="str">
            <v>Utilidades Retenidas 2001</v>
          </cell>
          <cell r="C423">
            <v>-16335426.23</v>
          </cell>
          <cell r="F423">
            <v>-16335426.23</v>
          </cell>
        </row>
        <row r="424">
          <cell r="A424" t="str">
            <v>4.001.001.1003</v>
          </cell>
          <cell r="B424" t="str">
            <v>Ventas Lancer 1300 Contado Central</v>
          </cell>
          <cell r="C424">
            <v>-3334626.85</v>
          </cell>
          <cell r="E424">
            <v>242050</v>
          </cell>
          <cell r="F424">
            <v>-3576676.85</v>
          </cell>
        </row>
        <row r="425">
          <cell r="A425" t="str">
            <v>4.001.001.1004</v>
          </cell>
          <cell r="B425" t="str">
            <v>Ventas Lancer 1600 Contado Central</v>
          </cell>
          <cell r="C425">
            <v>-3808721.53</v>
          </cell>
          <cell r="E425">
            <v>207900</v>
          </cell>
          <cell r="F425">
            <v>-4016621.53</v>
          </cell>
        </row>
        <row r="426">
          <cell r="A426" t="str">
            <v>4.001.001.1005</v>
          </cell>
          <cell r="B426" t="str">
            <v>Ventas Galant Contado Central</v>
          </cell>
          <cell r="C426">
            <v>-783451.26</v>
          </cell>
          <cell r="E426">
            <v>136300</v>
          </cell>
          <cell r="F426">
            <v>-919751.26</v>
          </cell>
        </row>
        <row r="427">
          <cell r="A427" t="str">
            <v>4.001.001.1006</v>
          </cell>
          <cell r="B427" t="str">
            <v>Ventas Space Wagon Contado Central</v>
          </cell>
          <cell r="C427">
            <v>-2376825</v>
          </cell>
          <cell r="E427">
            <v>454614.28</v>
          </cell>
          <cell r="F427">
            <v>-2831439.28</v>
          </cell>
        </row>
        <row r="428">
          <cell r="A428" t="str">
            <v>4.001.001.1007</v>
          </cell>
          <cell r="B428" t="str">
            <v>Ventas Microbús L-300 Cont Central</v>
          </cell>
          <cell r="C428">
            <v>-673073.47</v>
          </cell>
          <cell r="E428">
            <v>93347.96</v>
          </cell>
          <cell r="F428">
            <v>-766421.43</v>
          </cell>
        </row>
        <row r="429">
          <cell r="A429" t="str">
            <v>4.001.001.1008</v>
          </cell>
          <cell r="B429" t="str">
            <v>Ventas Pánel L-300 Contado Central</v>
          </cell>
          <cell r="C429">
            <v>-1432906.56</v>
          </cell>
          <cell r="F429">
            <v>-1432906.56</v>
          </cell>
        </row>
        <row r="430">
          <cell r="A430" t="str">
            <v>4.001.001.1009</v>
          </cell>
          <cell r="B430" t="str">
            <v>Ventas Pick-Ups Contado Central</v>
          </cell>
          <cell r="C430">
            <v>-10639177.1</v>
          </cell>
          <cell r="D430">
            <v>329636.34000000003</v>
          </cell>
          <cell r="E430">
            <v>2623112.67</v>
          </cell>
          <cell r="F430">
            <v>-12932653.43</v>
          </cell>
        </row>
        <row r="431">
          <cell r="A431" t="str">
            <v>4.001.001.1010</v>
          </cell>
          <cell r="B431" t="str">
            <v>Ventas Montero Contado Central</v>
          </cell>
          <cell r="C431">
            <v>-9695738.1400000006</v>
          </cell>
          <cell r="E431">
            <v>301621</v>
          </cell>
          <cell r="F431">
            <v>-9997359.1400000006</v>
          </cell>
        </row>
        <row r="432">
          <cell r="A432" t="str">
            <v>4.001.001.1011</v>
          </cell>
          <cell r="B432" t="str">
            <v>Ventas Nativa Contado Central</v>
          </cell>
          <cell r="C432">
            <v>-2614256.65</v>
          </cell>
          <cell r="E432">
            <v>1386654</v>
          </cell>
          <cell r="F432">
            <v>-4000910.65</v>
          </cell>
        </row>
        <row r="433">
          <cell r="A433" t="str">
            <v>4.001.001.1012</v>
          </cell>
          <cell r="B433" t="str">
            <v>Ventas Canter FE Contado Central</v>
          </cell>
          <cell r="C433">
            <v>-2092299.06</v>
          </cell>
          <cell r="E433">
            <v>338818</v>
          </cell>
          <cell r="F433">
            <v>-2431117.06</v>
          </cell>
        </row>
        <row r="434">
          <cell r="A434" t="str">
            <v>4.001.001.1013</v>
          </cell>
          <cell r="B434" t="str">
            <v>Ventas Canter FH Contado Central</v>
          </cell>
          <cell r="C434">
            <v>-580400</v>
          </cell>
          <cell r="F434">
            <v>-580400</v>
          </cell>
        </row>
        <row r="435">
          <cell r="A435" t="str">
            <v>4.001.002.1003</v>
          </cell>
          <cell r="B435" t="str">
            <v>Ventas Lancer 1300 Crédito Central</v>
          </cell>
          <cell r="C435">
            <v>-8217516.75</v>
          </cell>
          <cell r="D435">
            <v>250700</v>
          </cell>
          <cell r="E435">
            <v>886821</v>
          </cell>
          <cell r="F435">
            <v>-8853637.75</v>
          </cell>
        </row>
        <row r="436">
          <cell r="A436" t="str">
            <v>4.001.002.1004</v>
          </cell>
          <cell r="B436" t="str">
            <v>Ventas Lancer 1600 Crédito Central</v>
          </cell>
          <cell r="C436">
            <v>-7486213.46</v>
          </cell>
          <cell r="D436">
            <v>91899</v>
          </cell>
          <cell r="E436">
            <v>1332140</v>
          </cell>
          <cell r="F436">
            <v>-8726454.4600000009</v>
          </cell>
        </row>
        <row r="437">
          <cell r="A437" t="str">
            <v>4.001.002.1005</v>
          </cell>
          <cell r="B437" t="str">
            <v>Ventas Galant Crédito Central</v>
          </cell>
          <cell r="C437">
            <v>-967918</v>
          </cell>
          <cell r="E437">
            <v>636500</v>
          </cell>
          <cell r="F437">
            <v>-1604418</v>
          </cell>
        </row>
        <row r="438">
          <cell r="A438" t="str">
            <v>4.001.002.1006</v>
          </cell>
          <cell r="B438" t="str">
            <v>Ventas Space Wagon Crédito Central</v>
          </cell>
          <cell r="C438">
            <v>-1291100</v>
          </cell>
          <cell r="E438">
            <v>297472</v>
          </cell>
          <cell r="F438">
            <v>-1588572</v>
          </cell>
        </row>
        <row r="439">
          <cell r="A439" t="str">
            <v>4.001.002.1007</v>
          </cell>
          <cell r="B439" t="str">
            <v>Ventas Microbús L-300 Créd Central</v>
          </cell>
          <cell r="C439">
            <v>-4068510.75</v>
          </cell>
          <cell r="E439">
            <v>1150874.1200000001</v>
          </cell>
          <cell r="F439">
            <v>-5219384.87</v>
          </cell>
        </row>
        <row r="440">
          <cell r="A440" t="str">
            <v>4.001.002.1008</v>
          </cell>
          <cell r="B440" t="str">
            <v>Ventas Pánel L-300 Crédito Central</v>
          </cell>
          <cell r="C440">
            <v>-561940</v>
          </cell>
          <cell r="D440">
            <v>94000</v>
          </cell>
          <cell r="E440">
            <v>283000</v>
          </cell>
          <cell r="F440">
            <v>-750940</v>
          </cell>
        </row>
        <row r="441">
          <cell r="A441" t="str">
            <v>4.001.002.1009</v>
          </cell>
          <cell r="B441" t="str">
            <v>Ventas Pick-Ups Crédito Central</v>
          </cell>
          <cell r="C441">
            <v>-18443591.300000001</v>
          </cell>
          <cell r="D441">
            <v>500076.08</v>
          </cell>
          <cell r="E441">
            <v>3282404.32</v>
          </cell>
          <cell r="F441">
            <v>-21225919.539999999</v>
          </cell>
        </row>
        <row r="442">
          <cell r="A442" t="str">
            <v>4.001.002.1010</v>
          </cell>
          <cell r="B442" t="str">
            <v>Ventas Montero Crédito Central</v>
          </cell>
          <cell r="C442">
            <v>-13583295.92</v>
          </cell>
          <cell r="D442">
            <v>127900</v>
          </cell>
          <cell r="E442">
            <v>1181500</v>
          </cell>
          <cell r="F442">
            <v>-14636895.92</v>
          </cell>
        </row>
        <row r="443">
          <cell r="A443" t="str">
            <v>4.001.002.1011</v>
          </cell>
          <cell r="B443" t="str">
            <v>Ventas Nativa Crédito Central</v>
          </cell>
          <cell r="C443">
            <v>-3497910</v>
          </cell>
          <cell r="E443">
            <v>379900</v>
          </cell>
          <cell r="F443">
            <v>-3877810</v>
          </cell>
        </row>
        <row r="444">
          <cell r="A444" t="str">
            <v>4.001.002.1012</v>
          </cell>
          <cell r="B444" t="str">
            <v>Ventas Canter FE Crédito Central</v>
          </cell>
          <cell r="C444">
            <v>-2663900.5499999998</v>
          </cell>
          <cell r="D444">
            <v>125000</v>
          </cell>
          <cell r="E444">
            <v>369300</v>
          </cell>
          <cell r="F444">
            <v>-2908200.55</v>
          </cell>
        </row>
        <row r="445">
          <cell r="A445" t="str">
            <v>4.001.002.1013</v>
          </cell>
          <cell r="B445" t="str">
            <v>Ventas Canter FH Crédito Central</v>
          </cell>
          <cell r="C445">
            <v>-529749.99</v>
          </cell>
          <cell r="E445">
            <v>205500</v>
          </cell>
          <cell r="F445">
            <v>-735249.99</v>
          </cell>
        </row>
        <row r="446">
          <cell r="A446" t="str">
            <v>4.001.003.1001</v>
          </cell>
          <cell r="B446" t="str">
            <v>Reb/Dev Colt 1300 Contado Central</v>
          </cell>
          <cell r="C446">
            <v>8320.69</v>
          </cell>
          <cell r="F446">
            <v>8320.69</v>
          </cell>
        </row>
        <row r="447">
          <cell r="A447" t="str">
            <v>4.001.003.1009</v>
          </cell>
          <cell r="B447" t="str">
            <v>Reb/Dev Pick-Ups Contado Central</v>
          </cell>
          <cell r="C447">
            <v>20825</v>
          </cell>
          <cell r="F447">
            <v>20825</v>
          </cell>
        </row>
        <row r="448">
          <cell r="A448" t="str">
            <v>4.001.003.1010</v>
          </cell>
          <cell r="B448" t="str">
            <v>Reb/Dev Montero Contado Central</v>
          </cell>
          <cell r="C448">
            <v>59000</v>
          </cell>
          <cell r="F448">
            <v>59000</v>
          </cell>
        </row>
        <row r="449">
          <cell r="A449" t="str">
            <v>4.001.004.1003</v>
          </cell>
          <cell r="B449" t="str">
            <v>Reb/Dev Lancer 1300 Crédito Central</v>
          </cell>
          <cell r="C449">
            <v>8305.98</v>
          </cell>
          <cell r="F449">
            <v>8305.98</v>
          </cell>
        </row>
        <row r="450">
          <cell r="A450" t="str">
            <v>4.001.005.1900</v>
          </cell>
          <cell r="B450" t="str">
            <v>Ventas Usados Propios Cont Central</v>
          </cell>
          <cell r="C450">
            <v>-329000</v>
          </cell>
          <cell r="F450">
            <v>-329000</v>
          </cell>
        </row>
        <row r="451">
          <cell r="A451" t="str">
            <v>4.001.006.1900</v>
          </cell>
          <cell r="B451" t="str">
            <v>Ventas Usados Propios Créd Central</v>
          </cell>
          <cell r="C451">
            <v>-265000</v>
          </cell>
          <cell r="F451">
            <v>-265000</v>
          </cell>
        </row>
        <row r="452">
          <cell r="A452" t="str">
            <v>4.001.006.1901</v>
          </cell>
          <cell r="B452" t="str">
            <v>Ventas Usados Ajenos Créd Central</v>
          </cell>
          <cell r="C452">
            <v>-302000</v>
          </cell>
          <cell r="F452">
            <v>-302000</v>
          </cell>
        </row>
        <row r="453">
          <cell r="A453" t="str">
            <v>4.001.021.0011</v>
          </cell>
          <cell r="B453" t="str">
            <v>Ventas Motor Contado Central</v>
          </cell>
          <cell r="C453">
            <v>-1282443.33</v>
          </cell>
          <cell r="D453">
            <v>27638.93</v>
          </cell>
          <cell r="E453">
            <v>180791.31</v>
          </cell>
          <cell r="F453">
            <v>-1435595.71</v>
          </cell>
        </row>
        <row r="454">
          <cell r="A454" t="str">
            <v>4.001.021.0012</v>
          </cell>
          <cell r="B454" t="str">
            <v>Ventas Lubricación Contado Central</v>
          </cell>
          <cell r="C454">
            <v>-381867.99</v>
          </cell>
          <cell r="D454">
            <v>3552.34</v>
          </cell>
          <cell r="E454">
            <v>50389.58</v>
          </cell>
          <cell r="F454">
            <v>-428705.23</v>
          </cell>
        </row>
        <row r="455">
          <cell r="A455" t="str">
            <v>4.001.021.0013</v>
          </cell>
          <cell r="B455" t="str">
            <v>Ventas Combustión Contado Central</v>
          </cell>
          <cell r="C455">
            <v>-144769.51</v>
          </cell>
          <cell r="D455">
            <v>813.21</v>
          </cell>
          <cell r="E455">
            <v>20172.650000000001</v>
          </cell>
          <cell r="F455">
            <v>-164128.95000000001</v>
          </cell>
        </row>
        <row r="456">
          <cell r="A456" t="str">
            <v>4.001.021.0014</v>
          </cell>
          <cell r="B456" t="str">
            <v>Ventas Enfriamiento Contado Central</v>
          </cell>
          <cell r="C456">
            <v>-181775.54</v>
          </cell>
          <cell r="D456">
            <v>5639.13</v>
          </cell>
          <cell r="E456">
            <v>30069.26</v>
          </cell>
          <cell r="F456">
            <v>-206205.67</v>
          </cell>
        </row>
        <row r="457">
          <cell r="A457" t="str">
            <v>4.001.021.0015</v>
          </cell>
          <cell r="B457" t="str">
            <v>Ventas Admisión/Escape Cont Central</v>
          </cell>
          <cell r="C457">
            <v>-109146.4</v>
          </cell>
          <cell r="D457">
            <v>1126.58</v>
          </cell>
          <cell r="E457">
            <v>24927.37</v>
          </cell>
          <cell r="F457">
            <v>-132947.19</v>
          </cell>
        </row>
        <row r="458">
          <cell r="A458" t="str">
            <v>4.001.021.0016</v>
          </cell>
          <cell r="B458" t="str">
            <v>Ventas Sist/Eléctrico Cont Central</v>
          </cell>
          <cell r="C458">
            <v>-278850.2</v>
          </cell>
          <cell r="D458">
            <v>4773.34</v>
          </cell>
          <cell r="E458">
            <v>47004.7</v>
          </cell>
          <cell r="F458">
            <v>-321081.56</v>
          </cell>
        </row>
        <row r="459">
          <cell r="A459" t="str">
            <v>4.001.021.0021</v>
          </cell>
          <cell r="B459" t="str">
            <v>Ventas Clutch Contado Central</v>
          </cell>
          <cell r="C459">
            <v>-304114.69</v>
          </cell>
          <cell r="D459">
            <v>3734.83</v>
          </cell>
          <cell r="E459">
            <v>29855.55</v>
          </cell>
          <cell r="F459">
            <v>-330235.40999999997</v>
          </cell>
        </row>
        <row r="460">
          <cell r="A460" t="str">
            <v>4.001.021.0022</v>
          </cell>
          <cell r="B460" t="str">
            <v>Ventas Trans Manual Contado Central</v>
          </cell>
          <cell r="C460">
            <v>-145670.72</v>
          </cell>
          <cell r="D460">
            <v>5052.97</v>
          </cell>
          <cell r="E460">
            <v>20138.47</v>
          </cell>
          <cell r="F460">
            <v>-160756.22</v>
          </cell>
        </row>
        <row r="461">
          <cell r="A461" t="str">
            <v>4.001.021.0023</v>
          </cell>
          <cell r="B461" t="str">
            <v>Ventas Trans Automátic Cont Central</v>
          </cell>
          <cell r="C461">
            <v>-6901.29</v>
          </cell>
          <cell r="D461">
            <v>46.36</v>
          </cell>
          <cell r="E461">
            <v>868.13</v>
          </cell>
          <cell r="F461">
            <v>-7723.06</v>
          </cell>
        </row>
        <row r="462">
          <cell r="A462" t="str">
            <v>4.001.021.0024</v>
          </cell>
          <cell r="B462" t="str">
            <v>Ventas Caja de Transf Conta Central</v>
          </cell>
          <cell r="C462">
            <v>-11172.21</v>
          </cell>
          <cell r="D462">
            <v>28.6</v>
          </cell>
          <cell r="E462">
            <v>507.68</v>
          </cell>
          <cell r="F462">
            <v>-11651.29</v>
          </cell>
        </row>
        <row r="463">
          <cell r="A463" t="str">
            <v>4.001.021.0025</v>
          </cell>
          <cell r="B463" t="str">
            <v>Ventas Eje Cardán Contado Central</v>
          </cell>
          <cell r="C463">
            <v>-26188.19</v>
          </cell>
          <cell r="D463">
            <v>88.72</v>
          </cell>
          <cell r="E463">
            <v>6522.2</v>
          </cell>
          <cell r="F463">
            <v>-32621.67</v>
          </cell>
        </row>
        <row r="464">
          <cell r="A464" t="str">
            <v>4.001.021.0026</v>
          </cell>
          <cell r="B464" t="str">
            <v>Ventas Eje Delantero Cont Central</v>
          </cell>
          <cell r="C464">
            <v>-128918.82</v>
          </cell>
          <cell r="D464">
            <v>994.7</v>
          </cell>
          <cell r="E464">
            <v>17122.52</v>
          </cell>
          <cell r="F464">
            <v>-145046.64000000001</v>
          </cell>
        </row>
        <row r="465">
          <cell r="A465" t="str">
            <v>4.001.021.0027</v>
          </cell>
          <cell r="B465" t="str">
            <v>Ventas Eje Trasero Contado Central</v>
          </cell>
          <cell r="C465">
            <v>-166855.07</v>
          </cell>
          <cell r="D465">
            <v>26.67</v>
          </cell>
          <cell r="E465">
            <v>15737.1</v>
          </cell>
          <cell r="F465">
            <v>-182565.5</v>
          </cell>
        </row>
        <row r="466">
          <cell r="A466" t="str">
            <v>4.001.021.0031</v>
          </cell>
          <cell r="B466" t="str">
            <v>Ventas Aros y LLantas Cont Central</v>
          </cell>
          <cell r="C466">
            <v>-32513.61</v>
          </cell>
          <cell r="D466">
            <v>586.6</v>
          </cell>
          <cell r="E466">
            <v>6857.99</v>
          </cell>
          <cell r="F466">
            <v>-38785</v>
          </cell>
        </row>
        <row r="467">
          <cell r="A467" t="str">
            <v>4.001.021.0033</v>
          </cell>
          <cell r="B467" t="str">
            <v>Ventas Susp Delantera Cont Central</v>
          </cell>
          <cell r="C467">
            <v>-296400.55</v>
          </cell>
          <cell r="D467">
            <v>1262.97</v>
          </cell>
          <cell r="E467">
            <v>38655.78</v>
          </cell>
          <cell r="F467">
            <v>-333793.36</v>
          </cell>
        </row>
        <row r="468">
          <cell r="A468" t="str">
            <v>4.001.021.0034</v>
          </cell>
          <cell r="B468" t="str">
            <v>Ventas Susp Trasera Contado Central</v>
          </cell>
          <cell r="C468">
            <v>-85524.56</v>
          </cell>
          <cell r="D468">
            <v>130.61000000000001</v>
          </cell>
          <cell r="E468">
            <v>10997.55</v>
          </cell>
          <cell r="F468">
            <v>-96391.5</v>
          </cell>
        </row>
        <row r="469">
          <cell r="A469" t="str">
            <v>4.001.021.0035</v>
          </cell>
          <cell r="B469" t="str">
            <v>Ventas Frenos Contado Central</v>
          </cell>
          <cell r="C469">
            <v>-305868.40000000002</v>
          </cell>
          <cell r="D469">
            <v>4478.88</v>
          </cell>
          <cell r="E469">
            <v>50122.31</v>
          </cell>
          <cell r="F469">
            <v>-351511.83</v>
          </cell>
        </row>
        <row r="470">
          <cell r="A470" t="str">
            <v>4.001.021.0037</v>
          </cell>
          <cell r="B470" t="str">
            <v>Ventas Dirección Contado Central</v>
          </cell>
          <cell r="C470">
            <v>-240799.12</v>
          </cell>
          <cell r="D470">
            <v>3457.25</v>
          </cell>
          <cell r="E470">
            <v>37771.699999999997</v>
          </cell>
          <cell r="F470">
            <v>-275113.57</v>
          </cell>
        </row>
        <row r="471">
          <cell r="A471" t="str">
            <v>4.001.021.0041</v>
          </cell>
          <cell r="B471" t="str">
            <v>Ventas Chassis Contado Central</v>
          </cell>
          <cell r="C471">
            <v>-429.19</v>
          </cell>
          <cell r="F471">
            <v>-429.19</v>
          </cell>
        </row>
        <row r="472">
          <cell r="A472" t="str">
            <v>4.001.021.0042</v>
          </cell>
          <cell r="B472" t="str">
            <v>Ventas Carrocería Contado Central</v>
          </cell>
          <cell r="C472">
            <v>-338787.17</v>
          </cell>
          <cell r="D472">
            <v>3216.04</v>
          </cell>
          <cell r="E472">
            <v>34274.519999999997</v>
          </cell>
          <cell r="F472">
            <v>-369845.65</v>
          </cell>
        </row>
        <row r="473">
          <cell r="A473" t="str">
            <v>4.001.021.0043</v>
          </cell>
          <cell r="B473" t="str">
            <v>Ventas Puertas Contado Central</v>
          </cell>
          <cell r="C473">
            <v>-216467.85</v>
          </cell>
          <cell r="D473">
            <v>5102</v>
          </cell>
          <cell r="E473">
            <v>23988.05</v>
          </cell>
          <cell r="F473">
            <v>-235353.9</v>
          </cell>
        </row>
        <row r="474">
          <cell r="A474" t="str">
            <v>4.001.021.0044</v>
          </cell>
          <cell r="B474" t="str">
            <v>Ventas Carroc Trasera Cont Central</v>
          </cell>
          <cell r="C474">
            <v>-1601.96</v>
          </cell>
          <cell r="E474">
            <v>178.38</v>
          </cell>
          <cell r="F474">
            <v>-1780.34</v>
          </cell>
        </row>
        <row r="475">
          <cell r="A475" t="str">
            <v>4.001.021.0051</v>
          </cell>
          <cell r="B475" t="str">
            <v>Ventas Exterior Contado Central</v>
          </cell>
          <cell r="C475">
            <v>-73227.520000000004</v>
          </cell>
          <cell r="D475">
            <v>423.99</v>
          </cell>
          <cell r="E475">
            <v>14163.56</v>
          </cell>
          <cell r="F475">
            <v>-86967.09</v>
          </cell>
        </row>
        <row r="476">
          <cell r="A476" t="str">
            <v>4.001.021.0052</v>
          </cell>
          <cell r="B476" t="str">
            <v>Ventas Interior Contado Central</v>
          </cell>
          <cell r="C476">
            <v>-29009.86</v>
          </cell>
          <cell r="E476">
            <v>1166.75</v>
          </cell>
          <cell r="F476">
            <v>-30176.61</v>
          </cell>
        </row>
        <row r="477">
          <cell r="A477" t="str">
            <v>4.001.021.0053</v>
          </cell>
          <cell r="B477" t="str">
            <v>Ventas Asientos Contado Central</v>
          </cell>
          <cell r="C477">
            <v>-584.16</v>
          </cell>
          <cell r="E477">
            <v>56.67</v>
          </cell>
          <cell r="F477">
            <v>-640.83000000000004</v>
          </cell>
        </row>
        <row r="478">
          <cell r="A478" t="str">
            <v>4.001.021.0054</v>
          </cell>
          <cell r="B478" t="str">
            <v>Ventas Acces Eléctric Cont Central</v>
          </cell>
          <cell r="C478">
            <v>-343606.26</v>
          </cell>
          <cell r="D478">
            <v>4178.78</v>
          </cell>
          <cell r="E478">
            <v>33614.449999999997</v>
          </cell>
          <cell r="F478">
            <v>-373041.93</v>
          </cell>
        </row>
        <row r="479">
          <cell r="A479" t="str">
            <v>4.001.021.0055</v>
          </cell>
          <cell r="B479" t="str">
            <v>Ventas Calef/Vent Contado Central</v>
          </cell>
          <cell r="C479">
            <v>-29014.22</v>
          </cell>
          <cell r="D479">
            <v>3165.26</v>
          </cell>
          <cell r="E479">
            <v>5083.8900000000003</v>
          </cell>
          <cell r="F479">
            <v>-30932.85</v>
          </cell>
        </row>
        <row r="480">
          <cell r="A480" t="str">
            <v>4.001.021.0091</v>
          </cell>
          <cell r="B480" t="str">
            <v>Ventas Herramientas Contado Central</v>
          </cell>
          <cell r="C480">
            <v>-5992.62</v>
          </cell>
          <cell r="E480">
            <v>616.66</v>
          </cell>
          <cell r="F480">
            <v>-6609.28</v>
          </cell>
        </row>
        <row r="481">
          <cell r="A481" t="str">
            <v>4.001.022.0011</v>
          </cell>
          <cell r="B481" t="str">
            <v>Ventas Motor Crédito Central</v>
          </cell>
          <cell r="C481">
            <v>-830321.69</v>
          </cell>
          <cell r="D481">
            <v>12035.04</v>
          </cell>
          <cell r="E481">
            <v>101785.19</v>
          </cell>
          <cell r="F481">
            <v>-920071.84</v>
          </cell>
        </row>
        <row r="482">
          <cell r="A482" t="str">
            <v>4.001.022.0012</v>
          </cell>
          <cell r="B482" t="str">
            <v>Ventas Lubricación Crédito Central</v>
          </cell>
          <cell r="C482">
            <v>-709254.68</v>
          </cell>
          <cell r="D482">
            <v>11341.48</v>
          </cell>
          <cell r="E482">
            <v>80518.81</v>
          </cell>
          <cell r="F482">
            <v>-778432.01</v>
          </cell>
        </row>
        <row r="483">
          <cell r="A483" t="str">
            <v>4.001.022.0013</v>
          </cell>
          <cell r="B483" t="str">
            <v>Ventas Combustión Crédito Central</v>
          </cell>
          <cell r="C483">
            <v>-116502.94</v>
          </cell>
          <cell r="D483">
            <v>2565.23</v>
          </cell>
          <cell r="E483">
            <v>12652.64</v>
          </cell>
          <cell r="F483">
            <v>-126590.35</v>
          </cell>
        </row>
        <row r="484">
          <cell r="A484" t="str">
            <v>4.001.022.0014</v>
          </cell>
          <cell r="B484" t="str">
            <v>Ventas Enfriamiento Crédito Central</v>
          </cell>
          <cell r="C484">
            <v>-142147.42000000001</v>
          </cell>
          <cell r="D484">
            <v>772.88</v>
          </cell>
          <cell r="E484">
            <v>15485.85</v>
          </cell>
          <cell r="F484">
            <v>-156860.39000000001</v>
          </cell>
        </row>
        <row r="485">
          <cell r="A485" t="str">
            <v>4.001.022.0015</v>
          </cell>
          <cell r="B485" t="str">
            <v>Ventas Admisión/Escape Cred Central</v>
          </cell>
          <cell r="C485">
            <v>-123966.24</v>
          </cell>
          <cell r="D485">
            <v>2388.85</v>
          </cell>
          <cell r="E485">
            <v>22828.29</v>
          </cell>
          <cell r="F485">
            <v>-144405.68</v>
          </cell>
        </row>
        <row r="486">
          <cell r="A486" t="str">
            <v>4.001.022.0016</v>
          </cell>
          <cell r="B486" t="str">
            <v>Ventas Sist Eléct Crédito Central</v>
          </cell>
          <cell r="C486">
            <v>-5466270.5300000003</v>
          </cell>
          <cell r="D486">
            <v>2907.25</v>
          </cell>
          <cell r="E486">
            <v>369395.26</v>
          </cell>
          <cell r="F486">
            <v>-5832758.54</v>
          </cell>
        </row>
        <row r="487">
          <cell r="A487" t="str">
            <v>4.001.022.0021</v>
          </cell>
          <cell r="B487" t="str">
            <v>Ventas Clutch Crédito Central</v>
          </cell>
          <cell r="C487">
            <v>-229239.55</v>
          </cell>
          <cell r="E487">
            <v>24447.85</v>
          </cell>
          <cell r="F487">
            <v>-253687.4</v>
          </cell>
        </row>
        <row r="488">
          <cell r="A488" t="str">
            <v>4.001.022.0022</v>
          </cell>
          <cell r="B488" t="str">
            <v>Ventas Trans Manual Crédito Central</v>
          </cell>
          <cell r="C488">
            <v>-89029.85</v>
          </cell>
          <cell r="D488">
            <v>1499.09</v>
          </cell>
          <cell r="E488">
            <v>21857.279999999999</v>
          </cell>
          <cell r="F488">
            <v>-109388.04</v>
          </cell>
        </row>
        <row r="489">
          <cell r="A489" t="str">
            <v>4.001.022.0023</v>
          </cell>
          <cell r="B489" t="str">
            <v>Ventas Trans Autom Crédito Central</v>
          </cell>
          <cell r="C489">
            <v>-2701.66</v>
          </cell>
          <cell r="D489">
            <v>146.96</v>
          </cell>
          <cell r="E489">
            <v>3514.55</v>
          </cell>
          <cell r="F489">
            <v>-6069.25</v>
          </cell>
        </row>
        <row r="490">
          <cell r="A490" t="str">
            <v>4.001.022.0024</v>
          </cell>
          <cell r="B490" t="str">
            <v>Ventas Caja de Transf Cred Central</v>
          </cell>
          <cell r="C490">
            <v>-11023.06</v>
          </cell>
          <cell r="D490">
            <v>315.8</v>
          </cell>
          <cell r="E490">
            <v>788.77</v>
          </cell>
          <cell r="F490">
            <v>-11496.03</v>
          </cell>
        </row>
        <row r="491">
          <cell r="A491" t="str">
            <v>4.001.022.0025</v>
          </cell>
          <cell r="B491" t="str">
            <v>Ventas Eje Cardán Crédito Central</v>
          </cell>
          <cell r="C491">
            <v>-29124.95</v>
          </cell>
          <cell r="D491">
            <v>295.14999999999998</v>
          </cell>
          <cell r="E491">
            <v>2675.8</v>
          </cell>
          <cell r="F491">
            <v>-31505.599999999999</v>
          </cell>
        </row>
        <row r="492">
          <cell r="A492" t="str">
            <v>4.001.022.0026</v>
          </cell>
          <cell r="B492" t="str">
            <v>Ventas Eje Delant Crédito Central</v>
          </cell>
          <cell r="C492">
            <v>-111991.37</v>
          </cell>
          <cell r="D492">
            <v>126.13</v>
          </cell>
          <cell r="E492">
            <v>15270.95</v>
          </cell>
          <cell r="F492">
            <v>-127136.19</v>
          </cell>
        </row>
        <row r="493">
          <cell r="A493" t="str">
            <v>4.001.022.0027</v>
          </cell>
          <cell r="B493" t="str">
            <v>Ventas Eje Trasero Crédito Central</v>
          </cell>
          <cell r="C493">
            <v>-79525.240000000005</v>
          </cell>
          <cell r="D493">
            <v>331.08</v>
          </cell>
          <cell r="E493">
            <v>16566.240000000002</v>
          </cell>
          <cell r="F493">
            <v>-95760.4</v>
          </cell>
        </row>
        <row r="494">
          <cell r="A494" t="str">
            <v>4.001.022.0031</v>
          </cell>
          <cell r="B494" t="str">
            <v>Ventas Aros y LLantas Cred Central</v>
          </cell>
          <cell r="C494">
            <v>-31835</v>
          </cell>
          <cell r="D494">
            <v>177.18</v>
          </cell>
          <cell r="E494">
            <v>2394.14</v>
          </cell>
          <cell r="F494">
            <v>-34051.96</v>
          </cell>
        </row>
        <row r="495">
          <cell r="A495" t="str">
            <v>4.001.022.0033</v>
          </cell>
          <cell r="B495" t="str">
            <v>Ventas Susp Delantera Cred Central</v>
          </cell>
          <cell r="C495">
            <v>-200603.53</v>
          </cell>
          <cell r="D495">
            <v>1629.91</v>
          </cell>
          <cell r="E495">
            <v>22318.18</v>
          </cell>
          <cell r="F495">
            <v>-221291.8</v>
          </cell>
        </row>
        <row r="496">
          <cell r="A496" t="str">
            <v>4.001.022.0034</v>
          </cell>
          <cell r="B496" t="str">
            <v>Ventas Susp Trasera Crédito Central</v>
          </cell>
          <cell r="C496">
            <v>-49821.09</v>
          </cell>
          <cell r="D496">
            <v>116.12</v>
          </cell>
          <cell r="E496">
            <v>1899.46</v>
          </cell>
          <cell r="F496">
            <v>-51604.43</v>
          </cell>
        </row>
        <row r="497">
          <cell r="A497" t="str">
            <v>4.001.022.0035</v>
          </cell>
          <cell r="B497" t="str">
            <v>Ventas Frenos Crédito Central</v>
          </cell>
          <cell r="C497">
            <v>-235790.42</v>
          </cell>
          <cell r="D497">
            <v>1078.6400000000001</v>
          </cell>
          <cell r="E497">
            <v>30840.1</v>
          </cell>
          <cell r="F497">
            <v>-265551.88</v>
          </cell>
        </row>
        <row r="498">
          <cell r="A498" t="str">
            <v>4.001.022.0037</v>
          </cell>
          <cell r="B498" t="str">
            <v>Ventas Dirección Crédito Central</v>
          </cell>
          <cell r="C498">
            <v>-198770.72</v>
          </cell>
          <cell r="D498">
            <v>4135.4799999999996</v>
          </cell>
          <cell r="E498">
            <v>24558.31</v>
          </cell>
          <cell r="F498">
            <v>-219193.55</v>
          </cell>
        </row>
        <row r="499">
          <cell r="A499" t="str">
            <v>4.001.022.0041</v>
          </cell>
          <cell r="B499" t="str">
            <v>Ventas Chassis Crédito Central</v>
          </cell>
          <cell r="C499">
            <v>-145.03</v>
          </cell>
          <cell r="E499">
            <v>116.52</v>
          </cell>
          <cell r="F499">
            <v>-261.55</v>
          </cell>
        </row>
        <row r="500">
          <cell r="A500" t="str">
            <v>4.001.022.0042</v>
          </cell>
          <cell r="B500" t="str">
            <v>Ventas Carrocería Crédito Central</v>
          </cell>
          <cell r="C500">
            <v>-441457.53</v>
          </cell>
          <cell r="D500">
            <v>26751.25</v>
          </cell>
          <cell r="E500">
            <v>97218.39</v>
          </cell>
          <cell r="F500">
            <v>-511924.67</v>
          </cell>
        </row>
        <row r="501">
          <cell r="A501" t="str">
            <v>4.001.022.0043</v>
          </cell>
          <cell r="B501" t="str">
            <v>Ventas Puertas Crédito Central</v>
          </cell>
          <cell r="C501">
            <v>-130866.57</v>
          </cell>
          <cell r="D501">
            <v>5270.71</v>
          </cell>
          <cell r="E501">
            <v>17955.03</v>
          </cell>
          <cell r="F501">
            <v>-143550.89000000001</v>
          </cell>
        </row>
        <row r="502">
          <cell r="A502" t="str">
            <v>4.001.022.0044</v>
          </cell>
          <cell r="B502" t="str">
            <v>Ventas Carrocería Trase Cre Central</v>
          </cell>
          <cell r="C502">
            <v>-957.65</v>
          </cell>
          <cell r="E502">
            <v>750.08</v>
          </cell>
          <cell r="F502">
            <v>-1707.73</v>
          </cell>
        </row>
        <row r="503">
          <cell r="A503" t="str">
            <v>4.001.022.0051</v>
          </cell>
          <cell r="B503" t="str">
            <v>Ventas Exterior Crédito Central</v>
          </cell>
          <cell r="C503">
            <v>-48789.63</v>
          </cell>
          <cell r="D503">
            <v>1661.67</v>
          </cell>
          <cell r="E503">
            <v>5620.73</v>
          </cell>
          <cell r="F503">
            <v>-52748.69</v>
          </cell>
        </row>
        <row r="504">
          <cell r="A504" t="str">
            <v>4.001.022.0052</v>
          </cell>
          <cell r="B504" t="str">
            <v>Ventas Interior Crédito Central</v>
          </cell>
          <cell r="C504">
            <v>-8433.82</v>
          </cell>
          <cell r="E504">
            <v>744.96</v>
          </cell>
          <cell r="F504">
            <v>-9178.7800000000007</v>
          </cell>
        </row>
        <row r="505">
          <cell r="A505" t="str">
            <v>4.001.022.0053</v>
          </cell>
          <cell r="B505" t="str">
            <v>Ventas Asientos Crédito Central</v>
          </cell>
          <cell r="C505">
            <v>-45.02</v>
          </cell>
          <cell r="F505">
            <v>-45.02</v>
          </cell>
        </row>
        <row r="506">
          <cell r="A506" t="str">
            <v>4.001.022.0054</v>
          </cell>
          <cell r="B506" t="str">
            <v>Ventas Acces Eléctric Cred Central</v>
          </cell>
          <cell r="C506">
            <v>-292697.95</v>
          </cell>
          <cell r="D506">
            <v>18598.400000000001</v>
          </cell>
          <cell r="E506">
            <v>67210.47</v>
          </cell>
          <cell r="F506">
            <v>-341310.02</v>
          </cell>
        </row>
        <row r="507">
          <cell r="A507" t="str">
            <v>4.001.022.0055</v>
          </cell>
          <cell r="B507" t="str">
            <v>Ventas Calef/Vent Crédito Central</v>
          </cell>
          <cell r="C507">
            <v>-32229.95</v>
          </cell>
          <cell r="D507">
            <v>3981.07</v>
          </cell>
          <cell r="E507">
            <v>6386.15</v>
          </cell>
          <cell r="F507">
            <v>-34635.03</v>
          </cell>
        </row>
        <row r="508">
          <cell r="A508" t="str">
            <v>4.001.022.0091</v>
          </cell>
          <cell r="B508" t="str">
            <v>Ventas Herramientas Crédito Central</v>
          </cell>
          <cell r="C508">
            <v>-2650.61</v>
          </cell>
          <cell r="E508">
            <v>439.79</v>
          </cell>
          <cell r="F508">
            <v>-3090.4</v>
          </cell>
        </row>
        <row r="509">
          <cell r="A509" t="str">
            <v>4.001.025.0900</v>
          </cell>
          <cell r="B509" t="str">
            <v>Venta Accesorios Contado Central</v>
          </cell>
          <cell r="C509">
            <v>-107709.28</v>
          </cell>
          <cell r="D509">
            <v>8.42</v>
          </cell>
          <cell r="E509">
            <v>15477.01</v>
          </cell>
          <cell r="F509">
            <v>-123177.87</v>
          </cell>
        </row>
        <row r="510">
          <cell r="A510" t="str">
            <v>4.001.026.0900</v>
          </cell>
          <cell r="B510" t="str">
            <v>Venta Accesorios Crédito Central</v>
          </cell>
          <cell r="C510">
            <v>-48356.92</v>
          </cell>
          <cell r="D510">
            <v>1218.6400000000001</v>
          </cell>
          <cell r="E510">
            <v>8506.1299999999992</v>
          </cell>
          <cell r="F510">
            <v>-55644.41</v>
          </cell>
        </row>
        <row r="511">
          <cell r="A511" t="str">
            <v>4.002.021.0011</v>
          </cell>
          <cell r="B511" t="str">
            <v>Ventas Motor Contado Tívoli</v>
          </cell>
          <cell r="C511">
            <v>-185802.19</v>
          </cell>
          <cell r="D511">
            <v>2874.64</v>
          </cell>
          <cell r="E511">
            <v>23985.58</v>
          </cell>
          <cell r="F511">
            <v>-206913.13</v>
          </cell>
        </row>
        <row r="512">
          <cell r="A512" t="str">
            <v>4.002.021.0012</v>
          </cell>
          <cell r="B512" t="str">
            <v>Ventas Lubricación Contado Tívoli</v>
          </cell>
          <cell r="C512">
            <v>-113730.37</v>
          </cell>
          <cell r="D512">
            <v>879.57</v>
          </cell>
          <cell r="E512">
            <v>10466.44</v>
          </cell>
          <cell r="F512">
            <v>-123317.24</v>
          </cell>
        </row>
        <row r="513">
          <cell r="A513" t="str">
            <v>4.002.021.0013</v>
          </cell>
          <cell r="B513" t="str">
            <v>Ventas Combustión Contado Tívoli</v>
          </cell>
          <cell r="C513">
            <v>-33122.370000000003</v>
          </cell>
          <cell r="D513">
            <v>2561.48</v>
          </cell>
          <cell r="E513">
            <v>6642.91</v>
          </cell>
          <cell r="F513">
            <v>-37203.800000000003</v>
          </cell>
        </row>
        <row r="514">
          <cell r="A514" t="str">
            <v>4.002.021.0014</v>
          </cell>
          <cell r="B514" t="str">
            <v>Ventas Enfriamiento Contado Tívoli</v>
          </cell>
          <cell r="C514">
            <v>-49681.34</v>
          </cell>
          <cell r="D514">
            <v>1312.48</v>
          </cell>
          <cell r="E514">
            <v>6080.79</v>
          </cell>
          <cell r="F514">
            <v>-54449.65</v>
          </cell>
        </row>
        <row r="515">
          <cell r="A515" t="str">
            <v>4.002.021.0015</v>
          </cell>
          <cell r="B515" t="str">
            <v>Ventas Admisión/Escape Cont Tívoli</v>
          </cell>
          <cell r="C515">
            <v>-43867.33</v>
          </cell>
          <cell r="D515">
            <v>507.53</v>
          </cell>
          <cell r="E515">
            <v>5618.46</v>
          </cell>
          <cell r="F515">
            <v>-48978.26</v>
          </cell>
        </row>
        <row r="516">
          <cell r="A516" t="str">
            <v>4.002.021.0016</v>
          </cell>
          <cell r="B516" t="str">
            <v>Ventas Sist/Eléctrico Cont Tívoli</v>
          </cell>
          <cell r="C516">
            <v>-65719.259999999995</v>
          </cell>
          <cell r="D516">
            <v>2031.18</v>
          </cell>
          <cell r="E516">
            <v>12930.47</v>
          </cell>
          <cell r="F516">
            <v>-76618.55</v>
          </cell>
        </row>
        <row r="517">
          <cell r="A517" t="str">
            <v>4.002.021.0021</v>
          </cell>
          <cell r="B517" t="str">
            <v>Ventas Clutch Contado Tívoli</v>
          </cell>
          <cell r="C517">
            <v>-65400.2</v>
          </cell>
          <cell r="D517">
            <v>4781.16</v>
          </cell>
          <cell r="E517">
            <v>11389.03</v>
          </cell>
          <cell r="F517">
            <v>-72008.070000000007</v>
          </cell>
        </row>
        <row r="518">
          <cell r="A518" t="str">
            <v>4.002.021.0022</v>
          </cell>
          <cell r="B518" t="str">
            <v>Ventas Trans Manual Contado Tívoli</v>
          </cell>
          <cell r="C518">
            <v>-19627.080000000002</v>
          </cell>
          <cell r="E518">
            <v>1862.56</v>
          </cell>
          <cell r="F518">
            <v>-21489.64</v>
          </cell>
        </row>
        <row r="519">
          <cell r="A519" t="str">
            <v>4.002.021.0023</v>
          </cell>
          <cell r="B519" t="str">
            <v>Ventas Trans Automátic Cont Tívoli</v>
          </cell>
          <cell r="C519">
            <v>-2837.1</v>
          </cell>
          <cell r="E519">
            <v>88.18</v>
          </cell>
          <cell r="F519">
            <v>-2925.28</v>
          </cell>
        </row>
        <row r="520">
          <cell r="A520" t="str">
            <v>4.002.021.0024</v>
          </cell>
          <cell r="B520" t="str">
            <v>Ventas Caja de Transfer Con Tívoli</v>
          </cell>
          <cell r="C520">
            <v>-2744.67</v>
          </cell>
          <cell r="E520">
            <v>526.37</v>
          </cell>
          <cell r="F520">
            <v>-3271.04</v>
          </cell>
        </row>
        <row r="521">
          <cell r="A521" t="str">
            <v>4.002.021.0025</v>
          </cell>
          <cell r="B521" t="str">
            <v>Ventas Eje Cardán Contado Central</v>
          </cell>
          <cell r="C521">
            <v>-7086.95</v>
          </cell>
          <cell r="D521">
            <v>235.72</v>
          </cell>
          <cell r="E521">
            <v>2503.09</v>
          </cell>
          <cell r="F521">
            <v>-9354.32</v>
          </cell>
        </row>
        <row r="522">
          <cell r="A522" t="str">
            <v>4.002.021.0026</v>
          </cell>
          <cell r="B522" t="str">
            <v>Ventas Eje Delantero Cont Tívoli</v>
          </cell>
          <cell r="C522">
            <v>-29276.07</v>
          </cell>
          <cell r="E522">
            <v>4717.57</v>
          </cell>
          <cell r="F522">
            <v>-33993.64</v>
          </cell>
        </row>
        <row r="523">
          <cell r="A523" t="str">
            <v>4.002.021.0027</v>
          </cell>
          <cell r="B523" t="str">
            <v>Ventas Eje Trasero Contado Tívoli</v>
          </cell>
          <cell r="C523">
            <v>-13815.7</v>
          </cell>
          <cell r="E523">
            <v>1518.15</v>
          </cell>
          <cell r="F523">
            <v>-15333.85</v>
          </cell>
        </row>
        <row r="524">
          <cell r="A524" t="str">
            <v>4.002.021.0031</v>
          </cell>
          <cell r="B524" t="str">
            <v>Ventas Aros y LLantas Cont Tívoli</v>
          </cell>
          <cell r="C524">
            <v>-8337.52</v>
          </cell>
          <cell r="E524">
            <v>530.23</v>
          </cell>
          <cell r="F524">
            <v>-8867.75</v>
          </cell>
        </row>
        <row r="525">
          <cell r="A525" t="str">
            <v>4.002.021.0033</v>
          </cell>
          <cell r="B525" t="str">
            <v>Ventas Susp Delantera Cont Tívoli</v>
          </cell>
          <cell r="C525">
            <v>-68499.19</v>
          </cell>
          <cell r="D525">
            <v>1379.79</v>
          </cell>
          <cell r="E525">
            <v>5020.4399999999996</v>
          </cell>
          <cell r="F525">
            <v>-72139.839999999997</v>
          </cell>
        </row>
        <row r="526">
          <cell r="A526" t="str">
            <v>4.002.021.0034</v>
          </cell>
          <cell r="B526" t="str">
            <v>Ventas Susp Trasera Contado Tívoli</v>
          </cell>
          <cell r="C526">
            <v>-14643.94</v>
          </cell>
          <cell r="D526">
            <v>45.25</v>
          </cell>
          <cell r="E526">
            <v>2155</v>
          </cell>
          <cell r="F526">
            <v>-16753.689999999999</v>
          </cell>
        </row>
        <row r="527">
          <cell r="A527" t="str">
            <v>4.002.021.0035</v>
          </cell>
          <cell r="B527" t="str">
            <v>Ventas Frenos Contado Tívoli</v>
          </cell>
          <cell r="C527">
            <v>-86459.14</v>
          </cell>
          <cell r="D527">
            <v>902.4</v>
          </cell>
          <cell r="E527">
            <v>9732.7099999999991</v>
          </cell>
          <cell r="F527">
            <v>-95289.45</v>
          </cell>
        </row>
        <row r="528">
          <cell r="A528" t="str">
            <v>4.002.021.0037</v>
          </cell>
          <cell r="B528" t="str">
            <v>Ventas Dirección Contado Tívoli</v>
          </cell>
          <cell r="C528">
            <v>-64096.87</v>
          </cell>
          <cell r="D528">
            <v>1865.83</v>
          </cell>
          <cell r="E528">
            <v>7639.72</v>
          </cell>
          <cell r="F528">
            <v>-69870.759999999995</v>
          </cell>
        </row>
        <row r="529">
          <cell r="A529" t="str">
            <v>4.002.021.0041</v>
          </cell>
          <cell r="B529" t="str">
            <v>Ventas Chassis Contado Central</v>
          </cell>
          <cell r="C529">
            <v>-31.81</v>
          </cell>
          <cell r="F529">
            <v>-31.81</v>
          </cell>
        </row>
        <row r="530">
          <cell r="A530" t="str">
            <v>4.002.021.0042</v>
          </cell>
          <cell r="B530" t="str">
            <v>Ventas Carrocería Contado Tívoli</v>
          </cell>
          <cell r="C530">
            <v>-54439.37</v>
          </cell>
          <cell r="D530">
            <v>5433.58</v>
          </cell>
          <cell r="E530">
            <v>19056.580000000002</v>
          </cell>
          <cell r="F530">
            <v>-68062.37</v>
          </cell>
        </row>
        <row r="531">
          <cell r="A531" t="str">
            <v>4.002.021.0043</v>
          </cell>
          <cell r="B531" t="str">
            <v>Ventas Puertas Contado Tívoli</v>
          </cell>
          <cell r="C531">
            <v>-29329.94</v>
          </cell>
          <cell r="E531">
            <v>1319.84</v>
          </cell>
          <cell r="F531">
            <v>-30649.78</v>
          </cell>
        </row>
        <row r="532">
          <cell r="A532" t="str">
            <v>4.002.021.0044</v>
          </cell>
          <cell r="B532" t="str">
            <v>Ventas Carrocería Trasera Cont.Cent</v>
          </cell>
          <cell r="C532">
            <v>-264.52999999999997</v>
          </cell>
          <cell r="F532">
            <v>-264.52999999999997</v>
          </cell>
        </row>
        <row r="533">
          <cell r="A533" t="str">
            <v>4.002.021.0051</v>
          </cell>
          <cell r="B533" t="str">
            <v>Ventas Exterior Contado Tívoli</v>
          </cell>
          <cell r="C533">
            <v>-17943.54</v>
          </cell>
          <cell r="D533">
            <v>280.81</v>
          </cell>
          <cell r="E533">
            <v>1906.9</v>
          </cell>
          <cell r="F533">
            <v>-19569.63</v>
          </cell>
        </row>
        <row r="534">
          <cell r="A534" t="str">
            <v>4.002.021.0052</v>
          </cell>
          <cell r="B534" t="str">
            <v>Ventas Interior Contado Tívoli</v>
          </cell>
          <cell r="C534">
            <v>-7844.92</v>
          </cell>
          <cell r="E534">
            <v>1126.28</v>
          </cell>
          <cell r="F534">
            <v>-8971.2000000000007</v>
          </cell>
        </row>
        <row r="535">
          <cell r="A535" t="str">
            <v>4.002.021.0053</v>
          </cell>
          <cell r="B535" t="str">
            <v>Ventas Asientos Contado Tívoli</v>
          </cell>
          <cell r="C535">
            <v>-22.5</v>
          </cell>
          <cell r="F535">
            <v>-22.5</v>
          </cell>
        </row>
        <row r="536">
          <cell r="A536" t="str">
            <v>4.002.021.0054</v>
          </cell>
          <cell r="B536" t="str">
            <v>Ventas Acces Eléctric Cont Tívoli</v>
          </cell>
          <cell r="C536">
            <v>-77331.509999999995</v>
          </cell>
          <cell r="D536">
            <v>1279.24</v>
          </cell>
          <cell r="E536">
            <v>15520.96</v>
          </cell>
          <cell r="F536">
            <v>-91573.23</v>
          </cell>
        </row>
        <row r="537">
          <cell r="A537" t="str">
            <v>4.002.021.0055</v>
          </cell>
          <cell r="B537" t="str">
            <v>Ventas Calef/Vent Contado Tívoli</v>
          </cell>
          <cell r="C537">
            <v>-9142.39</v>
          </cell>
          <cell r="D537">
            <v>177.19</v>
          </cell>
          <cell r="E537">
            <v>479.89</v>
          </cell>
          <cell r="F537">
            <v>-9445.09</v>
          </cell>
        </row>
        <row r="538">
          <cell r="A538" t="str">
            <v>4.002.021.0091</v>
          </cell>
          <cell r="B538" t="str">
            <v>Ventas Herramientas Contado Tívoli</v>
          </cell>
          <cell r="C538">
            <v>-906.51</v>
          </cell>
          <cell r="E538">
            <v>207.22</v>
          </cell>
          <cell r="F538">
            <v>-1113.73</v>
          </cell>
        </row>
        <row r="539">
          <cell r="A539" t="str">
            <v>4.002.022.0011</v>
          </cell>
          <cell r="B539" t="str">
            <v>Ventas Motor Crédito Tívoli</v>
          </cell>
          <cell r="C539">
            <v>-921758.71999999997</v>
          </cell>
          <cell r="D539">
            <v>24953.8</v>
          </cell>
          <cell r="E539">
            <v>147674.70000000001</v>
          </cell>
          <cell r="F539">
            <v>-1044479.62</v>
          </cell>
        </row>
        <row r="540">
          <cell r="A540" t="str">
            <v>4.002.022.0012</v>
          </cell>
          <cell r="B540" t="str">
            <v>Ventas Lubricación Crédito Tívoli</v>
          </cell>
          <cell r="C540">
            <v>-1476198.19</v>
          </cell>
          <cell r="D540">
            <v>7175.72</v>
          </cell>
          <cell r="E540">
            <v>178479.88</v>
          </cell>
          <cell r="F540">
            <v>-1647502.35</v>
          </cell>
        </row>
        <row r="541">
          <cell r="A541" t="str">
            <v>4.002.022.0013</v>
          </cell>
          <cell r="B541" t="str">
            <v>Ventas Combustión Crédito Tívoli</v>
          </cell>
          <cell r="C541">
            <v>-159516.95000000001</v>
          </cell>
          <cell r="D541">
            <v>484.64</v>
          </cell>
          <cell r="E541">
            <v>26658.06</v>
          </cell>
          <cell r="F541">
            <v>-185690.37</v>
          </cell>
        </row>
        <row r="542">
          <cell r="A542" t="str">
            <v>4.002.022.0014</v>
          </cell>
          <cell r="B542" t="str">
            <v>Ventas Enfriamiento Crédito Tívoli</v>
          </cell>
          <cell r="C542">
            <v>-272089.59000000003</v>
          </cell>
          <cell r="D542">
            <v>9314.52</v>
          </cell>
          <cell r="E542">
            <v>39487.81</v>
          </cell>
          <cell r="F542">
            <v>-302262.88</v>
          </cell>
        </row>
        <row r="543">
          <cell r="A543" t="str">
            <v>4.002.022.0015</v>
          </cell>
          <cell r="B543" t="str">
            <v>Ventas Admisión/Escape Cred Tívoli</v>
          </cell>
          <cell r="C543">
            <v>-348572.9</v>
          </cell>
          <cell r="D543">
            <v>1732.57</v>
          </cell>
          <cell r="E543">
            <v>56173.88</v>
          </cell>
          <cell r="F543">
            <v>-403014.21</v>
          </cell>
        </row>
        <row r="544">
          <cell r="A544" t="str">
            <v>4.002.022.0016</v>
          </cell>
          <cell r="B544" t="str">
            <v>Ventas Sist Eléct Crédito Tívoli</v>
          </cell>
          <cell r="C544">
            <v>-237399.23</v>
          </cell>
          <cell r="D544">
            <v>3836.6</v>
          </cell>
          <cell r="E544">
            <v>33804.83</v>
          </cell>
          <cell r="F544">
            <v>-267367.46000000002</v>
          </cell>
        </row>
        <row r="545">
          <cell r="A545" t="str">
            <v>4.002.022.0021</v>
          </cell>
          <cell r="B545" t="str">
            <v>Ventas Clutch Crédito Tívoli</v>
          </cell>
          <cell r="C545">
            <v>-258519.35</v>
          </cell>
          <cell r="D545">
            <v>3232.87</v>
          </cell>
          <cell r="E545">
            <v>37073.1</v>
          </cell>
          <cell r="F545">
            <v>-292359.58</v>
          </cell>
        </row>
        <row r="546">
          <cell r="A546" t="str">
            <v>4.002.022.0022</v>
          </cell>
          <cell r="B546" t="str">
            <v>Ventas Trans Manual Crédito Tívoli</v>
          </cell>
          <cell r="C546">
            <v>-85046.41</v>
          </cell>
          <cell r="E546">
            <v>8610.7999999999993</v>
          </cell>
          <cell r="F546">
            <v>-93657.21</v>
          </cell>
        </row>
        <row r="547">
          <cell r="A547" t="str">
            <v>4.002.022.0023</v>
          </cell>
          <cell r="B547" t="str">
            <v>Ventas Trans Autom Crédito Tívoli</v>
          </cell>
          <cell r="C547">
            <v>-18040.86</v>
          </cell>
          <cell r="E547">
            <v>13389.02</v>
          </cell>
          <cell r="F547">
            <v>-31429.88</v>
          </cell>
        </row>
        <row r="548">
          <cell r="A548" t="str">
            <v>4.002.022.0024</v>
          </cell>
          <cell r="B548" t="str">
            <v>Ventas Caja de Transf Cred Tívoli</v>
          </cell>
          <cell r="C548">
            <v>-10587.94</v>
          </cell>
          <cell r="E548">
            <v>1739.73</v>
          </cell>
          <cell r="F548">
            <v>-12327.67</v>
          </cell>
        </row>
        <row r="549">
          <cell r="A549" t="str">
            <v>4.002.022.0025</v>
          </cell>
          <cell r="B549" t="str">
            <v>Ventas Eje Cardán Contado Tívoli</v>
          </cell>
          <cell r="C549">
            <v>-37647.96</v>
          </cell>
          <cell r="D549">
            <v>706.38</v>
          </cell>
          <cell r="E549">
            <v>4104.18</v>
          </cell>
          <cell r="F549">
            <v>-41045.760000000002</v>
          </cell>
        </row>
        <row r="550">
          <cell r="A550" t="str">
            <v>4.002.022.0026</v>
          </cell>
          <cell r="B550" t="str">
            <v>Ventas Eje Delant Crédito Tívoli</v>
          </cell>
          <cell r="C550">
            <v>-192015.99</v>
          </cell>
          <cell r="D550">
            <v>903.68</v>
          </cell>
          <cell r="E550">
            <v>16172.27</v>
          </cell>
          <cell r="F550">
            <v>-207284.58</v>
          </cell>
        </row>
        <row r="551">
          <cell r="A551" t="str">
            <v>4.002.022.0027</v>
          </cell>
          <cell r="B551" t="str">
            <v>Ventas Eje Trasero Crédito Tívoli</v>
          </cell>
          <cell r="C551">
            <v>-72360.89</v>
          </cell>
          <cell r="E551">
            <v>2570.1999999999998</v>
          </cell>
          <cell r="F551">
            <v>-74931.09</v>
          </cell>
        </row>
        <row r="552">
          <cell r="A552" t="str">
            <v>4.002.022.0031</v>
          </cell>
          <cell r="B552" t="str">
            <v>Ventas Aros y LLantas Cred Tívoli</v>
          </cell>
          <cell r="C552">
            <v>-32801.440000000002</v>
          </cell>
          <cell r="D552">
            <v>498.1</v>
          </cell>
          <cell r="E552">
            <v>7530.12</v>
          </cell>
          <cell r="F552">
            <v>-39833.46</v>
          </cell>
        </row>
        <row r="553">
          <cell r="A553" t="str">
            <v>4.002.022.0033</v>
          </cell>
          <cell r="B553" t="str">
            <v>Ventas Susp Delantera Cred Tívoli</v>
          </cell>
          <cell r="C553">
            <v>-220714.32</v>
          </cell>
          <cell r="D553">
            <v>6963.49</v>
          </cell>
          <cell r="E553">
            <v>46214.239999999998</v>
          </cell>
          <cell r="F553">
            <v>-259965.07</v>
          </cell>
        </row>
        <row r="554">
          <cell r="A554" t="str">
            <v>4.002.022.0034</v>
          </cell>
          <cell r="B554" t="str">
            <v>Ventas Susp Trasera Crédito Tívoli</v>
          </cell>
          <cell r="C554">
            <v>-75585.19</v>
          </cell>
          <cell r="D554">
            <v>703.62</v>
          </cell>
          <cell r="E554">
            <v>7111.62</v>
          </cell>
          <cell r="F554">
            <v>-81993.19</v>
          </cell>
        </row>
        <row r="555">
          <cell r="A555" t="str">
            <v>4.002.022.0035</v>
          </cell>
          <cell r="B555" t="str">
            <v>Ventas Frenos Crédito Tívoli</v>
          </cell>
          <cell r="C555">
            <v>-547075.18000000005</v>
          </cell>
          <cell r="D555">
            <v>3903.86</v>
          </cell>
          <cell r="E555">
            <v>68566.240000000005</v>
          </cell>
          <cell r="F555">
            <v>-611737.56000000006</v>
          </cell>
        </row>
        <row r="556">
          <cell r="A556" t="str">
            <v>4.002.022.0037</v>
          </cell>
          <cell r="B556" t="str">
            <v>Ventas Dirección Crédito Tívoli</v>
          </cell>
          <cell r="C556">
            <v>-264975</v>
          </cell>
          <cell r="D556">
            <v>8461.67</v>
          </cell>
          <cell r="E556">
            <v>46222.080000000002</v>
          </cell>
          <cell r="F556">
            <v>-302735.40999999997</v>
          </cell>
        </row>
        <row r="557">
          <cell r="A557" t="str">
            <v>4.002.022.0041</v>
          </cell>
          <cell r="B557" t="str">
            <v>Ventas Chassis Crédito Tívoli</v>
          </cell>
          <cell r="C557">
            <v>-333.02</v>
          </cell>
          <cell r="F557">
            <v>-333.02</v>
          </cell>
        </row>
        <row r="558">
          <cell r="A558" t="str">
            <v>4.002.022.0042</v>
          </cell>
          <cell r="B558" t="str">
            <v>Ventas Carrocería Crédito Tívoli</v>
          </cell>
          <cell r="C558">
            <v>-947122.02</v>
          </cell>
          <cell r="D558">
            <v>17557.419999999998</v>
          </cell>
          <cell r="E558">
            <v>167911.85</v>
          </cell>
          <cell r="F558">
            <v>-1097476.45</v>
          </cell>
        </row>
        <row r="559">
          <cell r="A559" t="str">
            <v>4.002.022.0043</v>
          </cell>
          <cell r="B559" t="str">
            <v>Ventas Puertas Crédito Tívoli</v>
          </cell>
          <cell r="C559">
            <v>-191587.9</v>
          </cell>
          <cell r="D559">
            <v>331.22</v>
          </cell>
          <cell r="E559">
            <v>24844.43</v>
          </cell>
          <cell r="F559">
            <v>-216101.11</v>
          </cell>
        </row>
        <row r="560">
          <cell r="A560" t="str">
            <v>4.002.022.0044</v>
          </cell>
          <cell r="B560" t="str">
            <v>Ventas Carrocería Tras Cred Tívoli</v>
          </cell>
          <cell r="C560">
            <v>-352.76</v>
          </cell>
          <cell r="E560">
            <v>148.63999999999999</v>
          </cell>
          <cell r="F560">
            <v>-501.4</v>
          </cell>
        </row>
        <row r="561">
          <cell r="A561" t="str">
            <v>4.002.022.0051</v>
          </cell>
          <cell r="B561" t="str">
            <v>Ventas Exterior Crédito Tívoli</v>
          </cell>
          <cell r="C561">
            <v>-77323.56</v>
          </cell>
          <cell r="D561">
            <v>2157.5300000000002</v>
          </cell>
          <cell r="E561">
            <v>10663.29</v>
          </cell>
          <cell r="F561">
            <v>-85829.32</v>
          </cell>
        </row>
        <row r="562">
          <cell r="A562" t="str">
            <v>4.002.022.0052</v>
          </cell>
          <cell r="B562" t="str">
            <v>Ventas Interior Crédito Tívoli</v>
          </cell>
          <cell r="C562">
            <v>-30076.89</v>
          </cell>
          <cell r="E562">
            <v>2540.87</v>
          </cell>
          <cell r="F562">
            <v>-32617.759999999998</v>
          </cell>
        </row>
        <row r="563">
          <cell r="A563" t="str">
            <v>4.002.022.0053</v>
          </cell>
          <cell r="B563" t="str">
            <v>Ventas Asientos Crédito Tívoli</v>
          </cell>
          <cell r="C563">
            <v>-1590.87</v>
          </cell>
          <cell r="F563">
            <v>-1590.87</v>
          </cell>
        </row>
        <row r="564">
          <cell r="A564" t="str">
            <v>4.002.022.0054</v>
          </cell>
          <cell r="B564" t="str">
            <v>Ventas Acces Eléctric Cred Tívoli</v>
          </cell>
          <cell r="C564">
            <v>-406540.9</v>
          </cell>
          <cell r="D564">
            <v>4676.8900000000003</v>
          </cell>
          <cell r="E564">
            <v>64226.239999999998</v>
          </cell>
          <cell r="F564">
            <v>-466090.25</v>
          </cell>
        </row>
        <row r="565">
          <cell r="A565" t="str">
            <v>4.002.022.0055</v>
          </cell>
          <cell r="B565" t="str">
            <v>Ventas Calef/Vent Crédito Tívoli</v>
          </cell>
          <cell r="C565">
            <v>-112323.23</v>
          </cell>
          <cell r="D565">
            <v>3745.01</v>
          </cell>
          <cell r="E565">
            <v>16662.22</v>
          </cell>
          <cell r="F565">
            <v>-125240.44</v>
          </cell>
        </row>
        <row r="566">
          <cell r="A566" t="str">
            <v>4.002.022.0091</v>
          </cell>
          <cell r="B566" t="str">
            <v>Ventas Herramientas Crédito Tívoli</v>
          </cell>
          <cell r="C566">
            <v>-3829.58</v>
          </cell>
          <cell r="E566">
            <v>14.4</v>
          </cell>
          <cell r="F566">
            <v>-3843.98</v>
          </cell>
        </row>
        <row r="567">
          <cell r="A567" t="str">
            <v>4.002.024.0042</v>
          </cell>
          <cell r="B567" t="str">
            <v>Reb/Dev Carrocería Crédito Tívoli</v>
          </cell>
          <cell r="C567">
            <v>2713.71</v>
          </cell>
          <cell r="F567">
            <v>2713.71</v>
          </cell>
        </row>
        <row r="568">
          <cell r="A568" t="str">
            <v>4.002.025.0900</v>
          </cell>
          <cell r="B568" t="str">
            <v>Venta Accesorios Contado Tívoli</v>
          </cell>
          <cell r="C568">
            <v>-23850.92</v>
          </cell>
          <cell r="D568">
            <v>128.57</v>
          </cell>
          <cell r="E568">
            <v>3225.06</v>
          </cell>
          <cell r="F568">
            <v>-26947.41</v>
          </cell>
        </row>
        <row r="569">
          <cell r="A569" t="str">
            <v>4.002.026.0900</v>
          </cell>
          <cell r="B569" t="str">
            <v>Venta Accesorios Crédito Tívoli</v>
          </cell>
          <cell r="C569">
            <v>-75032.33</v>
          </cell>
          <cell r="D569">
            <v>1601.16</v>
          </cell>
          <cell r="E569">
            <v>19548.62</v>
          </cell>
          <cell r="F569">
            <v>-92979.79</v>
          </cell>
        </row>
        <row r="570">
          <cell r="A570" t="str">
            <v>4.003.021.0011</v>
          </cell>
          <cell r="B570" t="str">
            <v>Ventas Motor Contado Terminal</v>
          </cell>
          <cell r="C570">
            <v>-347651.82</v>
          </cell>
          <cell r="D570">
            <v>2152.11</v>
          </cell>
          <cell r="E570">
            <v>60441.62</v>
          </cell>
          <cell r="F570">
            <v>-405941.33</v>
          </cell>
        </row>
        <row r="571">
          <cell r="A571" t="str">
            <v>4.003.021.0012</v>
          </cell>
          <cell r="B571" t="str">
            <v>Ventas Lubricación Contado Terminal</v>
          </cell>
          <cell r="C571">
            <v>-174491.51999999999</v>
          </cell>
          <cell r="D571">
            <v>133.46</v>
          </cell>
          <cell r="E571">
            <v>33371.050000000003</v>
          </cell>
          <cell r="F571">
            <v>-207729.11</v>
          </cell>
        </row>
        <row r="572">
          <cell r="A572" t="str">
            <v>4.003.021.0013</v>
          </cell>
          <cell r="B572" t="str">
            <v>Ventas Combustión Contado Terminal</v>
          </cell>
          <cell r="C572">
            <v>-33692.81</v>
          </cell>
          <cell r="E572">
            <v>2232.33</v>
          </cell>
          <cell r="F572">
            <v>-35925.14</v>
          </cell>
        </row>
        <row r="573">
          <cell r="A573" t="str">
            <v>4.003.021.0014</v>
          </cell>
          <cell r="B573" t="str">
            <v>Ventas Enfriamiento Cont TerminaL</v>
          </cell>
          <cell r="C573">
            <v>-42861.81</v>
          </cell>
          <cell r="D573">
            <v>187.48</v>
          </cell>
          <cell r="E573">
            <v>5105.33</v>
          </cell>
          <cell r="F573">
            <v>-47779.66</v>
          </cell>
        </row>
        <row r="574">
          <cell r="A574" t="str">
            <v>4.003.021.0015</v>
          </cell>
          <cell r="B574" t="str">
            <v>Ventas Admisión/Escape Cont Termina</v>
          </cell>
          <cell r="C574">
            <v>-15226.88</v>
          </cell>
          <cell r="E574">
            <v>1504.89</v>
          </cell>
          <cell r="F574">
            <v>-16731.77</v>
          </cell>
        </row>
        <row r="575">
          <cell r="A575" t="str">
            <v>4.003.021.0016</v>
          </cell>
          <cell r="B575" t="str">
            <v>Ventas Sist/Eléctrico Cont Terminal</v>
          </cell>
          <cell r="C575">
            <v>-49331.58</v>
          </cell>
          <cell r="D575">
            <v>327.64999999999998</v>
          </cell>
          <cell r="E575">
            <v>9983.09</v>
          </cell>
          <cell r="F575">
            <v>-58987.02</v>
          </cell>
        </row>
        <row r="576">
          <cell r="A576" t="str">
            <v>4.003.021.0021</v>
          </cell>
          <cell r="B576" t="str">
            <v>Ventas Clutch Contado Terminal</v>
          </cell>
          <cell r="C576">
            <v>-57703.43</v>
          </cell>
          <cell r="D576">
            <v>308.39</v>
          </cell>
          <cell r="E576">
            <v>6232.14</v>
          </cell>
          <cell r="F576">
            <v>-63627.18</v>
          </cell>
        </row>
        <row r="577">
          <cell r="A577" t="str">
            <v>4.003.021.0022</v>
          </cell>
          <cell r="B577" t="str">
            <v>Ventas Trans Manual Contad TerminaL</v>
          </cell>
          <cell r="C577">
            <v>-39183.39</v>
          </cell>
          <cell r="D577">
            <v>1322.16</v>
          </cell>
          <cell r="E577">
            <v>4749.93</v>
          </cell>
          <cell r="F577">
            <v>-42611.16</v>
          </cell>
        </row>
        <row r="578">
          <cell r="A578" t="str">
            <v>4.003.021.0023</v>
          </cell>
          <cell r="B578" t="str">
            <v>Ventas Trans Automátic Cont Termina</v>
          </cell>
          <cell r="C578">
            <v>-1088.3900000000001</v>
          </cell>
          <cell r="E578">
            <v>14.49</v>
          </cell>
          <cell r="F578">
            <v>-1102.8800000000001</v>
          </cell>
        </row>
        <row r="579">
          <cell r="A579" t="str">
            <v>4.003.021.0024</v>
          </cell>
          <cell r="B579" t="str">
            <v>Ventas Caja de Transf Cont Terminal</v>
          </cell>
          <cell r="C579">
            <v>-2738.35</v>
          </cell>
          <cell r="D579">
            <v>50.84</v>
          </cell>
          <cell r="E579">
            <v>176.21</v>
          </cell>
          <cell r="F579">
            <v>-2863.72</v>
          </cell>
        </row>
        <row r="580">
          <cell r="A580" t="str">
            <v>4.003.021.0025</v>
          </cell>
          <cell r="B580" t="str">
            <v>Ventas Eje Cardán Contado Terminal</v>
          </cell>
          <cell r="C580">
            <v>-9096.48</v>
          </cell>
          <cell r="E580">
            <v>1029.8699999999999</v>
          </cell>
          <cell r="F580">
            <v>-10126.35</v>
          </cell>
        </row>
        <row r="581">
          <cell r="A581" t="str">
            <v>4.003.021.0026</v>
          </cell>
          <cell r="B581" t="str">
            <v>Ventas Eje Delantero Cont Terminal</v>
          </cell>
          <cell r="C581">
            <v>-38111.75</v>
          </cell>
          <cell r="E581">
            <v>1146.6300000000001</v>
          </cell>
          <cell r="F581">
            <v>-39258.379999999997</v>
          </cell>
        </row>
        <row r="582">
          <cell r="A582" t="str">
            <v>4.003.021.0027</v>
          </cell>
          <cell r="B582" t="str">
            <v>Ventas Eje Trasero Contado Terminal</v>
          </cell>
          <cell r="C582">
            <v>-37213.230000000003</v>
          </cell>
          <cell r="E582">
            <v>671.83</v>
          </cell>
          <cell r="F582">
            <v>-37885.06</v>
          </cell>
        </row>
        <row r="583">
          <cell r="A583" t="str">
            <v>4.003.021.0031</v>
          </cell>
          <cell r="B583" t="str">
            <v>Ventas Aros y LLantas Cont Terminal</v>
          </cell>
          <cell r="C583">
            <v>-7185.71</v>
          </cell>
          <cell r="E583">
            <v>671.12</v>
          </cell>
          <cell r="F583">
            <v>-7856.83</v>
          </cell>
        </row>
        <row r="584">
          <cell r="A584" t="str">
            <v>4.003.021.0033</v>
          </cell>
          <cell r="B584" t="str">
            <v>Ventas Susp Delantera Cont Terminal</v>
          </cell>
          <cell r="C584">
            <v>-78552.539999999994</v>
          </cell>
          <cell r="D584">
            <v>1641.98</v>
          </cell>
          <cell r="E584">
            <v>10326.9</v>
          </cell>
          <cell r="F584">
            <v>-87237.46</v>
          </cell>
        </row>
        <row r="585">
          <cell r="A585" t="str">
            <v>4.003.021.0034</v>
          </cell>
          <cell r="B585" t="str">
            <v>Ventas Susp Trasera Contado Termina</v>
          </cell>
          <cell r="C585">
            <v>-16717.18</v>
          </cell>
          <cell r="E585">
            <v>2788.18</v>
          </cell>
          <cell r="F585">
            <v>-19505.36</v>
          </cell>
        </row>
        <row r="586">
          <cell r="A586" t="str">
            <v>4.003.021.0035</v>
          </cell>
          <cell r="B586" t="str">
            <v>Ventas Frenos Contado Terminal</v>
          </cell>
          <cell r="C586">
            <v>-84551.49</v>
          </cell>
          <cell r="D586">
            <v>890.16</v>
          </cell>
          <cell r="E586">
            <v>8039.7</v>
          </cell>
          <cell r="F586">
            <v>-91701.03</v>
          </cell>
        </row>
        <row r="587">
          <cell r="A587" t="str">
            <v>4.003.021.0037</v>
          </cell>
          <cell r="B587" t="str">
            <v>Ventas Dirección Contado Terminal</v>
          </cell>
          <cell r="C587">
            <v>-62272.7</v>
          </cell>
          <cell r="D587">
            <v>1019.61</v>
          </cell>
          <cell r="E587">
            <v>13167.88</v>
          </cell>
          <cell r="F587">
            <v>-74420.97</v>
          </cell>
        </row>
        <row r="588">
          <cell r="A588" t="str">
            <v>4.003.021.0041</v>
          </cell>
          <cell r="B588" t="str">
            <v>Ventas Chassis Contado Terminal</v>
          </cell>
          <cell r="C588">
            <v>-283.08</v>
          </cell>
          <cell r="F588">
            <v>-283.08</v>
          </cell>
        </row>
        <row r="589">
          <cell r="A589" t="str">
            <v>4.003.021.0042</v>
          </cell>
          <cell r="B589" t="str">
            <v>Ventas Carrocería Contado Terminal</v>
          </cell>
          <cell r="C589">
            <v>-26240.55</v>
          </cell>
          <cell r="E589">
            <v>4285.8100000000004</v>
          </cell>
          <cell r="F589">
            <v>-30526.36</v>
          </cell>
        </row>
        <row r="590">
          <cell r="A590" t="str">
            <v>4.003.021.0043</v>
          </cell>
          <cell r="B590" t="str">
            <v>Ventas Puertas Contado Terminal</v>
          </cell>
          <cell r="C590">
            <v>-30751.8</v>
          </cell>
          <cell r="E590">
            <v>2432.4</v>
          </cell>
          <cell r="F590">
            <v>-33184.199999999997</v>
          </cell>
        </row>
        <row r="591">
          <cell r="A591" t="str">
            <v>4.003.021.0044</v>
          </cell>
          <cell r="B591" t="str">
            <v>Ventas Carroc Trasera Cont Terminal</v>
          </cell>
          <cell r="C591">
            <v>-666.22</v>
          </cell>
          <cell r="F591">
            <v>-666.22</v>
          </cell>
        </row>
        <row r="592">
          <cell r="A592" t="str">
            <v>4.003.021.0051</v>
          </cell>
          <cell r="B592" t="str">
            <v>Ventas Exterior Contado Terminal</v>
          </cell>
          <cell r="C592">
            <v>-8196.23</v>
          </cell>
          <cell r="D592">
            <v>110.74</v>
          </cell>
          <cell r="E592">
            <v>1332.99</v>
          </cell>
          <cell r="F592">
            <v>-9418.48</v>
          </cell>
        </row>
        <row r="593">
          <cell r="A593" t="str">
            <v>4.003.021.0052</v>
          </cell>
          <cell r="B593" t="str">
            <v>Ventas Interior Contado Terminal</v>
          </cell>
          <cell r="C593">
            <v>-1508.24</v>
          </cell>
          <cell r="F593">
            <v>-1508.24</v>
          </cell>
        </row>
        <row r="594">
          <cell r="A594" t="str">
            <v>4.003.021.0053</v>
          </cell>
          <cell r="B594" t="str">
            <v>Ventas Asientos Contado Terminal</v>
          </cell>
          <cell r="C594">
            <v>-56.27</v>
          </cell>
          <cell r="F594">
            <v>-56.27</v>
          </cell>
        </row>
        <row r="595">
          <cell r="A595" t="str">
            <v>4.003.021.0054</v>
          </cell>
          <cell r="B595" t="str">
            <v>Ventas Acces Eléctric Cont Terminal</v>
          </cell>
          <cell r="C595">
            <v>-44612.56</v>
          </cell>
          <cell r="D595">
            <v>183.19</v>
          </cell>
          <cell r="E595">
            <v>11823.93</v>
          </cell>
          <cell r="F595">
            <v>-56253.3</v>
          </cell>
        </row>
        <row r="596">
          <cell r="A596" t="str">
            <v>4.003.021.0055</v>
          </cell>
          <cell r="B596" t="str">
            <v>Ventas Calef/Vent Contado Terminal</v>
          </cell>
          <cell r="C596">
            <v>-1151.8399999999999</v>
          </cell>
          <cell r="D596">
            <v>118.17</v>
          </cell>
          <cell r="E596">
            <v>438.64</v>
          </cell>
          <cell r="F596">
            <v>-1472.31</v>
          </cell>
        </row>
        <row r="597">
          <cell r="A597" t="str">
            <v>4.003.021.0091</v>
          </cell>
          <cell r="B597" t="str">
            <v>Ventas Herramientas Contado Termina</v>
          </cell>
          <cell r="C597">
            <v>-1062.1300000000001</v>
          </cell>
          <cell r="F597">
            <v>-1062.1300000000001</v>
          </cell>
        </row>
        <row r="598">
          <cell r="A598" t="str">
            <v>4.003.022.0011</v>
          </cell>
          <cell r="B598" t="str">
            <v>Ventas Motor Crédito Terminal</v>
          </cell>
          <cell r="C598">
            <v>-58316.51</v>
          </cell>
          <cell r="D598">
            <v>1537.55</v>
          </cell>
          <cell r="E598">
            <v>6249.94</v>
          </cell>
          <cell r="F598">
            <v>-63028.9</v>
          </cell>
        </row>
        <row r="599">
          <cell r="A599" t="str">
            <v>4.003.022.0012</v>
          </cell>
          <cell r="B599" t="str">
            <v>Ventas Lubricación Crédito Terminal</v>
          </cell>
          <cell r="C599">
            <v>-8040.35</v>
          </cell>
          <cell r="E599">
            <v>698.74</v>
          </cell>
          <cell r="F599">
            <v>-8739.09</v>
          </cell>
        </row>
        <row r="600">
          <cell r="A600" t="str">
            <v>4.003.022.0013</v>
          </cell>
          <cell r="B600" t="str">
            <v>Ventas Combustión Crédito Terminal</v>
          </cell>
          <cell r="C600">
            <v>-6697.46</v>
          </cell>
          <cell r="E600">
            <v>249.35</v>
          </cell>
          <cell r="F600">
            <v>-6946.81</v>
          </cell>
        </row>
        <row r="601">
          <cell r="A601" t="str">
            <v>4.003.022.0014</v>
          </cell>
          <cell r="B601" t="str">
            <v>Ventas Enfriamiento Crédito Termina</v>
          </cell>
          <cell r="C601">
            <v>-9424.6200000000008</v>
          </cell>
          <cell r="E601">
            <v>223.01</v>
          </cell>
          <cell r="F601">
            <v>-9647.6299999999992</v>
          </cell>
        </row>
        <row r="602">
          <cell r="A602" t="str">
            <v>4.003.022.0015</v>
          </cell>
          <cell r="B602" t="str">
            <v>Ventas Admisión/Escape Cred Termina</v>
          </cell>
          <cell r="C602">
            <v>-1829.35</v>
          </cell>
          <cell r="E602">
            <v>582.98</v>
          </cell>
          <cell r="F602">
            <v>-2412.33</v>
          </cell>
        </row>
        <row r="603">
          <cell r="A603" t="str">
            <v>4.003.022.0016</v>
          </cell>
          <cell r="B603" t="str">
            <v>Ventas Sist Eléct Crédito Terminal</v>
          </cell>
          <cell r="C603">
            <v>-5720.34</v>
          </cell>
          <cell r="E603">
            <v>3254.4</v>
          </cell>
          <cell r="F603">
            <v>-8974.74</v>
          </cell>
        </row>
        <row r="604">
          <cell r="A604" t="str">
            <v>4.003.022.0021</v>
          </cell>
          <cell r="B604" t="str">
            <v>Ventas Clutch Crédito Terminal</v>
          </cell>
          <cell r="C604">
            <v>-13102.05</v>
          </cell>
          <cell r="E604">
            <v>1563.1</v>
          </cell>
          <cell r="F604">
            <v>-14665.15</v>
          </cell>
        </row>
        <row r="605">
          <cell r="A605" t="str">
            <v>4.003.022.0022</v>
          </cell>
          <cell r="B605" t="str">
            <v>Ventas Trans Manual Crédito Termina</v>
          </cell>
          <cell r="C605">
            <v>-3268.79</v>
          </cell>
          <cell r="D605">
            <v>396.36</v>
          </cell>
          <cell r="E605">
            <v>813.1</v>
          </cell>
          <cell r="F605">
            <v>-3685.53</v>
          </cell>
        </row>
        <row r="606">
          <cell r="A606" t="str">
            <v>4.003.022.0023</v>
          </cell>
          <cell r="B606" t="str">
            <v>Ventas Trans Autom Crédito Terminal</v>
          </cell>
          <cell r="C606">
            <v>-81.180000000000007</v>
          </cell>
          <cell r="E606">
            <v>159.16999999999999</v>
          </cell>
          <cell r="F606">
            <v>-240.35</v>
          </cell>
        </row>
        <row r="607">
          <cell r="A607" t="str">
            <v>4.003.022.0024</v>
          </cell>
          <cell r="B607" t="str">
            <v>Ventas Caja de Transf Cred Terminal</v>
          </cell>
          <cell r="C607">
            <v>-1236.8599999999999</v>
          </cell>
          <cell r="F607">
            <v>-1236.8599999999999</v>
          </cell>
        </row>
        <row r="608">
          <cell r="A608" t="str">
            <v>4.003.022.0025</v>
          </cell>
          <cell r="B608" t="str">
            <v>Ventas Eje Cardán Crédito Terminal</v>
          </cell>
          <cell r="C608">
            <v>-4077.13</v>
          </cell>
          <cell r="D608">
            <v>975.93</v>
          </cell>
          <cell r="E608">
            <v>1951.86</v>
          </cell>
          <cell r="F608">
            <v>-5053.0600000000004</v>
          </cell>
        </row>
        <row r="609">
          <cell r="A609" t="str">
            <v>4.003.022.0026</v>
          </cell>
          <cell r="B609" t="str">
            <v>Ventas Eje Delant Crédito Terminal</v>
          </cell>
          <cell r="C609">
            <v>-7334.36</v>
          </cell>
          <cell r="E609">
            <v>3149.24</v>
          </cell>
          <cell r="F609">
            <v>-10483.6</v>
          </cell>
        </row>
        <row r="610">
          <cell r="A610" t="str">
            <v>4.003.022.0027</v>
          </cell>
          <cell r="B610" t="str">
            <v>Ventas Eje Trasero Crédito Terminal</v>
          </cell>
          <cell r="C610">
            <v>-3093.4</v>
          </cell>
          <cell r="D610">
            <v>216.6</v>
          </cell>
          <cell r="E610">
            <v>433.2</v>
          </cell>
          <cell r="F610">
            <v>-3310</v>
          </cell>
        </row>
        <row r="611">
          <cell r="A611" t="str">
            <v>4.003.022.0031</v>
          </cell>
          <cell r="B611" t="str">
            <v>Ventas Aros y LLantas Cred Terminal</v>
          </cell>
          <cell r="C611">
            <v>-861</v>
          </cell>
          <cell r="F611">
            <v>-861</v>
          </cell>
        </row>
        <row r="612">
          <cell r="A612" t="str">
            <v>4.003.022.0033</v>
          </cell>
          <cell r="B612" t="str">
            <v>Ventas Susp Delantera Cred Terminal</v>
          </cell>
          <cell r="C612">
            <v>-18230.240000000002</v>
          </cell>
          <cell r="D612">
            <v>436.92</v>
          </cell>
          <cell r="E612">
            <v>6153.51</v>
          </cell>
          <cell r="F612">
            <v>-23946.83</v>
          </cell>
        </row>
        <row r="613">
          <cell r="A613" t="str">
            <v>4.003.022.0034</v>
          </cell>
          <cell r="B613" t="str">
            <v>Ventas Susp Trasera Crédito Termina</v>
          </cell>
          <cell r="C613">
            <v>-6549.82</v>
          </cell>
          <cell r="D613">
            <v>562.05999999999995</v>
          </cell>
          <cell r="E613">
            <v>2962.82</v>
          </cell>
          <cell r="F613">
            <v>-8950.58</v>
          </cell>
        </row>
        <row r="614">
          <cell r="A614" t="str">
            <v>4.003.022.0035</v>
          </cell>
          <cell r="B614" t="str">
            <v>Ventas Frenos Crédito Terminal</v>
          </cell>
          <cell r="C614">
            <v>-11685.96</v>
          </cell>
          <cell r="D614">
            <v>134.94</v>
          </cell>
          <cell r="E614">
            <v>1604.15</v>
          </cell>
          <cell r="F614">
            <v>-13155.17</v>
          </cell>
        </row>
        <row r="615">
          <cell r="A615" t="str">
            <v>4.003.022.0037</v>
          </cell>
          <cell r="B615" t="str">
            <v>Ventas Dirección Crédito Terminal</v>
          </cell>
          <cell r="C615">
            <v>-12467.35</v>
          </cell>
          <cell r="E615">
            <v>598.63</v>
          </cell>
          <cell r="F615">
            <v>-13065.98</v>
          </cell>
        </row>
        <row r="616">
          <cell r="A616" t="str">
            <v>4.003.022.0042</v>
          </cell>
          <cell r="B616" t="str">
            <v>Ventas Carrocería Crédito Terminal</v>
          </cell>
          <cell r="C616">
            <v>-45045.02</v>
          </cell>
          <cell r="D616">
            <v>2196.5</v>
          </cell>
          <cell r="E616">
            <v>4393</v>
          </cell>
          <cell r="F616">
            <v>-47241.52</v>
          </cell>
        </row>
        <row r="617">
          <cell r="A617" t="str">
            <v>4.003.022.0043</v>
          </cell>
          <cell r="B617" t="str">
            <v>Ventas Puertas Crédito Terminal</v>
          </cell>
          <cell r="C617">
            <v>-4038.5</v>
          </cell>
          <cell r="F617">
            <v>-4038.5</v>
          </cell>
        </row>
        <row r="618">
          <cell r="A618" t="str">
            <v>4.003.022.0044</v>
          </cell>
          <cell r="B618" t="str">
            <v>Ventas Carroc Trasera Cred Terminal</v>
          </cell>
          <cell r="C618">
            <v>-156.76</v>
          </cell>
          <cell r="F618">
            <v>-156.76</v>
          </cell>
        </row>
        <row r="619">
          <cell r="A619" t="str">
            <v>4.003.022.0051</v>
          </cell>
          <cell r="B619" t="str">
            <v>Ventas Exterior Crédito Terminal</v>
          </cell>
          <cell r="C619">
            <v>-905.62</v>
          </cell>
          <cell r="E619">
            <v>352.23</v>
          </cell>
          <cell r="F619">
            <v>-1257.8499999999999</v>
          </cell>
        </row>
        <row r="620">
          <cell r="A620" t="str">
            <v>4.003.022.0052</v>
          </cell>
          <cell r="B620" t="str">
            <v>Ventas Interior Crédito Terminal</v>
          </cell>
          <cell r="C620">
            <v>-212.8</v>
          </cell>
          <cell r="F620">
            <v>-212.8</v>
          </cell>
        </row>
        <row r="621">
          <cell r="A621" t="str">
            <v>4.003.022.0054</v>
          </cell>
          <cell r="B621" t="str">
            <v>Ventas Acces Eléctric Cred Terminal</v>
          </cell>
          <cell r="C621">
            <v>-29014.07</v>
          </cell>
          <cell r="E621">
            <v>118.85</v>
          </cell>
          <cell r="F621">
            <v>-29132.92</v>
          </cell>
        </row>
        <row r="622">
          <cell r="A622" t="str">
            <v>4.003.022.0055</v>
          </cell>
          <cell r="B622" t="str">
            <v>Ventas Calef/Vent Crédito Terminal</v>
          </cell>
          <cell r="C622">
            <v>-180.8</v>
          </cell>
          <cell r="F622">
            <v>-180.8</v>
          </cell>
        </row>
        <row r="623">
          <cell r="A623" t="str">
            <v>4.003.025.0900</v>
          </cell>
          <cell r="B623" t="str">
            <v>Venta Accesorios Contado Terminal</v>
          </cell>
          <cell r="C623">
            <v>-15003.45</v>
          </cell>
          <cell r="E623">
            <v>2060.15</v>
          </cell>
          <cell r="F623">
            <v>-17063.599999999999</v>
          </cell>
        </row>
        <row r="624">
          <cell r="A624" t="str">
            <v>4.003.026.0900</v>
          </cell>
          <cell r="B624" t="str">
            <v>Venta Accesorios Crédito Terminal</v>
          </cell>
          <cell r="C624">
            <v>-2078.5</v>
          </cell>
          <cell r="F624">
            <v>-2078.5</v>
          </cell>
        </row>
        <row r="625">
          <cell r="A625" t="str">
            <v>4.004.021.0011</v>
          </cell>
          <cell r="B625" t="str">
            <v>Ventas Motor Contado Castaño</v>
          </cell>
          <cell r="C625">
            <v>-215005.16</v>
          </cell>
          <cell r="D625">
            <v>1897.77</v>
          </cell>
          <cell r="E625">
            <v>14332.03</v>
          </cell>
          <cell r="F625">
            <v>-227439.42</v>
          </cell>
        </row>
        <row r="626">
          <cell r="A626" t="str">
            <v>4.004.021.0012</v>
          </cell>
          <cell r="B626" t="str">
            <v>Ventas Lubricación Contado Castaño</v>
          </cell>
          <cell r="C626">
            <v>-86860.1</v>
          </cell>
          <cell r="D626">
            <v>1735.87</v>
          </cell>
          <cell r="E626">
            <v>6700.81</v>
          </cell>
          <cell r="F626">
            <v>-91825.04</v>
          </cell>
        </row>
        <row r="627">
          <cell r="A627" t="str">
            <v>4.004.021.0013</v>
          </cell>
          <cell r="B627" t="str">
            <v>Ventas Combustión Contado Castaño</v>
          </cell>
          <cell r="C627">
            <v>-22406.3</v>
          </cell>
          <cell r="D627">
            <v>25.65</v>
          </cell>
          <cell r="E627">
            <v>2610.29</v>
          </cell>
          <cell r="F627">
            <v>-24990.94</v>
          </cell>
        </row>
        <row r="628">
          <cell r="A628" t="str">
            <v>4.004.021.0014</v>
          </cell>
          <cell r="B628" t="str">
            <v>Ventas Enfriamiento Contado Castaño</v>
          </cell>
          <cell r="C628">
            <v>-30704.720000000001</v>
          </cell>
          <cell r="D628">
            <v>1256.6199999999999</v>
          </cell>
          <cell r="E628">
            <v>3968.28</v>
          </cell>
          <cell r="F628">
            <v>-33416.379999999997</v>
          </cell>
        </row>
        <row r="629">
          <cell r="A629" t="str">
            <v>4.004.021.0015</v>
          </cell>
          <cell r="B629" t="str">
            <v>Ventas Admisión/Escape Cont Castaño</v>
          </cell>
          <cell r="C629">
            <v>-14609.52</v>
          </cell>
          <cell r="D629">
            <v>93.9</v>
          </cell>
          <cell r="E629">
            <v>1270.49</v>
          </cell>
          <cell r="F629">
            <v>-15786.11</v>
          </cell>
        </row>
        <row r="630">
          <cell r="A630" t="str">
            <v>4.004.021.0016</v>
          </cell>
          <cell r="B630" t="str">
            <v>Ventas Sist/Eléctrico Cont Castaño</v>
          </cell>
          <cell r="C630">
            <v>-35772.31</v>
          </cell>
          <cell r="D630">
            <v>209.03</v>
          </cell>
          <cell r="E630">
            <v>5003.63</v>
          </cell>
          <cell r="F630">
            <v>-40566.910000000003</v>
          </cell>
        </row>
        <row r="631">
          <cell r="A631" t="str">
            <v>4.004.021.0021</v>
          </cell>
          <cell r="B631" t="str">
            <v>Ventas Clutch Contado Castaño</v>
          </cell>
          <cell r="C631">
            <v>-48801.59</v>
          </cell>
          <cell r="E631">
            <v>7089.69</v>
          </cell>
          <cell r="F631">
            <v>-55891.28</v>
          </cell>
        </row>
        <row r="632">
          <cell r="A632" t="str">
            <v>4.004.021.0022</v>
          </cell>
          <cell r="B632" t="str">
            <v>Ventas Trans Manual Contado Castaño</v>
          </cell>
          <cell r="C632">
            <v>-21478.34</v>
          </cell>
          <cell r="E632">
            <v>1457.36</v>
          </cell>
          <cell r="F632">
            <v>-22935.7</v>
          </cell>
        </row>
        <row r="633">
          <cell r="A633" t="str">
            <v>4.004.021.0023</v>
          </cell>
          <cell r="B633" t="str">
            <v>Ventas Trans Automátic Cont Castaño</v>
          </cell>
          <cell r="C633">
            <v>-1360.09</v>
          </cell>
          <cell r="F633">
            <v>-1360.09</v>
          </cell>
        </row>
        <row r="634">
          <cell r="A634" t="str">
            <v>4.004.021.0024</v>
          </cell>
          <cell r="B634" t="str">
            <v>Ventas Caja de Transf Cont Castaño</v>
          </cell>
          <cell r="C634">
            <v>-747.69</v>
          </cell>
          <cell r="E634">
            <v>152.24</v>
          </cell>
          <cell r="F634">
            <v>-899.93</v>
          </cell>
        </row>
        <row r="635">
          <cell r="A635" t="str">
            <v>4.004.021.0025</v>
          </cell>
          <cell r="B635" t="str">
            <v>Ventas Eje Cardán Contado Castaño</v>
          </cell>
          <cell r="C635">
            <v>-3617.7</v>
          </cell>
          <cell r="E635">
            <v>259.32</v>
          </cell>
          <cell r="F635">
            <v>-3877.02</v>
          </cell>
        </row>
        <row r="636">
          <cell r="A636" t="str">
            <v>4.004.021.0026</v>
          </cell>
          <cell r="B636" t="str">
            <v>Ventas Eje Delantero Cont Castaño</v>
          </cell>
          <cell r="C636">
            <v>-12002.85</v>
          </cell>
          <cell r="D636">
            <v>1396.79</v>
          </cell>
          <cell r="E636">
            <v>1854.44</v>
          </cell>
          <cell r="F636">
            <v>-12460.5</v>
          </cell>
        </row>
        <row r="637">
          <cell r="A637" t="str">
            <v>4.004.021.0027</v>
          </cell>
          <cell r="B637" t="str">
            <v>Ventas Eje Trasero Contado Castaño</v>
          </cell>
          <cell r="C637">
            <v>-20917.509999999998</v>
          </cell>
          <cell r="E637">
            <v>165.43</v>
          </cell>
          <cell r="F637">
            <v>-21082.94</v>
          </cell>
        </row>
        <row r="638">
          <cell r="A638" t="str">
            <v>4.004.021.0031</v>
          </cell>
          <cell r="B638" t="str">
            <v>Ventas Aros y LLantas Cont Castaño</v>
          </cell>
          <cell r="C638">
            <v>-1186.6300000000001</v>
          </cell>
          <cell r="E638">
            <v>270.81</v>
          </cell>
          <cell r="F638">
            <v>-1457.44</v>
          </cell>
        </row>
        <row r="639">
          <cell r="A639" t="str">
            <v>4.004.021.0033</v>
          </cell>
          <cell r="B639" t="str">
            <v>Ventas Susp Delantera Cont Castaño</v>
          </cell>
          <cell r="C639">
            <v>-53065.29</v>
          </cell>
          <cell r="D639">
            <v>40.1</v>
          </cell>
          <cell r="E639">
            <v>2701.14</v>
          </cell>
          <cell r="F639">
            <v>-55726.33</v>
          </cell>
        </row>
        <row r="640">
          <cell r="A640" t="str">
            <v>4.004.021.0034</v>
          </cell>
          <cell r="B640" t="str">
            <v>Ventas Susp Trasera Contado Castaño</v>
          </cell>
          <cell r="C640">
            <v>-11141.13</v>
          </cell>
          <cell r="F640">
            <v>-11141.13</v>
          </cell>
        </row>
        <row r="641">
          <cell r="A641" t="str">
            <v>4.004.021.0035</v>
          </cell>
          <cell r="B641" t="str">
            <v>Ventas Frenos Contado Castaño</v>
          </cell>
          <cell r="C641">
            <v>-54682.93</v>
          </cell>
          <cell r="E641">
            <v>2288.44</v>
          </cell>
          <cell r="F641">
            <v>-56971.37</v>
          </cell>
        </row>
        <row r="642">
          <cell r="A642" t="str">
            <v>4.004.021.0037</v>
          </cell>
          <cell r="B642" t="str">
            <v>Ventas Dirección Contado Castaño</v>
          </cell>
          <cell r="C642">
            <v>-33956.9</v>
          </cell>
          <cell r="E642">
            <v>3976.04</v>
          </cell>
          <cell r="F642">
            <v>-37932.94</v>
          </cell>
        </row>
        <row r="643">
          <cell r="A643" t="str">
            <v>4.004.021.0042</v>
          </cell>
          <cell r="B643" t="str">
            <v>Ventas Carrocería Contado Castaño</v>
          </cell>
          <cell r="C643">
            <v>-22430.14</v>
          </cell>
          <cell r="D643">
            <v>483.29</v>
          </cell>
          <cell r="E643">
            <v>6837.75</v>
          </cell>
          <cell r="F643">
            <v>-28784.6</v>
          </cell>
        </row>
        <row r="644">
          <cell r="A644" t="str">
            <v>4.004.021.0043</v>
          </cell>
          <cell r="B644" t="str">
            <v>Ventas Puertas Contado Castaño</v>
          </cell>
          <cell r="C644">
            <v>-16050.21</v>
          </cell>
          <cell r="E644">
            <v>5519.67</v>
          </cell>
          <cell r="F644">
            <v>-21569.88</v>
          </cell>
        </row>
        <row r="645">
          <cell r="A645" t="str">
            <v>4.004.021.0044</v>
          </cell>
          <cell r="B645" t="str">
            <v>Ventas Carroc Trasera Cont Castaño</v>
          </cell>
          <cell r="C645">
            <v>-176.35</v>
          </cell>
          <cell r="F645">
            <v>-176.35</v>
          </cell>
        </row>
        <row r="646">
          <cell r="A646" t="str">
            <v>4.004.021.0051</v>
          </cell>
          <cell r="B646" t="str">
            <v>Ventas Exterior Contado Castaño</v>
          </cell>
          <cell r="C646">
            <v>-2273.46</v>
          </cell>
          <cell r="E646">
            <v>379.24</v>
          </cell>
          <cell r="F646">
            <v>-2652.7</v>
          </cell>
        </row>
        <row r="647">
          <cell r="A647" t="str">
            <v>4.004.021.0052</v>
          </cell>
          <cell r="B647" t="str">
            <v>Ventas Interior Contado Castaño</v>
          </cell>
          <cell r="C647">
            <v>-2988.21</v>
          </cell>
          <cell r="E647">
            <v>237.64</v>
          </cell>
          <cell r="F647">
            <v>-3225.85</v>
          </cell>
        </row>
        <row r="648">
          <cell r="A648" t="str">
            <v>4.004.021.0054</v>
          </cell>
          <cell r="B648" t="str">
            <v>Ventas Acces Eléctric Cont Castaño</v>
          </cell>
          <cell r="C648">
            <v>-31786.85</v>
          </cell>
          <cell r="D648">
            <v>397.24</v>
          </cell>
          <cell r="E648">
            <v>2026.72</v>
          </cell>
          <cell r="F648">
            <v>-33416.33</v>
          </cell>
        </row>
        <row r="649">
          <cell r="A649" t="str">
            <v>4.004.021.0055</v>
          </cell>
          <cell r="B649" t="str">
            <v>Ventas Calef/Vent Contado Castaño</v>
          </cell>
          <cell r="C649">
            <v>-992.85</v>
          </cell>
          <cell r="F649">
            <v>-992.85</v>
          </cell>
        </row>
        <row r="650">
          <cell r="A650" t="str">
            <v>4.004.021.0091</v>
          </cell>
          <cell r="B650" t="str">
            <v>Ventas Herramientas Contado Castaño</v>
          </cell>
          <cell r="C650">
            <v>-447.05</v>
          </cell>
          <cell r="D650">
            <v>17.28</v>
          </cell>
          <cell r="E650">
            <v>107.52</v>
          </cell>
          <cell r="F650">
            <v>-537.29</v>
          </cell>
        </row>
        <row r="651">
          <cell r="A651" t="str">
            <v>4.004.022.0011</v>
          </cell>
          <cell r="B651" t="str">
            <v>Ventas Motor Crédito Castaño</v>
          </cell>
          <cell r="C651">
            <v>-55811.78</v>
          </cell>
          <cell r="E651">
            <v>1271.25</v>
          </cell>
          <cell r="F651">
            <v>-57083.03</v>
          </cell>
        </row>
        <row r="652">
          <cell r="A652" t="str">
            <v>4.004.022.0012</v>
          </cell>
          <cell r="B652" t="str">
            <v>Ventas Lubricación Crédito Castaño</v>
          </cell>
          <cell r="C652">
            <v>-32700.13</v>
          </cell>
          <cell r="E652">
            <v>3450.45</v>
          </cell>
          <cell r="F652">
            <v>-36150.58</v>
          </cell>
        </row>
        <row r="653">
          <cell r="A653" t="str">
            <v>4.004.022.0013</v>
          </cell>
          <cell r="B653" t="str">
            <v>Ventas Combustión Crédito Castaño</v>
          </cell>
          <cell r="C653">
            <v>-1309.57</v>
          </cell>
          <cell r="E653">
            <v>81.33</v>
          </cell>
          <cell r="F653">
            <v>-1390.9</v>
          </cell>
        </row>
        <row r="654">
          <cell r="A654" t="str">
            <v>4.004.022.0014</v>
          </cell>
          <cell r="B654" t="str">
            <v>Ventas Enfriamiento Crédito Castaño</v>
          </cell>
          <cell r="C654">
            <v>-1162.68</v>
          </cell>
          <cell r="F654">
            <v>-1162.68</v>
          </cell>
        </row>
        <row r="655">
          <cell r="A655" t="str">
            <v>4.004.022.0015</v>
          </cell>
          <cell r="B655" t="str">
            <v>Ventas Admisión/Escape Cred Castaño</v>
          </cell>
          <cell r="C655">
            <v>-1052</v>
          </cell>
          <cell r="E655">
            <v>273.60000000000002</v>
          </cell>
          <cell r="F655">
            <v>-1325.6</v>
          </cell>
        </row>
        <row r="656">
          <cell r="A656" t="str">
            <v>4.004.022.0016</v>
          </cell>
          <cell r="B656" t="str">
            <v>Ventas Sist Eléct Crédito Castaño</v>
          </cell>
          <cell r="C656">
            <v>-110479.51</v>
          </cell>
          <cell r="E656">
            <v>16690.3</v>
          </cell>
          <cell r="F656">
            <v>-127169.81</v>
          </cell>
        </row>
        <row r="657">
          <cell r="A657" t="str">
            <v>4.004.022.0021</v>
          </cell>
          <cell r="B657" t="str">
            <v>Ventas Clutch Crédito Castaño</v>
          </cell>
          <cell r="C657">
            <v>-9160.7199999999993</v>
          </cell>
          <cell r="E657">
            <v>637.95000000000005</v>
          </cell>
          <cell r="F657">
            <v>-9798.67</v>
          </cell>
        </row>
        <row r="658">
          <cell r="A658" t="str">
            <v>4.004.022.0022</v>
          </cell>
          <cell r="B658" t="str">
            <v>Ventas Trans Manual Crédito Castaño</v>
          </cell>
          <cell r="C658">
            <v>-1020.18</v>
          </cell>
          <cell r="F658">
            <v>-1020.18</v>
          </cell>
        </row>
        <row r="659">
          <cell r="A659" t="str">
            <v>4.004.022.0023</v>
          </cell>
          <cell r="B659" t="str">
            <v>Ventas Trans Autom Crédito Castaño</v>
          </cell>
          <cell r="C659">
            <v>-78.38</v>
          </cell>
          <cell r="F659">
            <v>-78.38</v>
          </cell>
        </row>
        <row r="660">
          <cell r="A660" t="str">
            <v>4.004.022.0025</v>
          </cell>
          <cell r="B660" t="str">
            <v>Ventas Eje Cardán Credito Castaño</v>
          </cell>
          <cell r="C660">
            <v>-984.77</v>
          </cell>
          <cell r="F660">
            <v>-984.77</v>
          </cell>
        </row>
        <row r="661">
          <cell r="A661" t="str">
            <v>4.004.022.0026</v>
          </cell>
          <cell r="B661" t="str">
            <v>Ventas Eje Delant Crédito Castaño</v>
          </cell>
          <cell r="C661">
            <v>-794.16</v>
          </cell>
          <cell r="F661">
            <v>-794.16</v>
          </cell>
        </row>
        <row r="662">
          <cell r="A662" t="str">
            <v>4.004.022.0027</v>
          </cell>
          <cell r="B662" t="str">
            <v>Ventas Eje Trasero Crédito Castaño</v>
          </cell>
          <cell r="C662">
            <v>-896.16</v>
          </cell>
          <cell r="F662">
            <v>-896.16</v>
          </cell>
        </row>
        <row r="663">
          <cell r="A663" t="str">
            <v>4.004.022.0031</v>
          </cell>
          <cell r="B663" t="str">
            <v>Ventas Aros y LLantas Cred Castaño</v>
          </cell>
          <cell r="C663">
            <v>-23</v>
          </cell>
          <cell r="F663">
            <v>-23</v>
          </cell>
        </row>
        <row r="664">
          <cell r="A664" t="str">
            <v>4.004.022.0033</v>
          </cell>
          <cell r="B664" t="str">
            <v>Ventas Susp Delantera Cred Castaño</v>
          </cell>
          <cell r="C664">
            <v>-1282.6199999999999</v>
          </cell>
          <cell r="F664">
            <v>-1282.6199999999999</v>
          </cell>
        </row>
        <row r="665">
          <cell r="A665" t="str">
            <v>4.004.022.0035</v>
          </cell>
          <cell r="B665" t="str">
            <v>Ventas Frenos Crédito Castaño</v>
          </cell>
          <cell r="C665">
            <v>-22255.54</v>
          </cell>
          <cell r="E665">
            <v>1308</v>
          </cell>
          <cell r="F665">
            <v>-23563.54</v>
          </cell>
        </row>
        <row r="666">
          <cell r="A666" t="str">
            <v>4.004.022.0037</v>
          </cell>
          <cell r="B666" t="str">
            <v>Ventas Dirección Crédito Castaño</v>
          </cell>
          <cell r="C666">
            <v>-40.4</v>
          </cell>
          <cell r="F666">
            <v>-40.4</v>
          </cell>
        </row>
        <row r="667">
          <cell r="A667" t="str">
            <v>4.004.022.0042</v>
          </cell>
          <cell r="B667" t="str">
            <v>Ventas Carrocería Crédito Castaño</v>
          </cell>
          <cell r="C667">
            <v>-2101.37</v>
          </cell>
          <cell r="F667">
            <v>-2101.37</v>
          </cell>
        </row>
        <row r="668">
          <cell r="A668" t="str">
            <v>4.004.022.0054</v>
          </cell>
          <cell r="B668" t="str">
            <v>Ventas Acces Eléctric Cred Castaño</v>
          </cell>
          <cell r="C668">
            <v>-700.43</v>
          </cell>
          <cell r="F668">
            <v>-700.43</v>
          </cell>
        </row>
        <row r="669">
          <cell r="A669" t="str">
            <v>4.004.022.0055</v>
          </cell>
          <cell r="B669" t="str">
            <v>Ventas Calef/Vent Crédito Castaño</v>
          </cell>
          <cell r="C669">
            <v>0</v>
          </cell>
          <cell r="E669">
            <v>634.78</v>
          </cell>
          <cell r="F669">
            <v>-634.78</v>
          </cell>
        </row>
        <row r="670">
          <cell r="A670" t="str">
            <v>4.004.022.0091</v>
          </cell>
          <cell r="B670" t="str">
            <v>Ventas Herramientas Crédito Castaño</v>
          </cell>
          <cell r="C670">
            <v>-271.38</v>
          </cell>
          <cell r="F670">
            <v>-271.38</v>
          </cell>
        </row>
        <row r="671">
          <cell r="A671" t="str">
            <v>4.004.025.0900</v>
          </cell>
          <cell r="B671" t="str">
            <v>Venta Accesorios Contado Castaño</v>
          </cell>
          <cell r="C671">
            <v>-9422.07</v>
          </cell>
          <cell r="D671">
            <v>641.65</v>
          </cell>
          <cell r="E671">
            <v>2738.64</v>
          </cell>
          <cell r="F671">
            <v>-11519.06</v>
          </cell>
        </row>
        <row r="672">
          <cell r="A672" t="str">
            <v>4.005.001.1002</v>
          </cell>
          <cell r="B672" t="str">
            <v>Ventas Colt 1600 Contado Torre</v>
          </cell>
          <cell r="C672">
            <v>-84019</v>
          </cell>
          <cell r="F672">
            <v>-84019</v>
          </cell>
        </row>
        <row r="673">
          <cell r="A673" t="str">
            <v>4.005.001.1003</v>
          </cell>
          <cell r="B673" t="str">
            <v>Ventas Lancer 1300 Contado Torre</v>
          </cell>
          <cell r="C673">
            <v>-726225</v>
          </cell>
          <cell r="D673">
            <v>165800</v>
          </cell>
          <cell r="E673">
            <v>238937.5</v>
          </cell>
          <cell r="F673">
            <v>-799362.5</v>
          </cell>
        </row>
        <row r="674">
          <cell r="A674" t="str">
            <v>4.005.001.1004</v>
          </cell>
          <cell r="B674" t="str">
            <v>Ventas Lancer 1600 Contado Torre</v>
          </cell>
          <cell r="C674">
            <v>-1816068.31</v>
          </cell>
          <cell r="E674">
            <v>197900</v>
          </cell>
          <cell r="F674">
            <v>-2013968.31</v>
          </cell>
        </row>
        <row r="675">
          <cell r="A675" t="str">
            <v>4.005.001.1005</v>
          </cell>
          <cell r="B675" t="str">
            <v>Ventas Galant Contado Torre</v>
          </cell>
          <cell r="C675">
            <v>-432355</v>
          </cell>
          <cell r="D675">
            <v>147250</v>
          </cell>
          <cell r="F675">
            <v>-285105</v>
          </cell>
        </row>
        <row r="676">
          <cell r="A676" t="str">
            <v>4.005.001.1006</v>
          </cell>
          <cell r="B676" t="str">
            <v>Ventas Space Wagon Contado Torre</v>
          </cell>
          <cell r="C676">
            <v>-747853.05</v>
          </cell>
          <cell r="E676">
            <v>452046.75</v>
          </cell>
          <cell r="F676">
            <v>-1199899.8</v>
          </cell>
        </row>
        <row r="677">
          <cell r="A677" t="str">
            <v>4.005.001.1007</v>
          </cell>
          <cell r="B677" t="str">
            <v>Ventas Microbús L-300 Cont Torre</v>
          </cell>
          <cell r="C677">
            <v>-408241.08</v>
          </cell>
          <cell r="F677">
            <v>-408241.08</v>
          </cell>
        </row>
        <row r="678">
          <cell r="A678" t="str">
            <v>4.005.001.1008</v>
          </cell>
          <cell r="B678" t="str">
            <v>Ventas Pánel L-300 Contado Torre</v>
          </cell>
          <cell r="C678">
            <v>-400972</v>
          </cell>
          <cell r="F678">
            <v>-400972</v>
          </cell>
        </row>
        <row r="679">
          <cell r="A679" t="str">
            <v>4.005.001.1009</v>
          </cell>
          <cell r="B679" t="str">
            <v>Ventas Pick-Ups Contado Torre</v>
          </cell>
          <cell r="C679">
            <v>-3435688.81</v>
          </cell>
          <cell r="D679">
            <v>122999.75</v>
          </cell>
          <cell r="E679">
            <v>487060.52</v>
          </cell>
          <cell r="F679">
            <v>-3799749.58</v>
          </cell>
        </row>
        <row r="680">
          <cell r="A680" t="str">
            <v>4.005.001.1010</v>
          </cell>
          <cell r="B680" t="str">
            <v>Ventas Montero Contado Torre</v>
          </cell>
          <cell r="C680">
            <v>-5274722.54</v>
          </cell>
          <cell r="D680">
            <v>127900</v>
          </cell>
          <cell r="E680">
            <v>430800</v>
          </cell>
          <cell r="F680">
            <v>-5577622.54</v>
          </cell>
        </row>
        <row r="681">
          <cell r="A681" t="str">
            <v>4.005.001.1011</v>
          </cell>
          <cell r="B681" t="str">
            <v>Ventas Nativa Contado Torre</v>
          </cell>
          <cell r="C681">
            <v>-2752286.07</v>
          </cell>
          <cell r="E681">
            <v>205000</v>
          </cell>
          <cell r="F681">
            <v>-2957286.07</v>
          </cell>
        </row>
        <row r="682">
          <cell r="A682" t="str">
            <v>4.005.001.1012</v>
          </cell>
          <cell r="B682" t="str">
            <v>Ventas Canter FE Contado Torre</v>
          </cell>
          <cell r="C682">
            <v>-829600.75</v>
          </cell>
          <cell r="F682">
            <v>-829600.75</v>
          </cell>
        </row>
        <row r="683">
          <cell r="A683" t="str">
            <v>4.005.002.1003</v>
          </cell>
          <cell r="B683" t="str">
            <v>Ventas Lancer 1300 Crédito Torre</v>
          </cell>
          <cell r="C683">
            <v>-1809962.35</v>
          </cell>
          <cell r="F683">
            <v>-1809962.35</v>
          </cell>
        </row>
        <row r="684">
          <cell r="A684" t="str">
            <v>4.005.002.1004</v>
          </cell>
          <cell r="B684" t="str">
            <v>Ventas Lancer 1600 Crédito Torre</v>
          </cell>
          <cell r="C684">
            <v>-1993699.84</v>
          </cell>
          <cell r="E684">
            <v>897500</v>
          </cell>
          <cell r="F684">
            <v>-2891199.84</v>
          </cell>
        </row>
        <row r="685">
          <cell r="A685" t="str">
            <v>4.005.002.1006</v>
          </cell>
          <cell r="B685" t="str">
            <v>Ventas Space Wagon Crédito Torre</v>
          </cell>
          <cell r="C685">
            <v>-681762</v>
          </cell>
          <cell r="F685">
            <v>-681762</v>
          </cell>
        </row>
        <row r="686">
          <cell r="A686" t="str">
            <v>4.005.002.1007</v>
          </cell>
          <cell r="B686" t="str">
            <v>Ventas Microbús L-300 Créd Torre</v>
          </cell>
          <cell r="C686">
            <v>-1012260</v>
          </cell>
          <cell r="F686">
            <v>-1012260</v>
          </cell>
        </row>
        <row r="687">
          <cell r="A687" t="str">
            <v>4.005.002.1008</v>
          </cell>
          <cell r="B687" t="str">
            <v>Ventas Pánel L-300 Crédito Torre</v>
          </cell>
          <cell r="C687">
            <v>-377555</v>
          </cell>
          <cell r="F687">
            <v>-377555</v>
          </cell>
        </row>
        <row r="688">
          <cell r="A688" t="str">
            <v>4.005.002.1009</v>
          </cell>
          <cell r="B688" t="str">
            <v>Ventas Pick-Ups Crédito Torre</v>
          </cell>
          <cell r="C688">
            <v>-4854653.84</v>
          </cell>
          <cell r="E688">
            <v>735400</v>
          </cell>
          <cell r="F688">
            <v>-5590053.8399999999</v>
          </cell>
        </row>
        <row r="689">
          <cell r="A689" t="str">
            <v>4.005.002.1010</v>
          </cell>
          <cell r="B689" t="str">
            <v>Ventas Montero Crédito Torre</v>
          </cell>
          <cell r="C689">
            <v>-3752184.16</v>
          </cell>
          <cell r="E689">
            <v>207360</v>
          </cell>
          <cell r="F689">
            <v>-3959544.16</v>
          </cell>
        </row>
        <row r="690">
          <cell r="A690" t="str">
            <v>4.005.002.1011</v>
          </cell>
          <cell r="B690" t="str">
            <v>Ventas Nativa Crédito Torre</v>
          </cell>
          <cell r="C690">
            <v>-816570</v>
          </cell>
          <cell r="E690">
            <v>201500</v>
          </cell>
          <cell r="F690">
            <v>-1018070</v>
          </cell>
        </row>
        <row r="691">
          <cell r="A691" t="str">
            <v>4.005.002.1012</v>
          </cell>
          <cell r="B691" t="str">
            <v>Ventas Canter FE Crédito Torre</v>
          </cell>
          <cell r="C691">
            <v>-771088.15</v>
          </cell>
          <cell r="F691">
            <v>-771088.15</v>
          </cell>
        </row>
        <row r="692">
          <cell r="A692" t="str">
            <v>4.005.002.1013</v>
          </cell>
          <cell r="B692" t="str">
            <v>Ventas Canter FH Crédito Torre</v>
          </cell>
          <cell r="C692">
            <v>-237000</v>
          </cell>
          <cell r="F692">
            <v>-237000</v>
          </cell>
        </row>
        <row r="693">
          <cell r="A693" t="str">
            <v>4.005.003.1004</v>
          </cell>
          <cell r="B693" t="str">
            <v>Reb/Dev Lancer 1600 Contado Torre</v>
          </cell>
          <cell r="C693">
            <v>4649.3999999999996</v>
          </cell>
          <cell r="F693">
            <v>4649.3999999999996</v>
          </cell>
        </row>
        <row r="694">
          <cell r="A694" t="str">
            <v>4.005.003.1009</v>
          </cell>
          <cell r="B694" t="str">
            <v>Reb/Dev Pick-Ups Contado Torre</v>
          </cell>
          <cell r="C694">
            <v>5000</v>
          </cell>
          <cell r="D694">
            <v>3961.61</v>
          </cell>
          <cell r="F694">
            <v>8961.61</v>
          </cell>
        </row>
        <row r="695">
          <cell r="A695" t="str">
            <v>4.005.003.1010</v>
          </cell>
          <cell r="B695" t="str">
            <v>Reb/Dev Montero Contado Torre</v>
          </cell>
          <cell r="C695">
            <v>8594.64</v>
          </cell>
          <cell r="F695">
            <v>8594.64</v>
          </cell>
        </row>
        <row r="696">
          <cell r="A696" t="str">
            <v>4.005.021.0011</v>
          </cell>
          <cell r="B696" t="str">
            <v>Ventas Motor Contado Torre</v>
          </cell>
          <cell r="C696">
            <v>-345318.09</v>
          </cell>
          <cell r="D696">
            <v>3028.61</v>
          </cell>
          <cell r="E696">
            <v>49827.41</v>
          </cell>
          <cell r="F696">
            <v>-392116.89</v>
          </cell>
        </row>
        <row r="697">
          <cell r="A697" t="str">
            <v>4.005.021.0012</v>
          </cell>
          <cell r="B697" t="str">
            <v>Ventas Lubricación Contado Torre</v>
          </cell>
          <cell r="C697">
            <v>-122149.48</v>
          </cell>
          <cell r="D697">
            <v>2627.31</v>
          </cell>
          <cell r="E697">
            <v>13017.16</v>
          </cell>
          <cell r="F697">
            <v>-132539.32999999999</v>
          </cell>
        </row>
        <row r="698">
          <cell r="A698" t="str">
            <v>4.005.021.0013</v>
          </cell>
          <cell r="B698" t="str">
            <v>Ventas Combustión Contado Torre</v>
          </cell>
          <cell r="C698">
            <v>-37040.99</v>
          </cell>
          <cell r="D698">
            <v>216</v>
          </cell>
          <cell r="E698">
            <v>6608.15</v>
          </cell>
          <cell r="F698">
            <v>-43433.14</v>
          </cell>
        </row>
        <row r="699">
          <cell r="A699" t="str">
            <v>4.005.021.0014</v>
          </cell>
          <cell r="B699" t="str">
            <v>Ventas Enfriamiento Contado Torre</v>
          </cell>
          <cell r="C699">
            <v>-55387.25</v>
          </cell>
          <cell r="D699">
            <v>634.71</v>
          </cell>
          <cell r="E699">
            <v>8734.48</v>
          </cell>
          <cell r="F699">
            <v>-63487.02</v>
          </cell>
        </row>
        <row r="700">
          <cell r="A700" t="str">
            <v>4.005.021.0015</v>
          </cell>
          <cell r="B700" t="str">
            <v>Ventas Admisión/Escape Cont Torre</v>
          </cell>
          <cell r="C700">
            <v>-49476.55</v>
          </cell>
          <cell r="D700">
            <v>430.12</v>
          </cell>
          <cell r="E700">
            <v>3729.98</v>
          </cell>
          <cell r="F700">
            <v>-52776.41</v>
          </cell>
        </row>
        <row r="701">
          <cell r="A701" t="str">
            <v>4.005.021.0016</v>
          </cell>
          <cell r="B701" t="str">
            <v>Ventas Sist/Eléctrico Cont Torre</v>
          </cell>
          <cell r="C701">
            <v>-68540.23</v>
          </cell>
          <cell r="D701">
            <v>7754.6</v>
          </cell>
          <cell r="E701">
            <v>20627.48</v>
          </cell>
          <cell r="F701">
            <v>-81413.11</v>
          </cell>
        </row>
        <row r="702">
          <cell r="A702" t="str">
            <v>4.005.021.0021</v>
          </cell>
          <cell r="B702" t="str">
            <v>Ventas Clutch Contado Torre</v>
          </cell>
          <cell r="C702">
            <v>-45044.05</v>
          </cell>
          <cell r="E702">
            <v>8804.32</v>
          </cell>
          <cell r="F702">
            <v>-53848.37</v>
          </cell>
        </row>
        <row r="703">
          <cell r="A703" t="str">
            <v>4.005.021.0022</v>
          </cell>
          <cell r="B703" t="str">
            <v>Ventas Trans Manual Contado Torre</v>
          </cell>
          <cell r="C703">
            <v>-16326.61</v>
          </cell>
          <cell r="D703">
            <v>387.52</v>
          </cell>
          <cell r="E703">
            <v>2149.0500000000002</v>
          </cell>
          <cell r="F703">
            <v>-18088.14</v>
          </cell>
        </row>
        <row r="704">
          <cell r="A704" t="str">
            <v>4.005.021.0023</v>
          </cell>
          <cell r="B704" t="str">
            <v>Ventas Trans Automátic Cont Torre</v>
          </cell>
          <cell r="C704">
            <v>-1210.02</v>
          </cell>
          <cell r="E704">
            <v>171.45</v>
          </cell>
          <cell r="F704">
            <v>-1381.47</v>
          </cell>
        </row>
        <row r="705">
          <cell r="A705" t="str">
            <v>4.005.021.0024</v>
          </cell>
          <cell r="B705" t="str">
            <v>Ventas Caja de Transf Cont Torre</v>
          </cell>
          <cell r="C705">
            <v>-1487.38</v>
          </cell>
          <cell r="E705">
            <v>278.29000000000002</v>
          </cell>
          <cell r="F705">
            <v>-1765.67</v>
          </cell>
        </row>
        <row r="706">
          <cell r="A706" t="str">
            <v>4.005.021.0025</v>
          </cell>
          <cell r="B706" t="str">
            <v>Ventas Eje Cardán Contado Torre</v>
          </cell>
          <cell r="C706">
            <v>-1861.79</v>
          </cell>
          <cell r="F706">
            <v>-1861.79</v>
          </cell>
        </row>
        <row r="707">
          <cell r="A707" t="str">
            <v>4.005.021.0026</v>
          </cell>
          <cell r="B707" t="str">
            <v>Ventas Eje Delantero Cont Torre</v>
          </cell>
          <cell r="C707">
            <v>-27924.22</v>
          </cell>
          <cell r="D707">
            <v>749.02</v>
          </cell>
          <cell r="E707">
            <v>5608.19</v>
          </cell>
          <cell r="F707">
            <v>-32783.39</v>
          </cell>
        </row>
        <row r="708">
          <cell r="A708" t="str">
            <v>4.005.021.0027</v>
          </cell>
          <cell r="B708" t="str">
            <v>Ventas Eje Trasero Contado Torre</v>
          </cell>
          <cell r="C708">
            <v>-18846.29</v>
          </cell>
          <cell r="D708">
            <v>627.85</v>
          </cell>
          <cell r="E708">
            <v>2248</v>
          </cell>
          <cell r="F708">
            <v>-20466.439999999999</v>
          </cell>
        </row>
        <row r="709">
          <cell r="A709" t="str">
            <v>4.005.021.0031</v>
          </cell>
          <cell r="B709" t="str">
            <v>Ventas Aros y LLantas Cont Torre</v>
          </cell>
          <cell r="C709">
            <v>-6577.94</v>
          </cell>
          <cell r="D709">
            <v>139.94999999999999</v>
          </cell>
          <cell r="E709">
            <v>2519.69</v>
          </cell>
          <cell r="F709">
            <v>-8957.68</v>
          </cell>
        </row>
        <row r="710">
          <cell r="A710" t="str">
            <v>4.005.021.0033</v>
          </cell>
          <cell r="B710" t="str">
            <v>Ventas Susp Delantera Cont Torre</v>
          </cell>
          <cell r="C710">
            <v>-91965.65</v>
          </cell>
          <cell r="D710">
            <v>596.78</v>
          </cell>
          <cell r="E710">
            <v>12230.98</v>
          </cell>
          <cell r="F710">
            <v>-103599.85</v>
          </cell>
        </row>
        <row r="711">
          <cell r="A711" t="str">
            <v>4.005.021.0034</v>
          </cell>
          <cell r="B711" t="str">
            <v>Ventas Susp Trasera Contado Torre</v>
          </cell>
          <cell r="C711">
            <v>-25358.47</v>
          </cell>
          <cell r="D711">
            <v>757.86</v>
          </cell>
          <cell r="E711">
            <v>1949.19</v>
          </cell>
          <cell r="F711">
            <v>-26549.8</v>
          </cell>
        </row>
        <row r="712">
          <cell r="A712" t="str">
            <v>4.005.021.0035</v>
          </cell>
          <cell r="B712" t="str">
            <v>Ventas Frenos Contado Torre</v>
          </cell>
          <cell r="C712">
            <v>-76387.759999999995</v>
          </cell>
          <cell r="D712">
            <v>835.88</v>
          </cell>
          <cell r="E712">
            <v>13528.71</v>
          </cell>
          <cell r="F712">
            <v>-89080.59</v>
          </cell>
        </row>
        <row r="713">
          <cell r="A713" t="str">
            <v>4.005.021.0037</v>
          </cell>
          <cell r="B713" t="str">
            <v>Ventas Dirección Contado Torre</v>
          </cell>
          <cell r="C713">
            <v>-71431.710000000006</v>
          </cell>
          <cell r="D713">
            <v>1035.3</v>
          </cell>
          <cell r="E713">
            <v>7336.68</v>
          </cell>
          <cell r="F713">
            <v>-77733.09</v>
          </cell>
        </row>
        <row r="714">
          <cell r="A714" t="str">
            <v>4.005.021.0042</v>
          </cell>
          <cell r="B714" t="str">
            <v>Ventas Carrocería Contado Torre</v>
          </cell>
          <cell r="C714">
            <v>-110197.6</v>
          </cell>
          <cell r="D714">
            <v>2850.34</v>
          </cell>
          <cell r="E714">
            <v>41186.74</v>
          </cell>
          <cell r="F714">
            <v>-148534</v>
          </cell>
        </row>
        <row r="715">
          <cell r="A715" t="str">
            <v>4.005.021.0043</v>
          </cell>
          <cell r="B715" t="str">
            <v>Ventas Puertas Contado Torre</v>
          </cell>
          <cell r="C715">
            <v>-47898.43</v>
          </cell>
          <cell r="D715">
            <v>1206.9000000000001</v>
          </cell>
          <cell r="E715">
            <v>10154.33</v>
          </cell>
          <cell r="F715">
            <v>-56845.86</v>
          </cell>
        </row>
        <row r="716">
          <cell r="A716" t="str">
            <v>4.005.021.0044</v>
          </cell>
          <cell r="B716" t="str">
            <v>Ventas Carroc Trasera Contado Torre</v>
          </cell>
          <cell r="C716">
            <v>-677.03</v>
          </cell>
          <cell r="F716">
            <v>-677.03</v>
          </cell>
        </row>
        <row r="717">
          <cell r="A717" t="str">
            <v>4.005.021.0051</v>
          </cell>
          <cell r="B717" t="str">
            <v>Ventas Exterior Contado Torre</v>
          </cell>
          <cell r="C717">
            <v>-25660.52</v>
          </cell>
          <cell r="E717">
            <v>6638.18</v>
          </cell>
          <cell r="F717">
            <v>-32298.7</v>
          </cell>
        </row>
        <row r="718">
          <cell r="A718" t="str">
            <v>4.005.021.0052</v>
          </cell>
          <cell r="B718" t="str">
            <v>Ventas Interior Contado Torre</v>
          </cell>
          <cell r="C718">
            <v>-6965.47</v>
          </cell>
          <cell r="D718">
            <v>204.53</v>
          </cell>
          <cell r="E718">
            <v>2152.08</v>
          </cell>
          <cell r="F718">
            <v>-8913.02</v>
          </cell>
        </row>
        <row r="719">
          <cell r="A719" t="str">
            <v>4.005.021.0053</v>
          </cell>
          <cell r="B719" t="str">
            <v>Ventas Asientos Contado Torre</v>
          </cell>
          <cell r="C719">
            <v>0</v>
          </cell>
          <cell r="E719">
            <v>31.82</v>
          </cell>
          <cell r="F719">
            <v>-31.82</v>
          </cell>
        </row>
        <row r="720">
          <cell r="A720" t="str">
            <v>4.005.021.0054</v>
          </cell>
          <cell r="B720" t="str">
            <v>Ventas Acces Eléctric Cont Torre</v>
          </cell>
          <cell r="C720">
            <v>-96042.18</v>
          </cell>
          <cell r="D720">
            <v>1014.06</v>
          </cell>
          <cell r="E720">
            <v>26579.79</v>
          </cell>
          <cell r="F720">
            <v>-121607.91</v>
          </cell>
        </row>
        <row r="721">
          <cell r="A721" t="str">
            <v>4.005.021.0055</v>
          </cell>
          <cell r="B721" t="str">
            <v>Ventas Calef/Vent Contado Torre</v>
          </cell>
          <cell r="C721">
            <v>-6463.41</v>
          </cell>
          <cell r="D721">
            <v>118.17</v>
          </cell>
          <cell r="E721">
            <v>1274.57</v>
          </cell>
          <cell r="F721">
            <v>-7619.81</v>
          </cell>
        </row>
        <row r="722">
          <cell r="A722" t="str">
            <v>4.005.021.0091</v>
          </cell>
          <cell r="B722" t="str">
            <v>Ventas Herramientas Contado Torre</v>
          </cell>
          <cell r="C722">
            <v>-229.99</v>
          </cell>
          <cell r="F722">
            <v>-229.99</v>
          </cell>
        </row>
        <row r="723">
          <cell r="A723" t="str">
            <v>4.005.022.0011</v>
          </cell>
          <cell r="B723" t="str">
            <v>Ventas Motor Crédito Torre</v>
          </cell>
          <cell r="C723">
            <v>-32622.14</v>
          </cell>
          <cell r="D723">
            <v>1185.2</v>
          </cell>
          <cell r="E723">
            <v>1748.93</v>
          </cell>
          <cell r="F723">
            <v>-33185.870000000003</v>
          </cell>
        </row>
        <row r="724">
          <cell r="A724" t="str">
            <v>4.005.022.0012</v>
          </cell>
          <cell r="B724" t="str">
            <v>Ventas Lubricación Crédito Torre</v>
          </cell>
          <cell r="C724">
            <v>-26400.92</v>
          </cell>
          <cell r="D724">
            <v>357.93</v>
          </cell>
          <cell r="E724">
            <v>4905.08</v>
          </cell>
          <cell r="F724">
            <v>-30948.07</v>
          </cell>
        </row>
        <row r="725">
          <cell r="A725" t="str">
            <v>4.005.022.0013</v>
          </cell>
          <cell r="B725" t="str">
            <v>Ventas Combustión Crédito Torre</v>
          </cell>
          <cell r="C725">
            <v>-8884.9</v>
          </cell>
          <cell r="D725">
            <v>430.65</v>
          </cell>
          <cell r="E725">
            <v>2023.56</v>
          </cell>
          <cell r="F725">
            <v>-10477.81</v>
          </cell>
        </row>
        <row r="726">
          <cell r="A726" t="str">
            <v>4.005.022.0014</v>
          </cell>
          <cell r="B726" t="str">
            <v>Ventas Enfriamiento Crédito Torre</v>
          </cell>
          <cell r="C726">
            <v>-7185.72</v>
          </cell>
          <cell r="D726">
            <v>213.88</v>
          </cell>
          <cell r="E726">
            <v>3099.27</v>
          </cell>
          <cell r="F726">
            <v>-10071.11</v>
          </cell>
        </row>
        <row r="727">
          <cell r="A727" t="str">
            <v>4.005.022.0015</v>
          </cell>
          <cell r="B727" t="str">
            <v>Ventas Admisión/Escape Cred Torre</v>
          </cell>
          <cell r="C727">
            <v>-10871.3</v>
          </cell>
          <cell r="D727">
            <v>369.46</v>
          </cell>
          <cell r="E727">
            <v>2908.77</v>
          </cell>
          <cell r="F727">
            <v>-13410.61</v>
          </cell>
        </row>
        <row r="728">
          <cell r="A728" t="str">
            <v>4.005.022.0016</v>
          </cell>
          <cell r="B728" t="str">
            <v>Ventas Sist Eléct Crédito Torre</v>
          </cell>
          <cell r="C728">
            <v>-3071.23</v>
          </cell>
          <cell r="D728">
            <v>123.58</v>
          </cell>
          <cell r="E728">
            <v>287.29000000000002</v>
          </cell>
          <cell r="F728">
            <v>-3234.94</v>
          </cell>
        </row>
        <row r="729">
          <cell r="A729" t="str">
            <v>4.005.022.0021</v>
          </cell>
          <cell r="B729" t="str">
            <v>Ventas Clutch Crédito Torre</v>
          </cell>
          <cell r="C729">
            <v>-14591.1</v>
          </cell>
          <cell r="E729">
            <v>61.41</v>
          </cell>
          <cell r="F729">
            <v>-14652.51</v>
          </cell>
        </row>
        <row r="730">
          <cell r="A730" t="str">
            <v>4.005.022.0022</v>
          </cell>
          <cell r="B730" t="str">
            <v>Ventas Trans Manual Crédito Torre</v>
          </cell>
          <cell r="C730">
            <v>-4820.63</v>
          </cell>
          <cell r="E730">
            <v>25.29</v>
          </cell>
          <cell r="F730">
            <v>-4845.92</v>
          </cell>
        </row>
        <row r="731">
          <cell r="A731" t="str">
            <v>4.005.022.0023</v>
          </cell>
          <cell r="B731" t="str">
            <v>Ventas Trans Autom Crédito Torre</v>
          </cell>
          <cell r="C731">
            <v>-257.58</v>
          </cell>
          <cell r="E731">
            <v>78.38</v>
          </cell>
          <cell r="F731">
            <v>-335.96</v>
          </cell>
        </row>
        <row r="732">
          <cell r="A732" t="str">
            <v>4.005.022.0024</v>
          </cell>
          <cell r="B732" t="str">
            <v>Ventas Caja de Transf Cred Torre</v>
          </cell>
          <cell r="C732">
            <v>-37.17</v>
          </cell>
          <cell r="E732">
            <v>141</v>
          </cell>
          <cell r="F732">
            <v>-178.17</v>
          </cell>
        </row>
        <row r="733">
          <cell r="A733" t="str">
            <v>4.005.022.0025</v>
          </cell>
          <cell r="B733" t="str">
            <v>Ventas Eje Cardán Crédito Torre</v>
          </cell>
          <cell r="C733">
            <v>-1429.98</v>
          </cell>
          <cell r="F733">
            <v>-1429.98</v>
          </cell>
        </row>
        <row r="734">
          <cell r="A734" t="str">
            <v>4.005.022.0026</v>
          </cell>
          <cell r="B734" t="str">
            <v>Ventas Eje Delant Crédito Torre</v>
          </cell>
          <cell r="C734">
            <v>-15062.26</v>
          </cell>
          <cell r="D734">
            <v>51.72</v>
          </cell>
          <cell r="E734">
            <v>487.4</v>
          </cell>
          <cell r="F734">
            <v>-15497.94</v>
          </cell>
        </row>
        <row r="735">
          <cell r="A735" t="str">
            <v>4.005.022.0027</v>
          </cell>
          <cell r="B735" t="str">
            <v>Ventas Eje Trasero Crédito Torre</v>
          </cell>
          <cell r="C735">
            <v>-3276.68</v>
          </cell>
          <cell r="F735">
            <v>-3276.68</v>
          </cell>
        </row>
        <row r="736">
          <cell r="A736" t="str">
            <v>4.005.022.0031</v>
          </cell>
          <cell r="B736" t="str">
            <v>Ventas Aros y LLantas Cred Torre</v>
          </cell>
          <cell r="C736">
            <v>-959.78</v>
          </cell>
          <cell r="E736">
            <v>13.74</v>
          </cell>
          <cell r="F736">
            <v>-973.52</v>
          </cell>
        </row>
        <row r="737">
          <cell r="A737" t="str">
            <v>4.005.022.0033</v>
          </cell>
          <cell r="B737" t="str">
            <v>Ventas Susp Delantera Cred Torre</v>
          </cell>
          <cell r="C737">
            <v>-16396.849999999999</v>
          </cell>
          <cell r="E737">
            <v>228.67</v>
          </cell>
          <cell r="F737">
            <v>-16625.52</v>
          </cell>
        </row>
        <row r="738">
          <cell r="A738" t="str">
            <v>4.005.022.0034</v>
          </cell>
          <cell r="B738" t="str">
            <v>Ventas Susp Trasera Crédito Torre</v>
          </cell>
          <cell r="C738">
            <v>-3862.74</v>
          </cell>
          <cell r="F738">
            <v>-3862.74</v>
          </cell>
        </row>
        <row r="739">
          <cell r="A739" t="str">
            <v>4.005.022.0035</v>
          </cell>
          <cell r="B739" t="str">
            <v>Ventas Frenos Crédito Torre</v>
          </cell>
          <cell r="C739">
            <v>-23149.57</v>
          </cell>
          <cell r="D739">
            <v>510</v>
          </cell>
          <cell r="E739">
            <v>5286.38</v>
          </cell>
          <cell r="F739">
            <v>-27925.95</v>
          </cell>
        </row>
        <row r="740">
          <cell r="A740" t="str">
            <v>4.005.022.0037</v>
          </cell>
          <cell r="B740" t="str">
            <v>Ventas Dirección Crédito Torre</v>
          </cell>
          <cell r="C740">
            <v>-6777.87</v>
          </cell>
          <cell r="D740">
            <v>195.43</v>
          </cell>
          <cell r="E740">
            <v>938.05</v>
          </cell>
          <cell r="F740">
            <v>-7520.49</v>
          </cell>
        </row>
        <row r="741">
          <cell r="A741" t="str">
            <v>4.005.022.0042</v>
          </cell>
          <cell r="B741" t="str">
            <v>Ventas Carrocería Crédito Torre</v>
          </cell>
          <cell r="C741">
            <v>-118194.76</v>
          </cell>
          <cell r="E741">
            <v>11786.81</v>
          </cell>
          <cell r="F741">
            <v>-129981.57</v>
          </cell>
        </row>
        <row r="742">
          <cell r="A742" t="str">
            <v>4.005.022.0043</v>
          </cell>
          <cell r="B742" t="str">
            <v>Ventas Puertas Crédito Torre</v>
          </cell>
          <cell r="C742">
            <v>-29273.85</v>
          </cell>
          <cell r="D742">
            <v>785.71</v>
          </cell>
          <cell r="E742">
            <v>3168.87</v>
          </cell>
          <cell r="F742">
            <v>-31657.01</v>
          </cell>
        </row>
        <row r="743">
          <cell r="A743" t="str">
            <v>4.005.022.0051</v>
          </cell>
          <cell r="B743" t="str">
            <v>Ventas Exterior Crédito Torre</v>
          </cell>
          <cell r="C743">
            <v>-4600.63</v>
          </cell>
          <cell r="D743">
            <v>101.81</v>
          </cell>
          <cell r="E743">
            <v>333.11</v>
          </cell>
          <cell r="F743">
            <v>-4831.93</v>
          </cell>
        </row>
        <row r="744">
          <cell r="A744" t="str">
            <v>4.005.022.0052</v>
          </cell>
          <cell r="B744" t="str">
            <v>Ventas Interior Crédito Torre</v>
          </cell>
          <cell r="C744">
            <v>-511.61</v>
          </cell>
          <cell r="F744">
            <v>-511.61</v>
          </cell>
        </row>
        <row r="745">
          <cell r="A745" t="str">
            <v>4.005.022.0054</v>
          </cell>
          <cell r="B745" t="str">
            <v>Ventas Acces Eléctric Cred Torre</v>
          </cell>
          <cell r="C745">
            <v>-46370.78</v>
          </cell>
          <cell r="D745">
            <v>562.16</v>
          </cell>
          <cell r="E745">
            <v>5077.3500000000004</v>
          </cell>
          <cell r="F745">
            <v>-50885.97</v>
          </cell>
        </row>
        <row r="746">
          <cell r="A746" t="str">
            <v>4.005.022.0055</v>
          </cell>
          <cell r="B746" t="str">
            <v>Ventas Calef/Vent Crédito Torre</v>
          </cell>
          <cell r="C746">
            <v>-6050.08</v>
          </cell>
          <cell r="E746">
            <v>1842.28</v>
          </cell>
          <cell r="F746">
            <v>-7892.36</v>
          </cell>
        </row>
        <row r="747">
          <cell r="A747" t="str">
            <v>4.005.022.0091</v>
          </cell>
          <cell r="B747" t="str">
            <v>Ventas Herramientas Crédito Torre</v>
          </cell>
          <cell r="C747">
            <v>-15.36</v>
          </cell>
          <cell r="F747">
            <v>-15.36</v>
          </cell>
        </row>
        <row r="748">
          <cell r="A748" t="str">
            <v>4.005.025.0900</v>
          </cell>
          <cell r="B748" t="str">
            <v>Venta Accesorios Contado Torre</v>
          </cell>
          <cell r="C748">
            <v>-13880.05</v>
          </cell>
          <cell r="E748">
            <v>2204.79</v>
          </cell>
          <cell r="F748">
            <v>-16084.84</v>
          </cell>
        </row>
        <row r="749">
          <cell r="A749" t="str">
            <v>4.005.026.0900</v>
          </cell>
          <cell r="B749" t="str">
            <v>Venta Accesorios Crédito Torre</v>
          </cell>
          <cell r="C749">
            <v>-3622.56</v>
          </cell>
          <cell r="F749">
            <v>-3622.56</v>
          </cell>
        </row>
        <row r="750">
          <cell r="A750" t="str">
            <v>4.006.001.1002</v>
          </cell>
          <cell r="B750" t="str">
            <v>Ventas Colt 1600 Contado Pirámide</v>
          </cell>
          <cell r="C750">
            <v>-97204.19</v>
          </cell>
          <cell r="F750">
            <v>-97204.19</v>
          </cell>
        </row>
        <row r="751">
          <cell r="A751" t="str">
            <v>4.006.001.1003</v>
          </cell>
          <cell r="B751" t="str">
            <v>Ventas Lancer 1300 Contado Pirámide</v>
          </cell>
          <cell r="C751">
            <v>-165586</v>
          </cell>
          <cell r="F751">
            <v>-165586</v>
          </cell>
        </row>
        <row r="752">
          <cell r="A752" t="str">
            <v>4.006.001.1004</v>
          </cell>
          <cell r="B752" t="str">
            <v>Ventas Lancer 1600 Contado Pirámide</v>
          </cell>
          <cell r="C752">
            <v>-301035</v>
          </cell>
          <cell r="F752">
            <v>-301035</v>
          </cell>
        </row>
        <row r="753">
          <cell r="A753" t="str">
            <v>4.006.001.1005</v>
          </cell>
          <cell r="B753" t="str">
            <v>Ventas Galant Contado Pirámide</v>
          </cell>
          <cell r="C753">
            <v>-145000</v>
          </cell>
          <cell r="F753">
            <v>-145000</v>
          </cell>
        </row>
        <row r="754">
          <cell r="A754" t="str">
            <v>4.006.001.1006</v>
          </cell>
          <cell r="B754" t="str">
            <v>Ventas Space Wagon Contado Pirámide</v>
          </cell>
          <cell r="C754">
            <v>-162750</v>
          </cell>
          <cell r="F754">
            <v>-162750</v>
          </cell>
        </row>
        <row r="755">
          <cell r="A755" t="str">
            <v>4.006.001.1007</v>
          </cell>
          <cell r="B755" t="str">
            <v>Ventas Microbús L-300 Cont Pirámide</v>
          </cell>
          <cell r="C755">
            <v>-97500</v>
          </cell>
          <cell r="F755">
            <v>-97500</v>
          </cell>
        </row>
        <row r="756">
          <cell r="A756" t="str">
            <v>4.006.001.1009</v>
          </cell>
          <cell r="B756" t="str">
            <v>Ventas Pick-Ups Contado Pirámide</v>
          </cell>
          <cell r="C756">
            <v>-512685.73</v>
          </cell>
          <cell r="D756">
            <v>100000</v>
          </cell>
          <cell r="E756">
            <v>219000</v>
          </cell>
          <cell r="F756">
            <v>-631685.73</v>
          </cell>
        </row>
        <row r="757">
          <cell r="A757" t="str">
            <v>4.006.001.1010</v>
          </cell>
          <cell r="B757" t="str">
            <v>Ventas Montero Contado Pirámide</v>
          </cell>
          <cell r="C757">
            <v>-1224231.25</v>
          </cell>
          <cell r="F757">
            <v>-1224231.25</v>
          </cell>
        </row>
        <row r="758">
          <cell r="A758" t="str">
            <v>4.006.001.1011</v>
          </cell>
          <cell r="B758" t="str">
            <v>Ventas Nativa Contado Pirámide</v>
          </cell>
          <cell r="C758">
            <v>-406057.5</v>
          </cell>
          <cell r="F758">
            <v>-406057.5</v>
          </cell>
        </row>
        <row r="759">
          <cell r="A759" t="str">
            <v>4.006.001.1012</v>
          </cell>
          <cell r="B759" t="str">
            <v>Ventas Canter FE Contado Pirámide</v>
          </cell>
          <cell r="C759">
            <v>-930000</v>
          </cell>
          <cell r="F759">
            <v>-930000</v>
          </cell>
        </row>
        <row r="760">
          <cell r="A760" t="str">
            <v>4.006.002.1003</v>
          </cell>
          <cell r="B760" t="str">
            <v>Ventas Lancer 1300 Crédito Pirámide</v>
          </cell>
          <cell r="C760">
            <v>-319600</v>
          </cell>
          <cell r="F760">
            <v>-319600</v>
          </cell>
        </row>
        <row r="761">
          <cell r="A761" t="str">
            <v>4.006.002.1004</v>
          </cell>
          <cell r="B761" t="str">
            <v>Ventas Lancer 1600 Crédito Pirámide</v>
          </cell>
          <cell r="C761">
            <v>-530600</v>
          </cell>
          <cell r="D761">
            <v>58000</v>
          </cell>
          <cell r="E761">
            <v>58000</v>
          </cell>
          <cell r="F761">
            <v>-530600</v>
          </cell>
        </row>
        <row r="762">
          <cell r="A762" t="str">
            <v>4.006.002.1005</v>
          </cell>
          <cell r="B762" t="str">
            <v>Ventas Galant Crédito Pirámide</v>
          </cell>
          <cell r="C762">
            <v>-464000</v>
          </cell>
          <cell r="F762">
            <v>-464000</v>
          </cell>
        </row>
        <row r="763">
          <cell r="A763" t="str">
            <v>4.006.002.1006</v>
          </cell>
          <cell r="B763" t="str">
            <v>Ventas Space Wagon Crédito Pirámide</v>
          </cell>
          <cell r="C763">
            <v>-171850</v>
          </cell>
          <cell r="F763">
            <v>-171850</v>
          </cell>
        </row>
        <row r="764">
          <cell r="A764" t="str">
            <v>4.006.002.1007</v>
          </cell>
          <cell r="B764" t="str">
            <v>Ventas Microbús L-300 Cred Pirámide</v>
          </cell>
          <cell r="C764">
            <v>-296875</v>
          </cell>
          <cell r="F764">
            <v>-296875</v>
          </cell>
        </row>
        <row r="765">
          <cell r="A765" t="str">
            <v>4.006.002.1009</v>
          </cell>
          <cell r="B765" t="str">
            <v>Ventas Pick-Ups Crédito Pirámide</v>
          </cell>
          <cell r="C765">
            <v>-1452857.5</v>
          </cell>
          <cell r="F765">
            <v>-1452857.5</v>
          </cell>
        </row>
        <row r="766">
          <cell r="A766" t="str">
            <v>4.006.002.1010</v>
          </cell>
          <cell r="B766" t="str">
            <v>Ventas Montero Crédito Pirámide</v>
          </cell>
          <cell r="C766">
            <v>-2235041.38</v>
          </cell>
          <cell r="F766">
            <v>-2235041.38</v>
          </cell>
        </row>
        <row r="767">
          <cell r="A767" t="str">
            <v>4.006.002.1012</v>
          </cell>
          <cell r="B767" t="str">
            <v>Ventas Canter FE Crédito Pirámide</v>
          </cell>
          <cell r="C767">
            <v>-226000</v>
          </cell>
          <cell r="F767">
            <v>-226000</v>
          </cell>
        </row>
        <row r="768">
          <cell r="A768" t="str">
            <v>4.006.003.1010</v>
          </cell>
          <cell r="B768" t="str">
            <v>Reb/Dev Montero Contado Pirámide</v>
          </cell>
          <cell r="C768">
            <v>0</v>
          </cell>
          <cell r="D768">
            <v>3999.68</v>
          </cell>
          <cell r="F768">
            <v>3999.68</v>
          </cell>
        </row>
        <row r="769">
          <cell r="A769" t="str">
            <v>4.006.005.1900</v>
          </cell>
          <cell r="B769" t="str">
            <v>Ventas Usados Propios Cont Pirámide</v>
          </cell>
          <cell r="C769">
            <v>-3738770.71</v>
          </cell>
          <cell r="D769">
            <v>97000</v>
          </cell>
          <cell r="E769">
            <v>928000</v>
          </cell>
          <cell r="F769">
            <v>-4569770.71</v>
          </cell>
        </row>
        <row r="770">
          <cell r="A770" t="str">
            <v>4.006.005.1901</v>
          </cell>
          <cell r="B770" t="str">
            <v>Ventas Usados Ajenos Cont Pirámide</v>
          </cell>
          <cell r="C770">
            <v>-1417628.8</v>
          </cell>
          <cell r="E770">
            <v>541000</v>
          </cell>
          <cell r="F770">
            <v>-1958628.8</v>
          </cell>
        </row>
        <row r="771">
          <cell r="A771" t="str">
            <v>4.006.006.1900</v>
          </cell>
          <cell r="B771" t="str">
            <v>Ventas Usados Propios Cred Pirámide</v>
          </cell>
          <cell r="C771">
            <v>-5742145</v>
          </cell>
          <cell r="E771">
            <v>907000</v>
          </cell>
          <cell r="F771">
            <v>-6649145</v>
          </cell>
        </row>
        <row r="772">
          <cell r="A772" t="str">
            <v>4.006.006.1901</v>
          </cell>
          <cell r="B772" t="str">
            <v>Ventas Usados Ajenos Cred Pirámide</v>
          </cell>
          <cell r="C772">
            <v>-1383090</v>
          </cell>
          <cell r="E772">
            <v>340700</v>
          </cell>
          <cell r="F772">
            <v>-1723790</v>
          </cell>
        </row>
        <row r="773">
          <cell r="A773" t="str">
            <v>4.006.008.1901</v>
          </cell>
          <cell r="B773" t="str">
            <v>Reb/Dev Usados Ajenos Cred Pirámide</v>
          </cell>
          <cell r="C773">
            <v>45000</v>
          </cell>
          <cell r="F773">
            <v>45000</v>
          </cell>
        </row>
        <row r="774">
          <cell r="A774" t="str">
            <v>4.007.001.1002</v>
          </cell>
          <cell r="B774" t="str">
            <v>Ventas Colt 1600 Contado Pradera</v>
          </cell>
          <cell r="C774">
            <v>-77563.63</v>
          </cell>
          <cell r="F774">
            <v>-77563.63</v>
          </cell>
        </row>
        <row r="775">
          <cell r="A775" t="str">
            <v>4.007.001.1003</v>
          </cell>
          <cell r="B775" t="str">
            <v>Ventas Lancer 1300 Contado Pradera</v>
          </cell>
          <cell r="C775">
            <v>-1439215</v>
          </cell>
          <cell r="E775">
            <v>80900</v>
          </cell>
          <cell r="F775">
            <v>-1520115</v>
          </cell>
        </row>
        <row r="776">
          <cell r="A776" t="str">
            <v>4.007.001.1004</v>
          </cell>
          <cell r="B776" t="str">
            <v>Ventas Lancer 1600 Contado Pradera</v>
          </cell>
          <cell r="C776">
            <v>-2551339.17</v>
          </cell>
          <cell r="E776">
            <v>487669.65</v>
          </cell>
          <cell r="F776">
            <v>-3039008.82</v>
          </cell>
        </row>
        <row r="777">
          <cell r="A777" t="str">
            <v>4.007.001.1005</v>
          </cell>
          <cell r="B777" t="str">
            <v>Ventas Galant Contado Pradera</v>
          </cell>
          <cell r="C777">
            <v>-394785</v>
          </cell>
          <cell r="E777">
            <v>130000</v>
          </cell>
          <cell r="F777">
            <v>-524785</v>
          </cell>
        </row>
        <row r="778">
          <cell r="A778" t="str">
            <v>4.007.001.1006</v>
          </cell>
          <cell r="B778" t="str">
            <v>Ventas Space Wagon Contado Pradera</v>
          </cell>
          <cell r="C778">
            <v>-2533231.62</v>
          </cell>
          <cell r="D778">
            <v>159206.32</v>
          </cell>
          <cell r="E778">
            <v>318412.64</v>
          </cell>
          <cell r="F778">
            <v>-2692437.94</v>
          </cell>
        </row>
        <row r="779">
          <cell r="A779" t="str">
            <v>4.007.001.1007</v>
          </cell>
          <cell r="B779" t="str">
            <v>Ventas Microbús L-300 Cont Pradera</v>
          </cell>
          <cell r="C779">
            <v>-97500</v>
          </cell>
          <cell r="F779">
            <v>-97500</v>
          </cell>
        </row>
        <row r="780">
          <cell r="A780" t="str">
            <v>4.007.001.1008</v>
          </cell>
          <cell r="B780" t="str">
            <v>Ventas Pánel L-300 Contado Pradera</v>
          </cell>
          <cell r="C780">
            <v>-1356000</v>
          </cell>
          <cell r="F780">
            <v>-1356000</v>
          </cell>
        </row>
        <row r="781">
          <cell r="A781" t="str">
            <v>4.007.001.1009</v>
          </cell>
          <cell r="B781" t="str">
            <v>Ventas Pick-Ups Contado Pradera</v>
          </cell>
          <cell r="C781">
            <v>-4746798.95</v>
          </cell>
          <cell r="D781">
            <v>576200</v>
          </cell>
          <cell r="E781">
            <v>797600</v>
          </cell>
          <cell r="F781">
            <v>-4968198.95</v>
          </cell>
        </row>
        <row r="782">
          <cell r="A782" t="str">
            <v>4.007.001.1010</v>
          </cell>
          <cell r="B782" t="str">
            <v>Ventas Montero Contado Pradera</v>
          </cell>
          <cell r="C782">
            <v>-7484341.3600000003</v>
          </cell>
          <cell r="D782">
            <v>1223800</v>
          </cell>
          <cell r="E782">
            <v>2867042.69</v>
          </cell>
          <cell r="F782">
            <v>-9127584.0500000007</v>
          </cell>
        </row>
        <row r="783">
          <cell r="A783" t="str">
            <v>4.007.001.1011</v>
          </cell>
          <cell r="B783" t="str">
            <v>Ventas Nativa Contado Pradera</v>
          </cell>
          <cell r="C783">
            <v>-3304358.78</v>
          </cell>
          <cell r="D783">
            <v>345490</v>
          </cell>
          <cell r="E783">
            <v>1092873</v>
          </cell>
          <cell r="F783">
            <v>-4051741.78</v>
          </cell>
        </row>
        <row r="784">
          <cell r="A784" t="str">
            <v>4.007.001.1013</v>
          </cell>
          <cell r="B784" t="str">
            <v>Ventas Canter FH Contado Pradera</v>
          </cell>
          <cell r="C784">
            <v>200000</v>
          </cell>
          <cell r="F784">
            <v>200000</v>
          </cell>
        </row>
        <row r="785">
          <cell r="A785" t="str">
            <v>4.007.002.1001</v>
          </cell>
          <cell r="B785" t="str">
            <v>Ventas Colt 1300 Crédito Pradera</v>
          </cell>
          <cell r="C785">
            <v>-81462.09</v>
          </cell>
          <cell r="F785">
            <v>-81462.09</v>
          </cell>
        </row>
        <row r="786">
          <cell r="A786" t="str">
            <v>4.007.002.1002</v>
          </cell>
          <cell r="B786" t="str">
            <v>Ventas Colt 1600 Crédito Pradera</v>
          </cell>
          <cell r="C786">
            <v>-89280</v>
          </cell>
          <cell r="F786">
            <v>-89280</v>
          </cell>
        </row>
        <row r="787">
          <cell r="A787" t="str">
            <v>4.007.002.1003</v>
          </cell>
          <cell r="B787" t="str">
            <v>Ventas Lancer 1300 Crédito Pradera</v>
          </cell>
          <cell r="C787">
            <v>-3548853</v>
          </cell>
          <cell r="D787">
            <v>93968</v>
          </cell>
          <cell r="E787">
            <v>339768</v>
          </cell>
          <cell r="F787">
            <v>-3794653</v>
          </cell>
        </row>
        <row r="788">
          <cell r="A788" t="str">
            <v>4.007.002.1004</v>
          </cell>
          <cell r="B788" t="str">
            <v>Ventas Lancer 1600 Crédito Pradera</v>
          </cell>
          <cell r="C788">
            <v>-2464065</v>
          </cell>
          <cell r="E788">
            <v>619400</v>
          </cell>
          <cell r="F788">
            <v>-3083465</v>
          </cell>
        </row>
        <row r="789">
          <cell r="A789" t="str">
            <v>4.007.002.1005</v>
          </cell>
          <cell r="B789" t="str">
            <v>Ventas Galant Crédito Pradera</v>
          </cell>
          <cell r="C789">
            <v>-563210</v>
          </cell>
          <cell r="D789">
            <v>137750</v>
          </cell>
          <cell r="E789">
            <v>137750</v>
          </cell>
          <cell r="F789">
            <v>-563210</v>
          </cell>
        </row>
        <row r="790">
          <cell r="A790" t="str">
            <v>4.007.002.1006</v>
          </cell>
          <cell r="B790" t="str">
            <v>Ventas Space Wagon Crédito Pradera</v>
          </cell>
          <cell r="C790">
            <v>-1283766</v>
          </cell>
          <cell r="E790">
            <v>150000</v>
          </cell>
          <cell r="F790">
            <v>-1433766</v>
          </cell>
        </row>
        <row r="791">
          <cell r="A791" t="str">
            <v>4.007.002.1007</v>
          </cell>
          <cell r="B791" t="str">
            <v>Ventas Microbús L-300 Cred Pradera</v>
          </cell>
          <cell r="C791">
            <v>-302192</v>
          </cell>
          <cell r="F791">
            <v>-302192</v>
          </cell>
        </row>
        <row r="792">
          <cell r="A792" t="str">
            <v>4.007.002.1008</v>
          </cell>
          <cell r="B792" t="str">
            <v>Ventas Pánel L-300 Crédito Pradera</v>
          </cell>
          <cell r="C792">
            <v>-288690</v>
          </cell>
          <cell r="F792">
            <v>-288690</v>
          </cell>
        </row>
        <row r="793">
          <cell r="A793" t="str">
            <v>4.007.002.1009</v>
          </cell>
          <cell r="B793" t="str">
            <v>Ventas Pick-Ups Crédito Pradera</v>
          </cell>
          <cell r="C793">
            <v>-3922465</v>
          </cell>
          <cell r="E793">
            <v>788700</v>
          </cell>
          <cell r="F793">
            <v>-4711165</v>
          </cell>
        </row>
        <row r="794">
          <cell r="A794" t="str">
            <v>4.007.002.1010</v>
          </cell>
          <cell r="B794" t="str">
            <v>Ventas Montero Crédito Pradera</v>
          </cell>
          <cell r="C794">
            <v>-4286237</v>
          </cell>
          <cell r="E794">
            <v>127900</v>
          </cell>
          <cell r="F794">
            <v>-4414137</v>
          </cell>
        </row>
        <row r="795">
          <cell r="A795" t="str">
            <v>4.007.002.1011</v>
          </cell>
          <cell r="B795" t="str">
            <v>Ventas Nativa Crédito Pradera</v>
          </cell>
          <cell r="C795">
            <v>-3185455.16</v>
          </cell>
          <cell r="D795">
            <v>205000</v>
          </cell>
          <cell r="E795">
            <v>205000</v>
          </cell>
          <cell r="F795">
            <v>-3185455.16</v>
          </cell>
        </row>
        <row r="796">
          <cell r="A796" t="str">
            <v>4.007.002.1012</v>
          </cell>
          <cell r="B796" t="str">
            <v>Ventas Canter FE Crédito Pradera</v>
          </cell>
          <cell r="C796">
            <v>-121392</v>
          </cell>
          <cell r="E796">
            <v>226900</v>
          </cell>
          <cell r="F796">
            <v>-348292</v>
          </cell>
        </row>
        <row r="797">
          <cell r="A797" t="str">
            <v>4.007.003.1004</v>
          </cell>
          <cell r="B797" t="str">
            <v>Reb/Dev Lancer 1600 Contado Pradera</v>
          </cell>
          <cell r="C797">
            <v>9405.0499999999993</v>
          </cell>
          <cell r="F797">
            <v>9405.0499999999993</v>
          </cell>
        </row>
        <row r="798">
          <cell r="A798" t="str">
            <v>4.007.004.1004</v>
          </cell>
          <cell r="B798" t="str">
            <v>Reb/Dev Lancer 1600 Crédito Pradera</v>
          </cell>
          <cell r="C798">
            <v>0</v>
          </cell>
          <cell r="D798">
            <v>1000</v>
          </cell>
          <cell r="F798">
            <v>1000</v>
          </cell>
        </row>
        <row r="799">
          <cell r="A799" t="str">
            <v>4.007.006.1900</v>
          </cell>
          <cell r="B799" t="str">
            <v>Ventas Usados Propios Cred Pradera</v>
          </cell>
          <cell r="C799">
            <v>-45000</v>
          </cell>
          <cell r="F799">
            <v>-45000</v>
          </cell>
        </row>
        <row r="800">
          <cell r="A800" t="str">
            <v>4.007.021.0011</v>
          </cell>
          <cell r="B800" t="str">
            <v>Ventas Motor Contado Pradera</v>
          </cell>
          <cell r="C800">
            <v>-77800.44</v>
          </cell>
          <cell r="D800">
            <v>1240.58</v>
          </cell>
          <cell r="E800">
            <v>5364.19</v>
          </cell>
          <cell r="F800">
            <v>-81924.05</v>
          </cell>
        </row>
        <row r="801">
          <cell r="A801" t="str">
            <v>4.007.021.0012</v>
          </cell>
          <cell r="B801" t="str">
            <v>Ventas Lubricación Contado Pradera</v>
          </cell>
          <cell r="C801">
            <v>-54291.22</v>
          </cell>
          <cell r="E801">
            <v>5528.56</v>
          </cell>
          <cell r="F801">
            <v>-59819.78</v>
          </cell>
        </row>
        <row r="802">
          <cell r="A802" t="str">
            <v>4.007.021.0013</v>
          </cell>
          <cell r="B802" t="str">
            <v>Ventas Combustión Contado Pradera</v>
          </cell>
          <cell r="C802">
            <v>-13857.39</v>
          </cell>
          <cell r="E802">
            <v>1038.3399999999999</v>
          </cell>
          <cell r="F802">
            <v>-14895.73</v>
          </cell>
        </row>
        <row r="803">
          <cell r="A803" t="str">
            <v>4.007.021.0014</v>
          </cell>
          <cell r="B803" t="str">
            <v>Ventas Enfriamiento Contado Pradera</v>
          </cell>
          <cell r="C803">
            <v>-18475.77</v>
          </cell>
          <cell r="D803">
            <v>170.89</v>
          </cell>
          <cell r="E803">
            <v>1062.02</v>
          </cell>
          <cell r="F803">
            <v>-19366.900000000001</v>
          </cell>
        </row>
        <row r="804">
          <cell r="A804" t="str">
            <v>4.007.021.0015</v>
          </cell>
          <cell r="B804" t="str">
            <v>Ventas Admisión/Escape Cont Pradera</v>
          </cell>
          <cell r="C804">
            <v>-16859.55</v>
          </cell>
          <cell r="D804">
            <v>236.41</v>
          </cell>
          <cell r="E804">
            <v>1635.88</v>
          </cell>
          <cell r="F804">
            <v>-18259.02</v>
          </cell>
        </row>
        <row r="805">
          <cell r="A805" t="str">
            <v>4.007.021.0016</v>
          </cell>
          <cell r="B805" t="str">
            <v>Ventas Sist/Eléctrico Cont Pradera</v>
          </cell>
          <cell r="C805">
            <v>-36089.269999999997</v>
          </cell>
          <cell r="D805">
            <v>134.54</v>
          </cell>
          <cell r="E805">
            <v>3813.65</v>
          </cell>
          <cell r="F805">
            <v>-39768.379999999997</v>
          </cell>
        </row>
        <row r="806">
          <cell r="A806" t="str">
            <v>4.007.021.0021</v>
          </cell>
          <cell r="B806" t="str">
            <v>Ventas Clutch Contado Pradera</v>
          </cell>
          <cell r="C806">
            <v>-15909.86</v>
          </cell>
          <cell r="E806">
            <v>1319.57</v>
          </cell>
          <cell r="F806">
            <v>-17229.43</v>
          </cell>
        </row>
        <row r="807">
          <cell r="A807" t="str">
            <v>4.007.021.0022</v>
          </cell>
          <cell r="B807" t="str">
            <v>Ventas Trans Manual Contado Pradera</v>
          </cell>
          <cell r="C807">
            <v>-3663.15</v>
          </cell>
          <cell r="E807">
            <v>3671.14</v>
          </cell>
          <cell r="F807">
            <v>-7334.29</v>
          </cell>
        </row>
        <row r="808">
          <cell r="A808" t="str">
            <v>4.007.021.0023</v>
          </cell>
          <cell r="B808" t="str">
            <v>Ventas Trans Automátic Cont Pradera</v>
          </cell>
          <cell r="C808">
            <v>-1127.3900000000001</v>
          </cell>
          <cell r="E808">
            <v>247.35</v>
          </cell>
          <cell r="F808">
            <v>-1374.74</v>
          </cell>
        </row>
        <row r="809">
          <cell r="A809" t="str">
            <v>4.007.021.0024</v>
          </cell>
          <cell r="B809" t="str">
            <v>Ventas Caja de Transf Con Pradera</v>
          </cell>
          <cell r="C809">
            <v>-509.89</v>
          </cell>
          <cell r="F809">
            <v>-509.89</v>
          </cell>
        </row>
        <row r="810">
          <cell r="A810" t="str">
            <v>4.007.021.0025</v>
          </cell>
          <cell r="B810" t="str">
            <v>Ventas Eje Cardán Contado Pradera</v>
          </cell>
          <cell r="C810">
            <v>-2787.41</v>
          </cell>
          <cell r="E810">
            <v>550.29</v>
          </cell>
          <cell r="F810">
            <v>-3337.7</v>
          </cell>
        </row>
        <row r="811">
          <cell r="A811" t="str">
            <v>4.007.021.0026</v>
          </cell>
          <cell r="B811" t="str">
            <v>Ventas Eje Delantero Cont Pradera</v>
          </cell>
          <cell r="C811">
            <v>-8249.92</v>
          </cell>
          <cell r="D811">
            <v>5.7</v>
          </cell>
          <cell r="E811">
            <v>2158.36</v>
          </cell>
          <cell r="F811">
            <v>-10402.58</v>
          </cell>
        </row>
        <row r="812">
          <cell r="A812" t="str">
            <v>4.007.021.0027</v>
          </cell>
          <cell r="B812" t="str">
            <v>Ventas Eje Trasero Contado Pradera</v>
          </cell>
          <cell r="C812">
            <v>-3108.67</v>
          </cell>
          <cell r="E812">
            <v>391.93</v>
          </cell>
          <cell r="F812">
            <v>-3500.6</v>
          </cell>
        </row>
        <row r="813">
          <cell r="A813" t="str">
            <v>4.007.021.0031</v>
          </cell>
          <cell r="B813" t="str">
            <v>Ventas Aros y LLantas Cont Pradera</v>
          </cell>
          <cell r="C813">
            <v>-12859.68</v>
          </cell>
          <cell r="E813">
            <v>382.11</v>
          </cell>
          <cell r="F813">
            <v>-13241.79</v>
          </cell>
        </row>
        <row r="814">
          <cell r="A814" t="str">
            <v>4.007.021.0033</v>
          </cell>
          <cell r="B814" t="str">
            <v>Ventas Susp Delantera Cont Pradera</v>
          </cell>
          <cell r="C814">
            <v>-30159.37</v>
          </cell>
          <cell r="D814">
            <v>4291.12</v>
          </cell>
          <cell r="E814">
            <v>7453.14</v>
          </cell>
          <cell r="F814">
            <v>-33321.39</v>
          </cell>
        </row>
        <row r="815">
          <cell r="A815" t="str">
            <v>4.007.021.0034</v>
          </cell>
          <cell r="B815" t="str">
            <v>Ventas Susp Trasera Contado Pradera</v>
          </cell>
          <cell r="C815">
            <v>-4623.04</v>
          </cell>
          <cell r="D815">
            <v>72.680000000000007</v>
          </cell>
          <cell r="E815">
            <v>90.79</v>
          </cell>
          <cell r="F815">
            <v>-4641.1499999999996</v>
          </cell>
        </row>
        <row r="816">
          <cell r="A816" t="str">
            <v>4.007.021.0035</v>
          </cell>
          <cell r="B816" t="str">
            <v>Ventas Frenos Contado Pradera</v>
          </cell>
          <cell r="C816">
            <v>-40815.870000000003</v>
          </cell>
          <cell r="D816">
            <v>827.17</v>
          </cell>
          <cell r="E816">
            <v>6350.36</v>
          </cell>
          <cell r="F816">
            <v>-46339.06</v>
          </cell>
        </row>
        <row r="817">
          <cell r="A817" t="str">
            <v>4.007.021.0037</v>
          </cell>
          <cell r="B817" t="str">
            <v>Ventas Dirección Contado Pradera</v>
          </cell>
          <cell r="C817">
            <v>-26079.040000000001</v>
          </cell>
          <cell r="E817">
            <v>1891.19</v>
          </cell>
          <cell r="F817">
            <v>-27970.23</v>
          </cell>
        </row>
        <row r="818">
          <cell r="A818" t="str">
            <v>4.007.021.0042</v>
          </cell>
          <cell r="B818" t="str">
            <v>Ventas Carrocería Contado Pradera</v>
          </cell>
          <cell r="C818">
            <v>-93509.59</v>
          </cell>
          <cell r="D818">
            <v>512.73</v>
          </cell>
          <cell r="E818">
            <v>12736.89</v>
          </cell>
          <cell r="F818">
            <v>-105733.75</v>
          </cell>
        </row>
        <row r="819">
          <cell r="A819" t="str">
            <v>4.007.021.0043</v>
          </cell>
          <cell r="B819" t="str">
            <v>Ventas Puertas Contado Pradera</v>
          </cell>
          <cell r="C819">
            <v>-19699.61</v>
          </cell>
          <cell r="E819">
            <v>870.91</v>
          </cell>
          <cell r="F819">
            <v>-20570.52</v>
          </cell>
        </row>
        <row r="820">
          <cell r="A820" t="str">
            <v>4.007.021.0044</v>
          </cell>
          <cell r="B820" t="str">
            <v>Ventas Carroc Trasera Cont Pradera</v>
          </cell>
          <cell r="C820">
            <v>-176.35</v>
          </cell>
          <cell r="F820">
            <v>-176.35</v>
          </cell>
        </row>
        <row r="821">
          <cell r="A821" t="str">
            <v>4.007.021.0051</v>
          </cell>
          <cell r="B821" t="str">
            <v>Ventas Exterior Contado Pradera</v>
          </cell>
          <cell r="C821">
            <v>-8728.56</v>
          </cell>
          <cell r="E821">
            <v>885.17</v>
          </cell>
          <cell r="F821">
            <v>-9613.73</v>
          </cell>
        </row>
        <row r="822">
          <cell r="A822" t="str">
            <v>4.007.021.0052</v>
          </cell>
          <cell r="B822" t="str">
            <v>Ventas Interior Contado Pradera</v>
          </cell>
          <cell r="C822">
            <v>-4610.43</v>
          </cell>
          <cell r="E822">
            <v>475.16</v>
          </cell>
          <cell r="F822">
            <v>-5085.59</v>
          </cell>
        </row>
        <row r="823">
          <cell r="A823" t="str">
            <v>4.007.021.0054</v>
          </cell>
          <cell r="B823" t="str">
            <v>Ventas Acces Eléctric Cont Pradera</v>
          </cell>
          <cell r="C823">
            <v>-59380.6</v>
          </cell>
          <cell r="E823">
            <v>6869.14</v>
          </cell>
          <cell r="F823">
            <v>-66249.740000000005</v>
          </cell>
        </row>
        <row r="824">
          <cell r="A824" t="str">
            <v>4.007.021.0055</v>
          </cell>
          <cell r="B824" t="str">
            <v>Ventas Calef/Vent Contado Pradera</v>
          </cell>
          <cell r="C824">
            <v>-6139.81</v>
          </cell>
          <cell r="F824">
            <v>-6139.81</v>
          </cell>
        </row>
        <row r="825">
          <cell r="A825" t="str">
            <v>4.007.021.0091</v>
          </cell>
          <cell r="B825" t="str">
            <v>Ventas Herramientas Contado Pradera</v>
          </cell>
          <cell r="C825">
            <v>-100.9</v>
          </cell>
          <cell r="E825">
            <v>17.38</v>
          </cell>
          <cell r="F825">
            <v>-118.28</v>
          </cell>
        </row>
        <row r="826">
          <cell r="A826" t="str">
            <v>4.007.022.0011</v>
          </cell>
          <cell r="B826" t="str">
            <v>Ventas Motor Crédito Pradera</v>
          </cell>
          <cell r="C826">
            <v>-260202.43</v>
          </cell>
          <cell r="D826">
            <v>235.88</v>
          </cell>
          <cell r="E826">
            <v>33668.32</v>
          </cell>
          <cell r="F826">
            <v>-293634.87</v>
          </cell>
        </row>
        <row r="827">
          <cell r="A827" t="str">
            <v>4.007.022.0012</v>
          </cell>
          <cell r="B827" t="str">
            <v>Ventas Lubricación Crédito Pradera</v>
          </cell>
          <cell r="C827">
            <v>-401128.29</v>
          </cell>
          <cell r="D827">
            <v>46.96</v>
          </cell>
          <cell r="E827">
            <v>48969.31</v>
          </cell>
          <cell r="F827">
            <v>-450050.64</v>
          </cell>
        </row>
        <row r="828">
          <cell r="A828" t="str">
            <v>4.007.022.0013</v>
          </cell>
          <cell r="B828" t="str">
            <v>Ventas Combustión Crédito Pradera</v>
          </cell>
          <cell r="C828">
            <v>-42719.73</v>
          </cell>
          <cell r="E828">
            <v>6099.78</v>
          </cell>
          <cell r="F828">
            <v>-48819.51</v>
          </cell>
        </row>
        <row r="829">
          <cell r="A829" t="str">
            <v>4.007.022.0014</v>
          </cell>
          <cell r="B829" t="str">
            <v>Ventas Enfriamiento Crédito Pradera</v>
          </cell>
          <cell r="C829">
            <v>-49608.67</v>
          </cell>
          <cell r="D829">
            <v>1428.48</v>
          </cell>
          <cell r="E829">
            <v>7377.92</v>
          </cell>
          <cell r="F829">
            <v>-55558.11</v>
          </cell>
        </row>
        <row r="830">
          <cell r="A830" t="str">
            <v>4.007.022.0015</v>
          </cell>
          <cell r="B830" t="str">
            <v>Ventas Admisión/Escape Cred Pradera</v>
          </cell>
          <cell r="C830">
            <v>-116685.79</v>
          </cell>
          <cell r="D830">
            <v>249.16</v>
          </cell>
          <cell r="E830">
            <v>13508.88</v>
          </cell>
          <cell r="F830">
            <v>-129945.51</v>
          </cell>
        </row>
        <row r="831">
          <cell r="A831" t="str">
            <v>4.007.022.0016</v>
          </cell>
          <cell r="B831" t="str">
            <v>Ventas Sist Eléct Crédito Pradera</v>
          </cell>
          <cell r="C831">
            <v>-64679.02</v>
          </cell>
          <cell r="D831">
            <v>40.96</v>
          </cell>
          <cell r="E831">
            <v>9333.16</v>
          </cell>
          <cell r="F831">
            <v>-73971.22</v>
          </cell>
        </row>
        <row r="832">
          <cell r="A832" t="str">
            <v>4.007.022.0021</v>
          </cell>
          <cell r="B832" t="str">
            <v>Ventas Clutch Crédito Pradera</v>
          </cell>
          <cell r="C832">
            <v>-53592.18</v>
          </cell>
          <cell r="D832">
            <v>649.09</v>
          </cell>
          <cell r="E832">
            <v>13496.93</v>
          </cell>
          <cell r="F832">
            <v>-66440.02</v>
          </cell>
        </row>
        <row r="833">
          <cell r="A833" t="str">
            <v>4.007.022.0022</v>
          </cell>
          <cell r="B833" t="str">
            <v>Ventas Trans Manual Crédito Pradera</v>
          </cell>
          <cell r="C833">
            <v>-11330.83</v>
          </cell>
          <cell r="E833">
            <v>1614.55</v>
          </cell>
          <cell r="F833">
            <v>-12945.38</v>
          </cell>
        </row>
        <row r="834">
          <cell r="A834" t="str">
            <v>4.007.022.0023</v>
          </cell>
          <cell r="B834" t="str">
            <v>Ventas Trans Autom Crédito Pradera</v>
          </cell>
          <cell r="C834">
            <v>-2471.19</v>
          </cell>
          <cell r="E834">
            <v>1836.03</v>
          </cell>
          <cell r="F834">
            <v>-4307.22</v>
          </cell>
        </row>
        <row r="835">
          <cell r="A835" t="str">
            <v>4.007.022.0024</v>
          </cell>
          <cell r="B835" t="str">
            <v>Ventas Caja de Transf Cred Pradera</v>
          </cell>
          <cell r="C835">
            <v>-1676.03</v>
          </cell>
          <cell r="E835">
            <v>42.42</v>
          </cell>
          <cell r="F835">
            <v>-1718.45</v>
          </cell>
        </row>
        <row r="836">
          <cell r="A836" t="str">
            <v>4.007.022.0025</v>
          </cell>
          <cell r="B836" t="str">
            <v>Ventas Eje Cardán Crédito Pradera</v>
          </cell>
          <cell r="C836">
            <v>-17.489999999999998</v>
          </cell>
          <cell r="F836">
            <v>-17.489999999999998</v>
          </cell>
        </row>
        <row r="837">
          <cell r="A837" t="str">
            <v>4.007.022.0026</v>
          </cell>
          <cell r="B837" t="str">
            <v>Ventas Eje Delant Crédito Pradera</v>
          </cell>
          <cell r="C837">
            <v>-64682.04</v>
          </cell>
          <cell r="E837">
            <v>5712.35</v>
          </cell>
          <cell r="F837">
            <v>-70394.39</v>
          </cell>
        </row>
        <row r="838">
          <cell r="A838" t="str">
            <v>4.007.022.0027</v>
          </cell>
          <cell r="B838" t="str">
            <v>Ventas Eje Trasero Crédito Pradera</v>
          </cell>
          <cell r="C838">
            <v>-9539.5</v>
          </cell>
          <cell r="E838">
            <v>658.28</v>
          </cell>
          <cell r="F838">
            <v>-10197.780000000001</v>
          </cell>
        </row>
        <row r="839">
          <cell r="A839" t="str">
            <v>4.007.022.0031</v>
          </cell>
          <cell r="B839" t="str">
            <v>Ventas Aros y LLantas Cred Pradera</v>
          </cell>
          <cell r="C839">
            <v>-20635.3</v>
          </cell>
          <cell r="E839">
            <v>2298.81</v>
          </cell>
          <cell r="F839">
            <v>-22934.11</v>
          </cell>
        </row>
        <row r="840">
          <cell r="A840" t="str">
            <v>4.007.022.0033</v>
          </cell>
          <cell r="B840" t="str">
            <v>Ventas Susp Delantera Cred Pradera</v>
          </cell>
          <cell r="C840">
            <v>-48693</v>
          </cell>
          <cell r="E840">
            <v>1889.49</v>
          </cell>
          <cell r="F840">
            <v>-50582.49</v>
          </cell>
        </row>
        <row r="841">
          <cell r="A841" t="str">
            <v>4.007.022.0034</v>
          </cell>
          <cell r="B841" t="str">
            <v>Ventas Susp Trasera Crédito Pradera</v>
          </cell>
          <cell r="C841">
            <v>-24628.43</v>
          </cell>
          <cell r="E841">
            <v>1411.94</v>
          </cell>
          <cell r="F841">
            <v>-26040.37</v>
          </cell>
        </row>
        <row r="842">
          <cell r="A842" t="str">
            <v>4.007.022.0035</v>
          </cell>
          <cell r="B842" t="str">
            <v>Ventas Frenos Crédito Pradera</v>
          </cell>
          <cell r="C842">
            <v>-180419.94</v>
          </cell>
          <cell r="D842">
            <v>1234.53</v>
          </cell>
          <cell r="E842">
            <v>18154.77</v>
          </cell>
          <cell r="F842">
            <v>-197340.18</v>
          </cell>
        </row>
        <row r="843">
          <cell r="A843" t="str">
            <v>4.007.022.0037</v>
          </cell>
          <cell r="B843" t="str">
            <v>Ventas Dirección Crédito Pradera</v>
          </cell>
          <cell r="C843">
            <v>-72173.97</v>
          </cell>
          <cell r="D843">
            <v>328.97</v>
          </cell>
          <cell r="E843">
            <v>6095.54</v>
          </cell>
          <cell r="F843">
            <v>-77940.539999999994</v>
          </cell>
        </row>
        <row r="844">
          <cell r="A844" t="str">
            <v>4.007.022.0042</v>
          </cell>
          <cell r="B844" t="str">
            <v>Ventas Carrocería Crédito Pradera</v>
          </cell>
          <cell r="C844">
            <v>-184223.87</v>
          </cell>
          <cell r="D844">
            <v>183.42</v>
          </cell>
          <cell r="E844">
            <v>29241.119999999999</v>
          </cell>
          <cell r="F844">
            <v>-213281.57</v>
          </cell>
        </row>
        <row r="845">
          <cell r="A845" t="str">
            <v>4.007.022.0043</v>
          </cell>
          <cell r="B845" t="str">
            <v>Ventas Puertas Crédito Pradera</v>
          </cell>
          <cell r="C845">
            <v>-33980.06</v>
          </cell>
          <cell r="E845">
            <v>8007.02</v>
          </cell>
          <cell r="F845">
            <v>-41987.08</v>
          </cell>
        </row>
        <row r="846">
          <cell r="A846" t="str">
            <v>4.007.022.0051</v>
          </cell>
          <cell r="B846" t="str">
            <v>Ventas Exterior Crédito Pradera</v>
          </cell>
          <cell r="C846">
            <v>-14657.29</v>
          </cell>
          <cell r="E846">
            <v>633.64</v>
          </cell>
          <cell r="F846">
            <v>-15290.93</v>
          </cell>
        </row>
        <row r="847">
          <cell r="A847" t="str">
            <v>4.007.022.0052</v>
          </cell>
          <cell r="B847" t="str">
            <v>Ventas Interior Crédito Pradera</v>
          </cell>
          <cell r="C847">
            <v>-3254.16</v>
          </cell>
          <cell r="E847">
            <v>375.19</v>
          </cell>
          <cell r="F847">
            <v>-3629.35</v>
          </cell>
        </row>
        <row r="848">
          <cell r="A848" t="str">
            <v>4.007.022.0053</v>
          </cell>
          <cell r="B848" t="str">
            <v>Ventas Asientos Crédito Pradera</v>
          </cell>
          <cell r="C848">
            <v>-894.54</v>
          </cell>
          <cell r="E848">
            <v>1417.94</v>
          </cell>
          <cell r="F848">
            <v>-2312.48</v>
          </cell>
        </row>
        <row r="849">
          <cell r="A849" t="str">
            <v>4.007.022.0054</v>
          </cell>
          <cell r="B849" t="str">
            <v>Ventas Acces Eléctric Cred Pradera</v>
          </cell>
          <cell r="C849">
            <v>-113519.66</v>
          </cell>
          <cell r="D849">
            <v>3847.81</v>
          </cell>
          <cell r="E849">
            <v>23720.639999999999</v>
          </cell>
          <cell r="F849">
            <v>-133392.49</v>
          </cell>
        </row>
        <row r="850">
          <cell r="A850" t="str">
            <v>4.007.022.0055</v>
          </cell>
          <cell r="B850" t="str">
            <v>Ventas Calef/Vent Crédito Pradera</v>
          </cell>
          <cell r="C850">
            <v>-24801.8</v>
          </cell>
          <cell r="D850">
            <v>6749.49</v>
          </cell>
          <cell r="E850">
            <v>13941.77</v>
          </cell>
          <cell r="F850">
            <v>-31994.080000000002</v>
          </cell>
        </row>
        <row r="851">
          <cell r="A851" t="str">
            <v>4.007.022.0091</v>
          </cell>
          <cell r="B851" t="str">
            <v>Ventas Herramientas Crédito Pradera</v>
          </cell>
          <cell r="C851">
            <v>-1039.26</v>
          </cell>
          <cell r="F851">
            <v>-1039.26</v>
          </cell>
        </row>
        <row r="852">
          <cell r="A852" t="str">
            <v>4.007.025.0900</v>
          </cell>
          <cell r="B852" t="str">
            <v>Venta Accesorios Contado Pradera</v>
          </cell>
          <cell r="C852">
            <v>-10597.78</v>
          </cell>
          <cell r="D852">
            <v>127.73</v>
          </cell>
          <cell r="E852">
            <v>2702.42</v>
          </cell>
          <cell r="F852">
            <v>-13172.47</v>
          </cell>
        </row>
        <row r="853">
          <cell r="A853" t="str">
            <v>4.007.026.0900</v>
          </cell>
          <cell r="B853" t="str">
            <v>Venta Accesorios Crédito Pradera</v>
          </cell>
          <cell r="C853">
            <v>-18702.14</v>
          </cell>
          <cell r="E853">
            <v>2176.86</v>
          </cell>
          <cell r="F853">
            <v>-20879</v>
          </cell>
        </row>
        <row r="854">
          <cell r="A854" t="str">
            <v>4.008.001.1003</v>
          </cell>
          <cell r="B854" t="str">
            <v>Ventas Lancer 1300 Contado Flotas</v>
          </cell>
          <cell r="C854">
            <v>-149500</v>
          </cell>
          <cell r="F854">
            <v>-149500</v>
          </cell>
        </row>
        <row r="855">
          <cell r="A855" t="str">
            <v>4.008.001.1004</v>
          </cell>
          <cell r="B855" t="str">
            <v>Lancer 1600</v>
          </cell>
          <cell r="C855">
            <v>-715214.28</v>
          </cell>
          <cell r="D855">
            <v>106900</v>
          </cell>
          <cell r="E855">
            <v>213800</v>
          </cell>
          <cell r="F855">
            <v>-822114.28</v>
          </cell>
        </row>
        <row r="856">
          <cell r="A856" t="str">
            <v>4.008.001.1008</v>
          </cell>
          <cell r="B856" t="str">
            <v>Ventas Pánel L-300 Contado Flotas</v>
          </cell>
          <cell r="C856">
            <v>-202000</v>
          </cell>
          <cell r="F856">
            <v>-202000</v>
          </cell>
        </row>
        <row r="857">
          <cell r="A857" t="str">
            <v>4.008.001.1009</v>
          </cell>
          <cell r="B857" t="str">
            <v>Ventas Pick-Ups Contado Flotas</v>
          </cell>
          <cell r="C857">
            <v>-762067.85</v>
          </cell>
          <cell r="D857">
            <v>155000</v>
          </cell>
          <cell r="E857">
            <v>309900</v>
          </cell>
          <cell r="F857">
            <v>-916967.85</v>
          </cell>
        </row>
        <row r="858">
          <cell r="A858" t="str">
            <v>4.008.001.1010</v>
          </cell>
          <cell r="B858" t="str">
            <v>Ventas Montero Contado Flotas</v>
          </cell>
          <cell r="C858">
            <v>-1105589.73</v>
          </cell>
          <cell r="E858">
            <v>389700</v>
          </cell>
          <cell r="F858">
            <v>-1495289.73</v>
          </cell>
        </row>
        <row r="859">
          <cell r="A859" t="str">
            <v>4.008.001.1011</v>
          </cell>
          <cell r="B859" t="str">
            <v>Ventas Nativa Contado Flotas</v>
          </cell>
          <cell r="C859">
            <v>-183035.72</v>
          </cell>
          <cell r="F859">
            <v>-183035.72</v>
          </cell>
        </row>
        <row r="860">
          <cell r="A860" t="str">
            <v>4.008.001.1012</v>
          </cell>
          <cell r="B860" t="str">
            <v>Ventas Canter FE Contado Flotas</v>
          </cell>
          <cell r="C860">
            <v>-485000</v>
          </cell>
          <cell r="E860">
            <v>119196.42</v>
          </cell>
          <cell r="F860">
            <v>-604196.42000000004</v>
          </cell>
        </row>
        <row r="861">
          <cell r="A861" t="str">
            <v>4.008.002.1003</v>
          </cell>
          <cell r="B861" t="str">
            <v>Ventas Lancer 1300 Crédito Flotas</v>
          </cell>
          <cell r="C861">
            <v>-573300</v>
          </cell>
          <cell r="E861">
            <v>80900</v>
          </cell>
          <cell r="F861">
            <v>-654200</v>
          </cell>
        </row>
        <row r="862">
          <cell r="A862" t="str">
            <v>4.008.002.1004</v>
          </cell>
          <cell r="B862" t="str">
            <v>Ventas Lancer 1600 Crédito Flotas</v>
          </cell>
          <cell r="C862">
            <v>-111065</v>
          </cell>
          <cell r="F862">
            <v>-111065</v>
          </cell>
        </row>
        <row r="863">
          <cell r="A863" t="str">
            <v>4.008.002.1005</v>
          </cell>
          <cell r="B863" t="str">
            <v>Ventas Galant Crédito Flotas</v>
          </cell>
          <cell r="C863">
            <v>-132142.89000000001</v>
          </cell>
          <cell r="F863">
            <v>-132142.89000000001</v>
          </cell>
        </row>
        <row r="864">
          <cell r="A864" t="str">
            <v>4.008.002.1006</v>
          </cell>
          <cell r="B864" t="str">
            <v>Ventas Space Wagon Crédito Flotas</v>
          </cell>
          <cell r="C864">
            <v>-331750</v>
          </cell>
          <cell r="F864">
            <v>-331750</v>
          </cell>
        </row>
        <row r="865">
          <cell r="A865" t="str">
            <v>4.008.002.1007</v>
          </cell>
          <cell r="B865" t="str">
            <v>Ventas Microbús L-300 Crédit Flotas</v>
          </cell>
          <cell r="C865">
            <v>-1716522</v>
          </cell>
          <cell r="D865">
            <v>99000</v>
          </cell>
          <cell r="E865">
            <v>99000</v>
          </cell>
          <cell r="F865">
            <v>-1716522</v>
          </cell>
        </row>
        <row r="866">
          <cell r="A866" t="str">
            <v>4.008.002.1008</v>
          </cell>
          <cell r="B866" t="str">
            <v>Ventas Pánel L-300 Crédito Flotas</v>
          </cell>
          <cell r="C866">
            <v>-91071.43</v>
          </cell>
          <cell r="F866">
            <v>-91071.43</v>
          </cell>
        </row>
        <row r="867">
          <cell r="A867" t="str">
            <v>4.008.002.1009</v>
          </cell>
          <cell r="B867" t="str">
            <v>Ventas Pick-Ups Crédito Flotas</v>
          </cell>
          <cell r="C867">
            <v>-805093.58</v>
          </cell>
          <cell r="E867">
            <v>276500</v>
          </cell>
          <cell r="F867">
            <v>-1081593.58</v>
          </cell>
        </row>
        <row r="868">
          <cell r="A868" t="str">
            <v>4.008.002.1010</v>
          </cell>
          <cell r="B868" t="str">
            <v>Ventas Montero Crédito Flotas</v>
          </cell>
          <cell r="C868">
            <v>-767195.66</v>
          </cell>
          <cell r="D868">
            <v>127900</v>
          </cell>
          <cell r="E868">
            <v>382700</v>
          </cell>
          <cell r="F868">
            <v>-1021995.66</v>
          </cell>
        </row>
        <row r="869">
          <cell r="A869" t="str">
            <v>4.008.002.1011</v>
          </cell>
          <cell r="B869" t="str">
            <v>Ventas Nativa Crédito Flotas</v>
          </cell>
          <cell r="C869">
            <v>-780000</v>
          </cell>
          <cell r="F869">
            <v>-780000</v>
          </cell>
        </row>
        <row r="870">
          <cell r="A870" t="str">
            <v>4.008.002.1012</v>
          </cell>
          <cell r="B870" t="str">
            <v>Ventas Canter FE Crédito Flotas</v>
          </cell>
          <cell r="C870">
            <v>-584000</v>
          </cell>
          <cell r="F870">
            <v>-584000</v>
          </cell>
        </row>
        <row r="871">
          <cell r="A871" t="str">
            <v>4.008.003.1004</v>
          </cell>
          <cell r="B871" t="str">
            <v>Reb/Dev Lancer 1600 Contado Flotas</v>
          </cell>
          <cell r="C871">
            <v>1508</v>
          </cell>
          <cell r="F871">
            <v>1508</v>
          </cell>
        </row>
        <row r="872">
          <cell r="A872" t="str">
            <v>5.001.001.1003</v>
          </cell>
          <cell r="B872" t="str">
            <v>Costo Lancer 1300 Contado Central</v>
          </cell>
          <cell r="C872">
            <v>3028204.49</v>
          </cell>
          <cell r="D872">
            <v>220283.56</v>
          </cell>
          <cell r="E872">
            <v>1.94</v>
          </cell>
          <cell r="F872">
            <v>3248486.11</v>
          </cell>
        </row>
        <row r="873">
          <cell r="A873" t="str">
            <v>5.001.001.1004</v>
          </cell>
          <cell r="B873" t="str">
            <v>Costo Lancer 1600 Contado Central</v>
          </cell>
          <cell r="C873">
            <v>3056599.19</v>
          </cell>
          <cell r="D873">
            <v>164831.06</v>
          </cell>
          <cell r="F873">
            <v>3221430.25</v>
          </cell>
        </row>
        <row r="874">
          <cell r="A874" t="str">
            <v>5.001.001.1005</v>
          </cell>
          <cell r="B874" t="str">
            <v>Costo Galant Contado Central</v>
          </cell>
          <cell r="C874">
            <v>721336.35</v>
          </cell>
          <cell r="D874">
            <v>111793.7</v>
          </cell>
          <cell r="F874">
            <v>833130.05</v>
          </cell>
        </row>
        <row r="875">
          <cell r="A875" t="str">
            <v>5.001.001.1006</v>
          </cell>
          <cell r="B875" t="str">
            <v>Costo Space Wagon Contado Central</v>
          </cell>
          <cell r="C875">
            <v>1898708.18</v>
          </cell>
          <cell r="D875">
            <v>376544.24</v>
          </cell>
          <cell r="F875">
            <v>2275252.42</v>
          </cell>
        </row>
        <row r="876">
          <cell r="A876" t="str">
            <v>5.001.001.1007</v>
          </cell>
          <cell r="B876" t="str">
            <v>Costo Microbús L-300 Cont Central</v>
          </cell>
          <cell r="C876">
            <v>553239.56000000006</v>
          </cell>
          <cell r="D876">
            <v>87166.720000000001</v>
          </cell>
          <cell r="F876">
            <v>640406.28</v>
          </cell>
        </row>
        <row r="877">
          <cell r="A877" t="str">
            <v>5.001.001.1008</v>
          </cell>
          <cell r="B877" t="str">
            <v>Costo Pánel L-300 Contado Central</v>
          </cell>
          <cell r="C877">
            <v>1249363.03</v>
          </cell>
          <cell r="F877">
            <v>1249363.03</v>
          </cell>
        </row>
        <row r="878">
          <cell r="A878" t="str">
            <v>5.001.001.1009</v>
          </cell>
          <cell r="B878" t="str">
            <v>Costo Pick-Ups Contado Central</v>
          </cell>
          <cell r="C878">
            <v>9212064.9800000004</v>
          </cell>
          <cell r="D878">
            <v>2263806.7599999998</v>
          </cell>
          <cell r="E878">
            <v>293190.81</v>
          </cell>
          <cell r="F878">
            <v>11182680.93</v>
          </cell>
        </row>
        <row r="879">
          <cell r="A879" t="str">
            <v>5.001.001.1010</v>
          </cell>
          <cell r="B879" t="str">
            <v>Costo Montero Contado Central</v>
          </cell>
          <cell r="C879">
            <v>7594206.0199999996</v>
          </cell>
          <cell r="D879">
            <v>239424.13</v>
          </cell>
          <cell r="F879">
            <v>7833630.1500000004</v>
          </cell>
        </row>
        <row r="880">
          <cell r="A880" t="str">
            <v>5.001.001.1011</v>
          </cell>
          <cell r="B880" t="str">
            <v>Costo Nativa Contado Central</v>
          </cell>
          <cell r="C880">
            <v>2173813.5299999998</v>
          </cell>
          <cell r="D880">
            <v>1089576.67</v>
          </cell>
          <cell r="F880">
            <v>3263390.2</v>
          </cell>
        </row>
        <row r="881">
          <cell r="A881" t="str">
            <v>5.001.001.1012</v>
          </cell>
          <cell r="B881" t="str">
            <v>Costo Canter FE Contado Central</v>
          </cell>
          <cell r="C881">
            <v>1845093.35</v>
          </cell>
          <cell r="D881">
            <v>296784.55</v>
          </cell>
          <cell r="F881">
            <v>2141877.9</v>
          </cell>
        </row>
        <row r="882">
          <cell r="A882" t="str">
            <v>5.001.001.1013</v>
          </cell>
          <cell r="B882" t="str">
            <v>Costo Canter FH Contado Central</v>
          </cell>
          <cell r="C882">
            <v>466149.95</v>
          </cell>
          <cell r="F882">
            <v>466149.95</v>
          </cell>
        </row>
        <row r="883">
          <cell r="A883" t="str">
            <v>5.001.002.1003</v>
          </cell>
          <cell r="B883" t="str">
            <v>Costo Lancer 1300 Crédito Central</v>
          </cell>
          <cell r="C883">
            <v>7521783.8300000001</v>
          </cell>
          <cell r="D883">
            <v>798200.8</v>
          </cell>
          <cell r="E883">
            <v>218882.86</v>
          </cell>
          <cell r="F883">
            <v>8101101.7699999996</v>
          </cell>
        </row>
        <row r="884">
          <cell r="A884" t="str">
            <v>5.001.002.1004</v>
          </cell>
          <cell r="B884" t="str">
            <v>Costo Lancer 1600 Crédito Central</v>
          </cell>
          <cell r="C884">
            <v>6016110.4000000004</v>
          </cell>
          <cell r="D884">
            <v>1101414.26</v>
          </cell>
          <cell r="E884">
            <v>80621.710000000006</v>
          </cell>
          <cell r="F884">
            <v>7036902.9500000002</v>
          </cell>
        </row>
        <row r="885">
          <cell r="A885" t="str">
            <v>5.001.002.1005</v>
          </cell>
          <cell r="B885" t="str">
            <v>Costo Galant Crédito Central</v>
          </cell>
          <cell r="C885">
            <v>823607.01</v>
          </cell>
          <cell r="D885">
            <v>581065.25</v>
          </cell>
          <cell r="F885">
            <v>1404672.26</v>
          </cell>
        </row>
        <row r="886">
          <cell r="A886" t="str">
            <v>5.001.002.1006</v>
          </cell>
          <cell r="B886" t="str">
            <v>Costo Space Wagon Crédito Central</v>
          </cell>
          <cell r="C886">
            <v>1039425.07</v>
          </cell>
          <cell r="D886">
            <v>255344.56</v>
          </cell>
          <cell r="F886">
            <v>1294769.6299999999</v>
          </cell>
        </row>
        <row r="887">
          <cell r="A887" t="str">
            <v>5.001.002.1007</v>
          </cell>
          <cell r="B887" t="str">
            <v>Costo Microbús L-300 Cred Central</v>
          </cell>
          <cell r="C887">
            <v>3251939.48</v>
          </cell>
          <cell r="D887">
            <v>898273.56</v>
          </cell>
          <cell r="F887">
            <v>4150213.04</v>
          </cell>
        </row>
        <row r="888">
          <cell r="A888" t="str">
            <v>5.001.002.1008</v>
          </cell>
          <cell r="B888" t="str">
            <v>Costo Pánel L-300 Crédito Central</v>
          </cell>
          <cell r="C888">
            <v>466811.22</v>
          </cell>
          <cell r="D888">
            <v>224477.52</v>
          </cell>
          <cell r="E888">
            <v>73755.039999999994</v>
          </cell>
          <cell r="F888">
            <v>617533.69999999995</v>
          </cell>
        </row>
        <row r="889">
          <cell r="A889" t="str">
            <v>5.001.002.1009</v>
          </cell>
          <cell r="B889" t="str">
            <v>Costo Pick-Ups Crédito Central</v>
          </cell>
          <cell r="C889">
            <v>15228396.6</v>
          </cell>
          <cell r="D889">
            <v>2858559.14</v>
          </cell>
          <cell r="E889">
            <v>439443.28</v>
          </cell>
          <cell r="F889">
            <v>17647512.460000001</v>
          </cell>
        </row>
        <row r="890">
          <cell r="A890" t="str">
            <v>5.001.002.1010</v>
          </cell>
          <cell r="B890" t="str">
            <v>Costo Montero Crédito Central</v>
          </cell>
          <cell r="C890">
            <v>10592797.07</v>
          </cell>
          <cell r="D890">
            <v>968980.52</v>
          </cell>
          <cell r="E890">
            <v>104002.87</v>
          </cell>
          <cell r="F890">
            <v>11457774.720000001</v>
          </cell>
        </row>
        <row r="891">
          <cell r="A891" t="str">
            <v>5.001.002.1011</v>
          </cell>
          <cell r="B891" t="str">
            <v>Costo Nativa Crédito Central</v>
          </cell>
          <cell r="C891">
            <v>2714843.46</v>
          </cell>
          <cell r="D891">
            <v>298853.78000000003</v>
          </cell>
          <cell r="F891">
            <v>3013697.24</v>
          </cell>
        </row>
        <row r="892">
          <cell r="A892" t="str">
            <v>5.001.002.1012</v>
          </cell>
          <cell r="B892" t="str">
            <v>Costo Canter FE Crédito Central</v>
          </cell>
          <cell r="C892">
            <v>2213057.79</v>
          </cell>
          <cell r="D892">
            <v>290891.68</v>
          </cell>
          <cell r="E892">
            <v>107179.97</v>
          </cell>
          <cell r="F892">
            <v>2396769.5</v>
          </cell>
        </row>
        <row r="893">
          <cell r="A893" t="str">
            <v>5.001.002.1013</v>
          </cell>
          <cell r="B893" t="str">
            <v>Costo Canter FH Crédito Central</v>
          </cell>
          <cell r="C893">
            <v>457829.54</v>
          </cell>
          <cell r="D893">
            <v>153355.18</v>
          </cell>
          <cell r="F893">
            <v>611184.72</v>
          </cell>
        </row>
        <row r="894">
          <cell r="A894" t="str">
            <v>5.001.005.1900</v>
          </cell>
          <cell r="B894" t="str">
            <v>Costo Usados Propios Cont Central</v>
          </cell>
          <cell r="C894">
            <v>317000</v>
          </cell>
          <cell r="F894">
            <v>317000</v>
          </cell>
        </row>
        <row r="895">
          <cell r="A895" t="str">
            <v>5.001.006.1900</v>
          </cell>
          <cell r="B895" t="str">
            <v>Costo Usados Propios Cred Central</v>
          </cell>
          <cell r="C895">
            <v>249000</v>
          </cell>
          <cell r="F895">
            <v>249000</v>
          </cell>
        </row>
        <row r="896">
          <cell r="A896" t="str">
            <v>5.001.006.1901</v>
          </cell>
          <cell r="B896" t="str">
            <v>Costo Usados Ajenos Cred Central</v>
          </cell>
          <cell r="C896">
            <v>300000</v>
          </cell>
          <cell r="F896">
            <v>300000</v>
          </cell>
        </row>
        <row r="897">
          <cell r="A897" t="str">
            <v>5.001.021.0011</v>
          </cell>
          <cell r="B897" t="str">
            <v>Costo Motor Contado Central</v>
          </cell>
          <cell r="C897">
            <v>829620.42</v>
          </cell>
          <cell r="D897">
            <v>112596.1</v>
          </cell>
          <cell r="E897">
            <v>14303.44</v>
          </cell>
          <cell r="F897">
            <v>927913.08</v>
          </cell>
        </row>
        <row r="898">
          <cell r="A898" t="str">
            <v>5.001.021.0012</v>
          </cell>
          <cell r="B898" t="str">
            <v>Costo Lubricación Contado Central</v>
          </cell>
          <cell r="C898">
            <v>245694.36</v>
          </cell>
          <cell r="D898">
            <v>31279.02</v>
          </cell>
          <cell r="E898">
            <v>1569.12</v>
          </cell>
          <cell r="F898">
            <v>275404.26</v>
          </cell>
        </row>
        <row r="899">
          <cell r="A899" t="str">
            <v>5.001.021.0013</v>
          </cell>
          <cell r="B899" t="str">
            <v>Costo Combustión Contado Central</v>
          </cell>
          <cell r="C899">
            <v>73198.179999999993</v>
          </cell>
          <cell r="D899">
            <v>9805.99</v>
          </cell>
          <cell r="E899">
            <v>444.48</v>
          </cell>
          <cell r="F899">
            <v>82559.69</v>
          </cell>
        </row>
        <row r="900">
          <cell r="A900" t="str">
            <v>5.001.021.0014</v>
          </cell>
          <cell r="B900" t="str">
            <v>Costo Enfriamiento Contado Central</v>
          </cell>
          <cell r="C900">
            <v>86848.12</v>
          </cell>
          <cell r="D900">
            <v>14155.26</v>
          </cell>
          <cell r="E900">
            <v>2634.87</v>
          </cell>
          <cell r="F900">
            <v>98368.51</v>
          </cell>
        </row>
        <row r="901">
          <cell r="A901" t="str">
            <v>5.001.021.0015</v>
          </cell>
          <cell r="B901" t="str">
            <v>Costo Admisión/Escape Cont Central</v>
          </cell>
          <cell r="C901">
            <v>61815.29</v>
          </cell>
          <cell r="D901">
            <v>14512.67</v>
          </cell>
          <cell r="E901">
            <v>555.41</v>
          </cell>
          <cell r="F901">
            <v>75772.55</v>
          </cell>
        </row>
        <row r="902">
          <cell r="A902" t="str">
            <v>5.001.021.0016</v>
          </cell>
          <cell r="B902" t="str">
            <v>Costo Sist/Eléctrico Cont Central</v>
          </cell>
          <cell r="C902">
            <v>222735.48</v>
          </cell>
          <cell r="D902">
            <v>75572.3</v>
          </cell>
          <cell r="E902">
            <v>43892.05</v>
          </cell>
          <cell r="F902">
            <v>254415.73</v>
          </cell>
        </row>
        <row r="903">
          <cell r="A903" t="str">
            <v>5.001.021.0021</v>
          </cell>
          <cell r="B903" t="str">
            <v>Costo Clutch Contado Central</v>
          </cell>
          <cell r="C903">
            <v>154285.21</v>
          </cell>
          <cell r="D903">
            <v>14661.76</v>
          </cell>
          <cell r="E903">
            <v>1808.23</v>
          </cell>
          <cell r="F903">
            <v>167138.74</v>
          </cell>
        </row>
        <row r="904">
          <cell r="A904" t="str">
            <v>5.001.021.0022</v>
          </cell>
          <cell r="B904" t="str">
            <v>Costo Trans Manual Contado Central</v>
          </cell>
          <cell r="C904">
            <v>69773.289999999994</v>
          </cell>
          <cell r="D904">
            <v>8391.08</v>
          </cell>
          <cell r="E904">
            <v>1405.89</v>
          </cell>
          <cell r="F904">
            <v>76758.48</v>
          </cell>
        </row>
        <row r="905">
          <cell r="A905" t="str">
            <v>5.001.021.0023</v>
          </cell>
          <cell r="B905" t="str">
            <v>Costo Trans Automátic Cont Central</v>
          </cell>
          <cell r="C905">
            <v>3217.67</v>
          </cell>
          <cell r="D905">
            <v>394.99</v>
          </cell>
          <cell r="E905">
            <v>17.940000000000001</v>
          </cell>
          <cell r="F905">
            <v>3594.72</v>
          </cell>
        </row>
        <row r="906">
          <cell r="A906" t="str">
            <v>5.001.021.0024</v>
          </cell>
          <cell r="B906" t="str">
            <v>Costo Caja de Transf Cont Central</v>
          </cell>
          <cell r="C906">
            <v>4670.0200000000004</v>
          </cell>
          <cell r="D906">
            <v>221.51</v>
          </cell>
          <cell r="E906">
            <v>12.54</v>
          </cell>
          <cell r="F906">
            <v>4878.99</v>
          </cell>
        </row>
        <row r="907">
          <cell r="A907" t="str">
            <v>5.001.021.0025</v>
          </cell>
          <cell r="B907" t="str">
            <v>Costo Eje Cardán Contado Central</v>
          </cell>
          <cell r="C907">
            <v>11830.79</v>
          </cell>
          <cell r="D907">
            <v>2870.16</v>
          </cell>
          <cell r="E907">
            <v>47.62</v>
          </cell>
          <cell r="F907">
            <v>14653.33</v>
          </cell>
        </row>
        <row r="908">
          <cell r="A908" t="str">
            <v>5.001.021.0026</v>
          </cell>
          <cell r="B908" t="str">
            <v>Costo Eje Delantero Cont Central</v>
          </cell>
          <cell r="C908">
            <v>62788.39</v>
          </cell>
          <cell r="D908">
            <v>7878.12</v>
          </cell>
          <cell r="E908">
            <v>493.19</v>
          </cell>
          <cell r="F908">
            <v>70173.320000000007</v>
          </cell>
        </row>
        <row r="909">
          <cell r="A909" t="str">
            <v>5.001.021.0027</v>
          </cell>
          <cell r="B909" t="str">
            <v>Costo Eje Trasero Contado Central</v>
          </cell>
          <cell r="C909">
            <v>89218.03</v>
          </cell>
          <cell r="D909">
            <v>7884.32</v>
          </cell>
          <cell r="E909">
            <v>15.4</v>
          </cell>
          <cell r="F909">
            <v>97086.95</v>
          </cell>
        </row>
        <row r="910">
          <cell r="A910" t="str">
            <v>5.001.021.0031</v>
          </cell>
          <cell r="B910" t="str">
            <v>Costo Aros y LLantas Cont Central</v>
          </cell>
          <cell r="C910">
            <v>16032.9</v>
          </cell>
          <cell r="D910">
            <v>2935.23</v>
          </cell>
          <cell r="E910">
            <v>237.46</v>
          </cell>
          <cell r="F910">
            <v>18730.669999999998</v>
          </cell>
        </row>
        <row r="911">
          <cell r="A911" t="str">
            <v>5.001.021.0033</v>
          </cell>
          <cell r="B911" t="str">
            <v>Costo Susp Delantera Cont Central</v>
          </cell>
          <cell r="C911">
            <v>137235.89000000001</v>
          </cell>
          <cell r="D911">
            <v>18593.07</v>
          </cell>
          <cell r="E911">
            <v>570.38</v>
          </cell>
          <cell r="F911">
            <v>155258.57999999999</v>
          </cell>
        </row>
        <row r="912">
          <cell r="A912" t="str">
            <v>5.001.021.0034</v>
          </cell>
          <cell r="B912" t="str">
            <v>Costo Susp Trasera Contado Central</v>
          </cell>
          <cell r="C912">
            <v>41858.660000000003</v>
          </cell>
          <cell r="D912">
            <v>5220.6400000000003</v>
          </cell>
          <cell r="E912">
            <v>42.51</v>
          </cell>
          <cell r="F912">
            <v>47036.79</v>
          </cell>
        </row>
        <row r="913">
          <cell r="A913" t="str">
            <v>5.001.021.0035</v>
          </cell>
          <cell r="B913" t="str">
            <v>Costo Frenos Contado Central</v>
          </cell>
          <cell r="C913">
            <v>155273.19</v>
          </cell>
          <cell r="D913">
            <v>24430.33</v>
          </cell>
          <cell r="E913">
            <v>2437.67</v>
          </cell>
          <cell r="F913">
            <v>177265.85</v>
          </cell>
        </row>
        <row r="914">
          <cell r="A914" t="str">
            <v>5.001.021.0037</v>
          </cell>
          <cell r="B914" t="str">
            <v>Costo Dirección Contado Central</v>
          </cell>
          <cell r="C914">
            <v>112601.2</v>
          </cell>
          <cell r="D914">
            <v>17957.650000000001</v>
          </cell>
          <cell r="E914">
            <v>1599.8</v>
          </cell>
          <cell r="F914">
            <v>128959.05</v>
          </cell>
        </row>
        <row r="915">
          <cell r="A915" t="str">
            <v>5.001.021.0041</v>
          </cell>
          <cell r="B915" t="str">
            <v>Costo Chassis Contado Central</v>
          </cell>
          <cell r="C915">
            <v>183.53</v>
          </cell>
          <cell r="F915">
            <v>183.53</v>
          </cell>
        </row>
        <row r="916">
          <cell r="A916" t="str">
            <v>5.001.021.0042</v>
          </cell>
          <cell r="B916" t="str">
            <v>Costo Carrocería Contado Central</v>
          </cell>
          <cell r="C916">
            <v>143536.53</v>
          </cell>
          <cell r="D916">
            <v>15086.96</v>
          </cell>
          <cell r="E916">
            <v>1376.97</v>
          </cell>
          <cell r="F916">
            <v>157246.51999999999</v>
          </cell>
        </row>
        <row r="917">
          <cell r="A917" t="str">
            <v>5.001.021.0043</v>
          </cell>
          <cell r="B917" t="str">
            <v>Costo Puertas Contado Central</v>
          </cell>
          <cell r="C917">
            <v>102398.25</v>
          </cell>
          <cell r="D917">
            <v>10184.969999999999</v>
          </cell>
          <cell r="E917">
            <v>2590.38</v>
          </cell>
          <cell r="F917">
            <v>109992.84</v>
          </cell>
        </row>
        <row r="918">
          <cell r="A918" t="str">
            <v>5.001.021.0044</v>
          </cell>
          <cell r="B918" t="str">
            <v>Costo Carroc Trasera Cont Central</v>
          </cell>
          <cell r="C918">
            <v>913.93</v>
          </cell>
          <cell r="D918">
            <v>84.45</v>
          </cell>
          <cell r="F918">
            <v>998.38</v>
          </cell>
        </row>
        <row r="919">
          <cell r="A919" t="str">
            <v>5.001.021.0051</v>
          </cell>
          <cell r="B919" t="str">
            <v>Costo Exterior Contado Central</v>
          </cell>
          <cell r="C919">
            <v>34654.75</v>
          </cell>
          <cell r="D919">
            <v>7110.43</v>
          </cell>
          <cell r="E919">
            <v>147.04</v>
          </cell>
          <cell r="F919">
            <v>41618.14</v>
          </cell>
        </row>
        <row r="920">
          <cell r="A920" t="str">
            <v>5.001.021.0052</v>
          </cell>
          <cell r="B920" t="str">
            <v>Costo Interior Contado Central</v>
          </cell>
          <cell r="C920">
            <v>17127.88</v>
          </cell>
          <cell r="D920">
            <v>639.61</v>
          </cell>
          <cell r="F920">
            <v>17767.490000000002</v>
          </cell>
        </row>
        <row r="921">
          <cell r="A921" t="str">
            <v>5.001.021.0053</v>
          </cell>
          <cell r="B921" t="str">
            <v>Costo Asientos Contado Central</v>
          </cell>
          <cell r="C921">
            <v>268.36</v>
          </cell>
          <cell r="D921">
            <v>24.38</v>
          </cell>
          <cell r="F921">
            <v>292.74</v>
          </cell>
        </row>
        <row r="922">
          <cell r="A922" t="str">
            <v>5.001.021.0054</v>
          </cell>
          <cell r="B922" t="str">
            <v>Costo Acces Eléctric Cont Central</v>
          </cell>
          <cell r="C922">
            <v>166467.59</v>
          </cell>
          <cell r="D922">
            <v>16186.84</v>
          </cell>
          <cell r="E922">
            <v>2128.33</v>
          </cell>
          <cell r="F922">
            <v>180526.1</v>
          </cell>
        </row>
        <row r="923">
          <cell r="A923" t="str">
            <v>5.001.021.0055</v>
          </cell>
          <cell r="B923" t="str">
            <v>Costo Calef/Vent Contado Central</v>
          </cell>
          <cell r="C923">
            <v>13032.16</v>
          </cell>
          <cell r="D923">
            <v>2482.69</v>
          </cell>
          <cell r="E923">
            <v>1520.62</v>
          </cell>
          <cell r="F923">
            <v>13994.23</v>
          </cell>
        </row>
        <row r="924">
          <cell r="A924" t="str">
            <v>5.001.021.0091</v>
          </cell>
          <cell r="B924" t="str">
            <v>Costo Herramientas Contado Central</v>
          </cell>
          <cell r="C924">
            <v>2839.74</v>
          </cell>
          <cell r="D924">
            <v>319.31</v>
          </cell>
          <cell r="F924">
            <v>3159.05</v>
          </cell>
        </row>
        <row r="925">
          <cell r="A925" t="str">
            <v>5.001.022.0011</v>
          </cell>
          <cell r="B925" t="str">
            <v>Costo Motor Crédito Central</v>
          </cell>
          <cell r="C925">
            <v>475899.62</v>
          </cell>
          <cell r="D925">
            <v>67000.95</v>
          </cell>
          <cell r="E925">
            <v>6791.99</v>
          </cell>
          <cell r="F925">
            <v>536108.57999999996</v>
          </cell>
        </row>
        <row r="926">
          <cell r="A926" t="str">
            <v>5.001.022.0012</v>
          </cell>
          <cell r="B926" t="str">
            <v>Costo Lubricación Crédito Central</v>
          </cell>
          <cell r="C926">
            <v>544250.49</v>
          </cell>
          <cell r="D926">
            <v>57944.86</v>
          </cell>
          <cell r="E926">
            <v>7755.69</v>
          </cell>
          <cell r="F926">
            <v>594439.66</v>
          </cell>
        </row>
        <row r="927">
          <cell r="A927" t="str">
            <v>5.001.022.0013</v>
          </cell>
          <cell r="B927" t="str">
            <v>Costo Combustión Crédito Central</v>
          </cell>
          <cell r="C927">
            <v>67690.080000000002</v>
          </cell>
          <cell r="D927">
            <v>6909.3</v>
          </cell>
          <cell r="E927">
            <v>1319.7</v>
          </cell>
          <cell r="F927">
            <v>73279.679999999993</v>
          </cell>
        </row>
        <row r="928">
          <cell r="A928" t="str">
            <v>5.001.022.0014</v>
          </cell>
          <cell r="B928" t="str">
            <v>Costo Enfriamiento Crédito Central</v>
          </cell>
          <cell r="C928">
            <v>82561.69</v>
          </cell>
          <cell r="D928">
            <v>9003.0499999999993</v>
          </cell>
          <cell r="E928">
            <v>261.05</v>
          </cell>
          <cell r="F928">
            <v>91303.69</v>
          </cell>
        </row>
        <row r="929">
          <cell r="A929" t="str">
            <v>5.001.022.0015</v>
          </cell>
          <cell r="B929" t="str">
            <v>Costo Admisión/Escape Cred Central</v>
          </cell>
          <cell r="C929">
            <v>77182.87</v>
          </cell>
          <cell r="D929">
            <v>15033.19</v>
          </cell>
          <cell r="E929">
            <v>1622.65</v>
          </cell>
          <cell r="F929">
            <v>90593.41</v>
          </cell>
        </row>
        <row r="930">
          <cell r="A930" t="str">
            <v>5.001.022.0016</v>
          </cell>
          <cell r="B930" t="str">
            <v>Costo Sist Eléct Crédito Central</v>
          </cell>
          <cell r="C930">
            <v>5358432.17</v>
          </cell>
          <cell r="D930">
            <v>356164.26</v>
          </cell>
          <cell r="E930">
            <v>1589.52</v>
          </cell>
          <cell r="F930">
            <v>5713006.9100000001</v>
          </cell>
        </row>
        <row r="931">
          <cell r="A931" t="str">
            <v>5.001.022.0021</v>
          </cell>
          <cell r="B931" t="str">
            <v>Costo Clutch Crédito Central</v>
          </cell>
          <cell r="C931">
            <v>137339.81</v>
          </cell>
          <cell r="D931">
            <v>13541.53</v>
          </cell>
          <cell r="F931">
            <v>150881.34</v>
          </cell>
        </row>
        <row r="932">
          <cell r="A932" t="str">
            <v>5.001.022.0022</v>
          </cell>
          <cell r="B932" t="str">
            <v>Costo Trans Manual Crédito Central</v>
          </cell>
          <cell r="C932">
            <v>52039.71</v>
          </cell>
          <cell r="D932">
            <v>11379.93</v>
          </cell>
          <cell r="E932">
            <v>525</v>
          </cell>
          <cell r="F932">
            <v>62894.64</v>
          </cell>
        </row>
        <row r="933">
          <cell r="A933" t="str">
            <v>5.001.022.0023</v>
          </cell>
          <cell r="B933" t="str">
            <v>Costo Trans Autom Crédito Central</v>
          </cell>
          <cell r="C933">
            <v>1795.68</v>
          </cell>
          <cell r="D933">
            <v>2722.45</v>
          </cell>
          <cell r="E933">
            <v>88.11</v>
          </cell>
          <cell r="F933">
            <v>4430.0200000000004</v>
          </cell>
        </row>
        <row r="934">
          <cell r="A934" t="str">
            <v>5.001.022.0024</v>
          </cell>
          <cell r="B934" t="str">
            <v>Costo Caja de Transf Cred Central</v>
          </cell>
          <cell r="C934">
            <v>5468.32</v>
          </cell>
          <cell r="D934">
            <v>395.49</v>
          </cell>
          <cell r="E934">
            <v>155.86000000000001</v>
          </cell>
          <cell r="F934">
            <v>5707.95</v>
          </cell>
        </row>
        <row r="935">
          <cell r="A935" t="str">
            <v>5.001.022.0025</v>
          </cell>
          <cell r="B935" t="str">
            <v>Costo Eje Cardán Crédito Central</v>
          </cell>
          <cell r="C935">
            <v>13389.72</v>
          </cell>
          <cell r="D935">
            <v>1310.53</v>
          </cell>
          <cell r="E935">
            <v>138.25</v>
          </cell>
          <cell r="F935">
            <v>14562</v>
          </cell>
        </row>
        <row r="936">
          <cell r="A936" t="str">
            <v>5.001.022.0026</v>
          </cell>
          <cell r="B936" t="str">
            <v>Costo Eje Delant Crédito Central</v>
          </cell>
          <cell r="C936">
            <v>58480.28</v>
          </cell>
          <cell r="D936">
            <v>8013.72</v>
          </cell>
          <cell r="E936">
            <v>58.7</v>
          </cell>
          <cell r="F936">
            <v>66435.3</v>
          </cell>
        </row>
        <row r="937">
          <cell r="A937" t="str">
            <v>5.001.022.0027</v>
          </cell>
          <cell r="B937" t="str">
            <v>Costo Eje Trasero Crédito Central</v>
          </cell>
          <cell r="C937">
            <v>46053.45</v>
          </cell>
          <cell r="D937">
            <v>9447.4599999999991</v>
          </cell>
          <cell r="E937">
            <v>172.04</v>
          </cell>
          <cell r="F937">
            <v>55328.87</v>
          </cell>
        </row>
        <row r="938">
          <cell r="A938" t="str">
            <v>5.001.022.0031</v>
          </cell>
          <cell r="B938" t="str">
            <v>Costo Aros y LLantas Cred Central</v>
          </cell>
          <cell r="C938">
            <v>19263.72</v>
          </cell>
          <cell r="D938">
            <v>1343.2</v>
          </cell>
          <cell r="E938">
            <v>77.39</v>
          </cell>
          <cell r="F938">
            <v>20529.53</v>
          </cell>
        </row>
        <row r="939">
          <cell r="A939" t="str">
            <v>5.001.022.0033</v>
          </cell>
          <cell r="B939" t="str">
            <v>Costo Susp Delantera Cred Central</v>
          </cell>
          <cell r="C939">
            <v>106904.96000000001</v>
          </cell>
          <cell r="D939">
            <v>12389.98</v>
          </cell>
          <cell r="E939">
            <v>1215.6300000000001</v>
          </cell>
          <cell r="F939">
            <v>118079.31</v>
          </cell>
        </row>
        <row r="940">
          <cell r="A940" t="str">
            <v>5.001.022.0034</v>
          </cell>
          <cell r="B940" t="str">
            <v>Costo Susp Trasera Crédito Central</v>
          </cell>
          <cell r="C940">
            <v>27191.02</v>
          </cell>
          <cell r="D940">
            <v>1067.75</v>
          </cell>
          <cell r="E940">
            <v>42.06</v>
          </cell>
          <cell r="F940">
            <v>28216.71</v>
          </cell>
        </row>
        <row r="941">
          <cell r="A941" t="str">
            <v>5.001.022.0035</v>
          </cell>
          <cell r="B941" t="str">
            <v>Costo Frenos Crédito Central</v>
          </cell>
          <cell r="C941">
            <v>144118.35</v>
          </cell>
          <cell r="D941">
            <v>17903.53</v>
          </cell>
          <cell r="E941">
            <v>608.11</v>
          </cell>
          <cell r="F941">
            <v>161413.76999999999</v>
          </cell>
        </row>
        <row r="942">
          <cell r="A942" t="str">
            <v>5.001.022.0037</v>
          </cell>
          <cell r="B942" t="str">
            <v>Costo Dirección Crédito Central</v>
          </cell>
          <cell r="C942">
            <v>113350.35</v>
          </cell>
          <cell r="D942">
            <v>12850.11</v>
          </cell>
          <cell r="E942">
            <v>2284.17</v>
          </cell>
          <cell r="F942">
            <v>123916.29</v>
          </cell>
        </row>
        <row r="943">
          <cell r="A943" t="str">
            <v>5.001.022.0041</v>
          </cell>
          <cell r="B943" t="str">
            <v>Costo Chassis Crédito Central</v>
          </cell>
          <cell r="C943">
            <v>61.84</v>
          </cell>
          <cell r="D943">
            <v>45.02</v>
          </cell>
          <cell r="F943">
            <v>106.86</v>
          </cell>
        </row>
        <row r="944">
          <cell r="A944" t="str">
            <v>5.001.022.0042</v>
          </cell>
          <cell r="B944" t="str">
            <v>Costo Carrocería Crédito Central</v>
          </cell>
          <cell r="C944">
            <v>259550.15</v>
          </cell>
          <cell r="D944">
            <v>47257.82</v>
          </cell>
          <cell r="E944">
            <v>12299.19</v>
          </cell>
          <cell r="F944">
            <v>294508.78000000003</v>
          </cell>
        </row>
        <row r="945">
          <cell r="A945" t="str">
            <v>5.001.022.0043</v>
          </cell>
          <cell r="B945" t="str">
            <v>Costo Puertas Crédito Central</v>
          </cell>
          <cell r="C945">
            <v>81045.97</v>
          </cell>
          <cell r="D945">
            <v>9747.81</v>
          </cell>
          <cell r="E945">
            <v>2691.29</v>
          </cell>
          <cell r="F945">
            <v>88102.49</v>
          </cell>
        </row>
        <row r="946">
          <cell r="A946" t="str">
            <v>5.001.022.0044</v>
          </cell>
          <cell r="B946" t="str">
            <v>Costo Carroc Trasera Créd Central</v>
          </cell>
          <cell r="C946">
            <v>634.02</v>
          </cell>
          <cell r="D946">
            <v>423.74</v>
          </cell>
          <cell r="F946">
            <v>1057.76</v>
          </cell>
        </row>
        <row r="947">
          <cell r="A947" t="str">
            <v>5.001.022.0051</v>
          </cell>
          <cell r="B947" t="str">
            <v>Costo Exterior Crédito Central</v>
          </cell>
          <cell r="C947">
            <v>29679.83</v>
          </cell>
          <cell r="D947">
            <v>3563.18</v>
          </cell>
          <cell r="E947">
            <v>807.73</v>
          </cell>
          <cell r="F947">
            <v>32435.279999999999</v>
          </cell>
        </row>
        <row r="948">
          <cell r="A948" t="str">
            <v>5.001.022.0052</v>
          </cell>
          <cell r="B948" t="str">
            <v>Costo Interior Crédito Central</v>
          </cell>
          <cell r="C948">
            <v>4937.25</v>
          </cell>
          <cell r="D948">
            <v>447.95</v>
          </cell>
          <cell r="F948">
            <v>5385.2</v>
          </cell>
        </row>
        <row r="949">
          <cell r="A949" t="str">
            <v>5.001.022.0053</v>
          </cell>
          <cell r="B949" t="str">
            <v>Costo Asientos Crédito Central</v>
          </cell>
          <cell r="C949">
            <v>21.58</v>
          </cell>
          <cell r="F949">
            <v>21.58</v>
          </cell>
        </row>
        <row r="950">
          <cell r="A950" t="str">
            <v>5.001.022.0054</v>
          </cell>
          <cell r="B950" t="str">
            <v>Costo Acces Eléctric Cred Central</v>
          </cell>
          <cell r="C950">
            <v>175748.75</v>
          </cell>
          <cell r="D950">
            <v>35611.040000000001</v>
          </cell>
          <cell r="E950">
            <v>8966.14</v>
          </cell>
          <cell r="F950">
            <v>202393.65</v>
          </cell>
        </row>
        <row r="951">
          <cell r="A951" t="str">
            <v>5.001.022.0055</v>
          </cell>
          <cell r="B951" t="str">
            <v>Costo Calef/Vent Crédito Central</v>
          </cell>
          <cell r="C951">
            <v>22206.38</v>
          </cell>
          <cell r="D951">
            <v>3498.65</v>
          </cell>
          <cell r="E951">
            <v>2134.3200000000002</v>
          </cell>
          <cell r="F951">
            <v>23570.71</v>
          </cell>
        </row>
        <row r="952">
          <cell r="A952" t="str">
            <v>5.001.022.0091</v>
          </cell>
          <cell r="B952" t="str">
            <v>Costo Herramientas Crédito Central</v>
          </cell>
          <cell r="C952">
            <v>1568.93</v>
          </cell>
          <cell r="D952">
            <v>286.44</v>
          </cell>
          <cell r="F952">
            <v>1855.37</v>
          </cell>
        </row>
        <row r="953">
          <cell r="A953" t="str">
            <v>5.001.025.0900</v>
          </cell>
          <cell r="B953" t="str">
            <v>Costo Accesorios Contado Central</v>
          </cell>
          <cell r="C953">
            <v>64018.26</v>
          </cell>
          <cell r="D953">
            <v>9209.0499999999993</v>
          </cell>
          <cell r="E953">
            <v>5.54</v>
          </cell>
          <cell r="F953">
            <v>73221.77</v>
          </cell>
        </row>
        <row r="954">
          <cell r="A954" t="str">
            <v>5.001.026.0900</v>
          </cell>
          <cell r="B954" t="str">
            <v>Costo Accesorios Crédito Central</v>
          </cell>
          <cell r="C954">
            <v>27987.48</v>
          </cell>
          <cell r="D954">
            <v>4300.83</v>
          </cell>
          <cell r="E954">
            <v>591.65</v>
          </cell>
          <cell r="F954">
            <v>31696.66</v>
          </cell>
        </row>
        <row r="955">
          <cell r="A955" t="str">
            <v>5.001.029.0100</v>
          </cell>
          <cell r="B955" t="str">
            <v>Ajustes de Inventario Central</v>
          </cell>
          <cell r="C955">
            <v>64556.79</v>
          </cell>
          <cell r="D955">
            <v>217263.35999999999</v>
          </cell>
          <cell r="E955">
            <v>218414.51</v>
          </cell>
          <cell r="F955">
            <v>63405.64</v>
          </cell>
        </row>
        <row r="956">
          <cell r="A956" t="str">
            <v>5.002.021.0011</v>
          </cell>
          <cell r="B956" t="str">
            <v>Costo Motor Contado Tívoli</v>
          </cell>
          <cell r="C956">
            <v>93675.92</v>
          </cell>
          <cell r="D956">
            <v>13644.16</v>
          </cell>
          <cell r="E956">
            <v>1569.92</v>
          </cell>
          <cell r="F956">
            <v>105750.16</v>
          </cell>
        </row>
        <row r="957">
          <cell r="A957" t="str">
            <v>5.002.021.0012</v>
          </cell>
          <cell r="B957" t="str">
            <v>Costo Lubricación Contado Tívoli</v>
          </cell>
          <cell r="C957">
            <v>67859.27</v>
          </cell>
          <cell r="D957">
            <v>6160.3</v>
          </cell>
          <cell r="E957">
            <v>640.89</v>
          </cell>
          <cell r="F957">
            <v>73378.679999999993</v>
          </cell>
        </row>
        <row r="958">
          <cell r="A958" t="str">
            <v>5.002.021.0013</v>
          </cell>
          <cell r="B958" t="str">
            <v>Costo Combustión Contado Tívoli</v>
          </cell>
          <cell r="C958">
            <v>16306.58</v>
          </cell>
          <cell r="D958">
            <v>3671.41</v>
          </cell>
          <cell r="E958">
            <v>1449.3</v>
          </cell>
          <cell r="F958">
            <v>18528.689999999999</v>
          </cell>
        </row>
        <row r="959">
          <cell r="A959" t="str">
            <v>5.002.021.0014</v>
          </cell>
          <cell r="B959" t="str">
            <v>Costo Enfriamiento Contado Tívoli</v>
          </cell>
          <cell r="C959">
            <v>24522.79</v>
          </cell>
          <cell r="D959">
            <v>2995.51</v>
          </cell>
          <cell r="E959">
            <v>654.77</v>
          </cell>
          <cell r="F959">
            <v>26863.53</v>
          </cell>
        </row>
        <row r="960">
          <cell r="A960" t="str">
            <v>5.002.021.0015</v>
          </cell>
          <cell r="B960" t="str">
            <v>Costo Admisión/Escape Cont Tívoli</v>
          </cell>
          <cell r="C960">
            <v>25312.02</v>
          </cell>
          <cell r="D960">
            <v>2713.56</v>
          </cell>
          <cell r="E960">
            <v>244.78</v>
          </cell>
          <cell r="F960">
            <v>27780.799999999999</v>
          </cell>
        </row>
        <row r="961">
          <cell r="A961" t="str">
            <v>5.002.021.0016</v>
          </cell>
          <cell r="B961" t="str">
            <v>Costo Sist/Eléctrico Cont Tívoli</v>
          </cell>
          <cell r="C961">
            <v>34293.5</v>
          </cell>
          <cell r="D961">
            <v>7144.85</v>
          </cell>
          <cell r="E961">
            <v>1067.77</v>
          </cell>
          <cell r="F961">
            <v>40370.58</v>
          </cell>
        </row>
        <row r="962">
          <cell r="A962" t="str">
            <v>5.002.021.0021</v>
          </cell>
          <cell r="B962" t="str">
            <v>Costo Clutch Contado Tívoli</v>
          </cell>
          <cell r="C962">
            <v>33280.42</v>
          </cell>
          <cell r="D962">
            <v>6141.38</v>
          </cell>
          <cell r="E962">
            <v>2735.62</v>
          </cell>
          <cell r="F962">
            <v>36686.18</v>
          </cell>
        </row>
        <row r="963">
          <cell r="A963" t="str">
            <v>5.002.021.0022</v>
          </cell>
          <cell r="B963" t="str">
            <v>Costo Trans Manual Contado Tívoli</v>
          </cell>
          <cell r="C963">
            <v>9251.2800000000007</v>
          </cell>
          <cell r="D963">
            <v>676.65</v>
          </cell>
          <cell r="F963">
            <v>9927.93</v>
          </cell>
        </row>
        <row r="964">
          <cell r="A964" t="str">
            <v>5.002.021.0023</v>
          </cell>
          <cell r="B964" t="str">
            <v>Costo Trans Automátic Cont Tívoli</v>
          </cell>
          <cell r="C964">
            <v>1426.96</v>
          </cell>
          <cell r="D964">
            <v>44.05</v>
          </cell>
          <cell r="F964">
            <v>1471.01</v>
          </cell>
        </row>
        <row r="965">
          <cell r="A965" t="str">
            <v>5.002.021.0024</v>
          </cell>
          <cell r="B965" t="str">
            <v>Costo Caja de Transf Cont Tívoli</v>
          </cell>
          <cell r="C965">
            <v>1285.67</v>
          </cell>
          <cell r="D965">
            <v>259.14</v>
          </cell>
          <cell r="F965">
            <v>1544.81</v>
          </cell>
        </row>
        <row r="966">
          <cell r="A966" t="str">
            <v>5.002.021.0025</v>
          </cell>
          <cell r="B966" t="str">
            <v>Costo Eje Cardán Contado Tívoli</v>
          </cell>
          <cell r="C966">
            <v>3294.33</v>
          </cell>
          <cell r="D966">
            <v>1072.01</v>
          </cell>
          <cell r="E966">
            <v>111.84</v>
          </cell>
          <cell r="F966">
            <v>4254.5</v>
          </cell>
        </row>
        <row r="967">
          <cell r="A967" t="str">
            <v>5.002.021.0026</v>
          </cell>
          <cell r="B967" t="str">
            <v>Costo Eje Delantero Cont Tívoli</v>
          </cell>
          <cell r="C967">
            <v>14514.53</v>
          </cell>
          <cell r="D967">
            <v>1982</v>
          </cell>
          <cell r="F967">
            <v>16496.53</v>
          </cell>
        </row>
        <row r="968">
          <cell r="A968" t="str">
            <v>5.002.021.0027</v>
          </cell>
          <cell r="B968" t="str">
            <v>Costo Eje Trasero Contado Tívoli</v>
          </cell>
          <cell r="C968">
            <v>7664.88</v>
          </cell>
          <cell r="D968">
            <v>685.65</v>
          </cell>
          <cell r="F968">
            <v>8350.5300000000007</v>
          </cell>
        </row>
        <row r="969">
          <cell r="A969" t="str">
            <v>5.002.021.0031</v>
          </cell>
          <cell r="B969" t="str">
            <v>Costo Aros y LLantas Cont Tívoli</v>
          </cell>
          <cell r="C969">
            <v>4400.33</v>
          </cell>
          <cell r="D969">
            <v>312.89999999999998</v>
          </cell>
          <cell r="F969">
            <v>4713.2299999999996</v>
          </cell>
        </row>
        <row r="970">
          <cell r="A970" t="str">
            <v>5.002.021.0033</v>
          </cell>
          <cell r="B970" t="str">
            <v>Costo Susp Delantera Cont Tívoli</v>
          </cell>
          <cell r="C970">
            <v>32160.04</v>
          </cell>
          <cell r="D970">
            <v>2786.12</v>
          </cell>
          <cell r="E970">
            <v>740.37</v>
          </cell>
          <cell r="F970">
            <v>34205.79</v>
          </cell>
        </row>
        <row r="971">
          <cell r="A971" t="str">
            <v>5.002.021.0034</v>
          </cell>
          <cell r="B971" t="str">
            <v>Costo Susp Trasera Contado Tívoli</v>
          </cell>
          <cell r="C971">
            <v>7216.58</v>
          </cell>
          <cell r="D971">
            <v>1105.05</v>
          </cell>
          <cell r="E971">
            <v>22.45</v>
          </cell>
          <cell r="F971">
            <v>8299.18</v>
          </cell>
        </row>
        <row r="972">
          <cell r="A972" t="str">
            <v>5.002.021.0035</v>
          </cell>
          <cell r="B972" t="str">
            <v>Costo Frenos Contado Tívoli</v>
          </cell>
          <cell r="C972">
            <v>42007.65</v>
          </cell>
          <cell r="D972">
            <v>4371.21</v>
          </cell>
          <cell r="E972">
            <v>254.86</v>
          </cell>
          <cell r="F972">
            <v>46124</v>
          </cell>
        </row>
        <row r="973">
          <cell r="A973" t="str">
            <v>5.002.021.0037</v>
          </cell>
          <cell r="B973" t="str">
            <v>Costo Dirección Contado Tívoli</v>
          </cell>
          <cell r="C973">
            <v>28088.76</v>
          </cell>
          <cell r="D973">
            <v>3129.63</v>
          </cell>
          <cell r="E973">
            <v>726.67</v>
          </cell>
          <cell r="F973">
            <v>30491.72</v>
          </cell>
        </row>
        <row r="974">
          <cell r="A974" t="str">
            <v>5.002.021.0041</v>
          </cell>
          <cell r="B974" t="str">
            <v>Costo Chassis Contado Tívoli</v>
          </cell>
          <cell r="C974">
            <v>16.11</v>
          </cell>
          <cell r="F974">
            <v>16.11</v>
          </cell>
        </row>
        <row r="975">
          <cell r="A975" t="str">
            <v>5.002.021.0042</v>
          </cell>
          <cell r="B975" t="str">
            <v>Costo Carrocería Contado Tívoli</v>
          </cell>
          <cell r="C975">
            <v>25550.54</v>
          </cell>
          <cell r="D975">
            <v>8963.11</v>
          </cell>
          <cell r="E975">
            <v>2742.44</v>
          </cell>
          <cell r="F975">
            <v>31771.21</v>
          </cell>
        </row>
        <row r="976">
          <cell r="A976" t="str">
            <v>5.002.021.0043</v>
          </cell>
          <cell r="B976" t="str">
            <v>Costo Puertas Contado Tívoli</v>
          </cell>
          <cell r="C976">
            <v>13628.27</v>
          </cell>
          <cell r="D976">
            <v>635.55999999999995</v>
          </cell>
          <cell r="F976">
            <v>14263.83</v>
          </cell>
        </row>
        <row r="977">
          <cell r="A977" t="str">
            <v>5.002.021.0044</v>
          </cell>
          <cell r="B977" t="str">
            <v>Costo Carroc Trasera Cont Tívoli</v>
          </cell>
          <cell r="C977">
            <v>123.3</v>
          </cell>
          <cell r="F977">
            <v>123.3</v>
          </cell>
        </row>
        <row r="978">
          <cell r="A978" t="str">
            <v>5.002.021.0051</v>
          </cell>
          <cell r="B978" t="str">
            <v>Costo Exterior Contado Tívoli</v>
          </cell>
          <cell r="C978">
            <v>8302.67</v>
          </cell>
          <cell r="D978">
            <v>871.66</v>
          </cell>
          <cell r="E978">
            <v>128.88999999999999</v>
          </cell>
          <cell r="F978">
            <v>9045.44</v>
          </cell>
        </row>
        <row r="979">
          <cell r="A979" t="str">
            <v>5.002.021.0052</v>
          </cell>
          <cell r="B979" t="str">
            <v>Costo Interior Contado Tívoli</v>
          </cell>
          <cell r="C979">
            <v>4544.3100000000004</v>
          </cell>
          <cell r="D979">
            <v>707.46</v>
          </cell>
          <cell r="F979">
            <v>5251.77</v>
          </cell>
        </row>
        <row r="980">
          <cell r="A980" t="str">
            <v>5.002.021.0053</v>
          </cell>
          <cell r="B980" t="str">
            <v>Costo Asientos Contado Tívoli</v>
          </cell>
          <cell r="C980">
            <v>3.44</v>
          </cell>
          <cell r="F980">
            <v>3.44</v>
          </cell>
        </row>
        <row r="981">
          <cell r="A981" t="str">
            <v>5.002.021.0054</v>
          </cell>
          <cell r="B981" t="str">
            <v>Costo Acces Eléctric Cont Tívoli</v>
          </cell>
          <cell r="C981">
            <v>35851.360000000001</v>
          </cell>
          <cell r="D981">
            <v>7680.61</v>
          </cell>
          <cell r="E981">
            <v>644.49</v>
          </cell>
          <cell r="F981">
            <v>42887.48</v>
          </cell>
        </row>
        <row r="982">
          <cell r="A982" t="str">
            <v>5.002.021.0055</v>
          </cell>
          <cell r="B982" t="str">
            <v>Costo Calef/Vent Contado Tívoli</v>
          </cell>
          <cell r="C982">
            <v>4455.33</v>
          </cell>
          <cell r="D982">
            <v>219.2</v>
          </cell>
          <cell r="E982">
            <v>82.89</v>
          </cell>
          <cell r="F982">
            <v>4591.6400000000003</v>
          </cell>
        </row>
        <row r="983">
          <cell r="A983" t="str">
            <v>5.002.021.0091</v>
          </cell>
          <cell r="B983" t="str">
            <v>Costo Herramientas Contado Tívoli</v>
          </cell>
          <cell r="C983">
            <v>524.24</v>
          </cell>
          <cell r="D983">
            <v>119.62</v>
          </cell>
          <cell r="F983">
            <v>643.86</v>
          </cell>
        </row>
        <row r="984">
          <cell r="A984" t="str">
            <v>5.002.022.0011</v>
          </cell>
          <cell r="B984" t="str">
            <v>Costo Motor Crédito Tívoli</v>
          </cell>
          <cell r="C984">
            <v>508899.39</v>
          </cell>
          <cell r="D984">
            <v>88959.33</v>
          </cell>
          <cell r="E984">
            <v>13000.38</v>
          </cell>
          <cell r="F984">
            <v>584858.34</v>
          </cell>
        </row>
        <row r="985">
          <cell r="A985" t="str">
            <v>5.002.022.0012</v>
          </cell>
          <cell r="B985" t="str">
            <v>Costo Lubricación Crédito Tívoli</v>
          </cell>
          <cell r="C985">
            <v>882742.49</v>
          </cell>
          <cell r="D985">
            <v>105888.28</v>
          </cell>
          <cell r="E985">
            <v>4392.8500000000004</v>
          </cell>
          <cell r="F985">
            <v>984237.92</v>
          </cell>
        </row>
        <row r="986">
          <cell r="A986" t="str">
            <v>5.002.022.0013</v>
          </cell>
          <cell r="B986" t="str">
            <v>Costo Combustión Crédito Tívoli</v>
          </cell>
          <cell r="C986">
            <v>88201.29</v>
          </cell>
          <cell r="D986">
            <v>15090.73</v>
          </cell>
          <cell r="E986">
            <v>251.14</v>
          </cell>
          <cell r="F986">
            <v>103040.88</v>
          </cell>
        </row>
        <row r="987">
          <cell r="A987" t="str">
            <v>5.002.022.0014</v>
          </cell>
          <cell r="B987" t="str">
            <v>Costo Enfriamiento Crédito Tívoli</v>
          </cell>
          <cell r="C987">
            <v>151483.22</v>
          </cell>
          <cell r="D987">
            <v>21663.96</v>
          </cell>
          <cell r="E987">
            <v>5844.52</v>
          </cell>
          <cell r="F987">
            <v>167302.66</v>
          </cell>
        </row>
        <row r="988">
          <cell r="A988" t="str">
            <v>5.002.022.0015</v>
          </cell>
          <cell r="B988" t="str">
            <v>Costo Admisión/Escape Cred Tívoli</v>
          </cell>
          <cell r="C988">
            <v>201704.12</v>
          </cell>
          <cell r="D988">
            <v>34167.300000000003</v>
          </cell>
          <cell r="E988">
            <v>1085.55</v>
          </cell>
          <cell r="F988">
            <v>234785.87</v>
          </cell>
        </row>
        <row r="989">
          <cell r="A989" t="str">
            <v>5.002.022.0016</v>
          </cell>
          <cell r="B989" t="str">
            <v>Costo Sist Eléct Crédito Tívoli</v>
          </cell>
          <cell r="C989">
            <v>135335.85999999999</v>
          </cell>
          <cell r="D989">
            <v>20274.04</v>
          </cell>
          <cell r="E989">
            <v>2744.48</v>
          </cell>
          <cell r="F989">
            <v>152865.42000000001</v>
          </cell>
        </row>
        <row r="990">
          <cell r="A990" t="str">
            <v>5.002.022.0021</v>
          </cell>
          <cell r="B990" t="str">
            <v>Costo Clutch Crédito Tívoli</v>
          </cell>
          <cell r="C990">
            <v>145704.56</v>
          </cell>
          <cell r="D990">
            <v>21273.67</v>
          </cell>
          <cell r="E990">
            <v>1819.52</v>
          </cell>
          <cell r="F990">
            <v>165158.71</v>
          </cell>
        </row>
        <row r="991">
          <cell r="A991" t="str">
            <v>5.002.022.0022</v>
          </cell>
          <cell r="B991" t="str">
            <v>Costo Trans Manual Crédito Tívoli</v>
          </cell>
          <cell r="C991">
            <v>45788.65</v>
          </cell>
          <cell r="D991">
            <v>4508.1400000000003</v>
          </cell>
          <cell r="F991">
            <v>50296.79</v>
          </cell>
        </row>
        <row r="992">
          <cell r="A992" t="str">
            <v>5.002.022.0023</v>
          </cell>
          <cell r="B992" t="str">
            <v>Costo Trans Autom Crédito Tívoli</v>
          </cell>
          <cell r="C992">
            <v>9646.2800000000007</v>
          </cell>
          <cell r="D992">
            <v>10819.81</v>
          </cell>
          <cell r="F992">
            <v>20466.09</v>
          </cell>
        </row>
        <row r="993">
          <cell r="A993" t="str">
            <v>5.002.022.0024</v>
          </cell>
          <cell r="B993" t="str">
            <v>Costo Caja de Transf Cred Tívoli</v>
          </cell>
          <cell r="C993">
            <v>5241.12</v>
          </cell>
          <cell r="D993">
            <v>948.62</v>
          </cell>
          <cell r="F993">
            <v>6189.74</v>
          </cell>
        </row>
        <row r="994">
          <cell r="A994" t="str">
            <v>5.002.022.0025</v>
          </cell>
          <cell r="B994" t="str">
            <v>Costo Eje Cardán Credito Tívoli</v>
          </cell>
          <cell r="C994">
            <v>15993.61</v>
          </cell>
          <cell r="D994">
            <v>2006.35</v>
          </cell>
          <cell r="E994">
            <v>356.93</v>
          </cell>
          <cell r="F994">
            <v>17643.03</v>
          </cell>
        </row>
        <row r="995">
          <cell r="A995" t="str">
            <v>5.002.022.0026</v>
          </cell>
          <cell r="B995" t="str">
            <v>Costo Eje Delant Crédito Tívoli</v>
          </cell>
          <cell r="C995">
            <v>101539.22</v>
          </cell>
          <cell r="D995">
            <v>8545.44</v>
          </cell>
          <cell r="E995">
            <v>556.04</v>
          </cell>
          <cell r="F995">
            <v>109528.62</v>
          </cell>
        </row>
        <row r="996">
          <cell r="A996" t="str">
            <v>5.002.022.0027</v>
          </cell>
          <cell r="B996" t="str">
            <v>Costo Eje Trasero Crédito Tívoli</v>
          </cell>
          <cell r="C996">
            <v>40627.58</v>
          </cell>
          <cell r="D996">
            <v>1409.52</v>
          </cell>
          <cell r="F996">
            <v>42037.1</v>
          </cell>
        </row>
        <row r="997">
          <cell r="A997" t="str">
            <v>5.002.022.0031</v>
          </cell>
          <cell r="B997" t="str">
            <v>Costo Aros y LLantas Cred Tívoli</v>
          </cell>
          <cell r="C997">
            <v>19167.53</v>
          </cell>
          <cell r="D997">
            <v>4187.04</v>
          </cell>
          <cell r="E997">
            <v>343.05</v>
          </cell>
          <cell r="F997">
            <v>23011.52</v>
          </cell>
        </row>
        <row r="998">
          <cell r="A998" t="str">
            <v>5.002.022.0033</v>
          </cell>
          <cell r="B998" t="str">
            <v>Costo Susp Delantera Cred Tívoli</v>
          </cell>
          <cell r="C998">
            <v>122740.36</v>
          </cell>
          <cell r="D998">
            <v>24895.64</v>
          </cell>
          <cell r="E998">
            <v>3867.9</v>
          </cell>
          <cell r="F998">
            <v>143768.1</v>
          </cell>
        </row>
        <row r="999">
          <cell r="A999" t="str">
            <v>5.002.022.0034</v>
          </cell>
          <cell r="B999" t="str">
            <v>Costo Susp Trasera Crédito Tívoli</v>
          </cell>
          <cell r="C999">
            <v>42013.59</v>
          </cell>
          <cell r="D999">
            <v>4264.01</v>
          </cell>
          <cell r="E999">
            <v>442.71</v>
          </cell>
          <cell r="F999">
            <v>45834.89</v>
          </cell>
        </row>
        <row r="1000">
          <cell r="A1000" t="str">
            <v>5.002.022.0035</v>
          </cell>
          <cell r="B1000" t="str">
            <v>Costo Frenos Crédito Tívoli</v>
          </cell>
          <cell r="C1000">
            <v>307553.53000000003</v>
          </cell>
          <cell r="D1000">
            <v>37845.72</v>
          </cell>
          <cell r="E1000">
            <v>2545.8000000000002</v>
          </cell>
          <cell r="F1000">
            <v>342853.45</v>
          </cell>
        </row>
        <row r="1001">
          <cell r="A1001" t="str">
            <v>5.002.022.0037</v>
          </cell>
          <cell r="B1001" t="str">
            <v>Costo Dirección Crédito Tívoli</v>
          </cell>
          <cell r="C1001">
            <v>143214.68</v>
          </cell>
          <cell r="D1001">
            <v>23791.1</v>
          </cell>
          <cell r="E1001">
            <v>3977.14</v>
          </cell>
          <cell r="F1001">
            <v>163028.64000000001</v>
          </cell>
        </row>
        <row r="1002">
          <cell r="A1002" t="str">
            <v>5.002.022.0041</v>
          </cell>
          <cell r="B1002" t="str">
            <v>Costo Chassis Crédito Tívoli</v>
          </cell>
          <cell r="C1002">
            <v>116.93</v>
          </cell>
          <cell r="F1002">
            <v>116.93</v>
          </cell>
        </row>
        <row r="1003">
          <cell r="A1003" t="str">
            <v>5.002.022.0042</v>
          </cell>
          <cell r="B1003" t="str">
            <v>Costo Carrocería Crédito Tívoli</v>
          </cell>
          <cell r="C1003">
            <v>470700.23</v>
          </cell>
          <cell r="D1003">
            <v>75344.25</v>
          </cell>
          <cell r="E1003">
            <v>8031.92</v>
          </cell>
          <cell r="F1003">
            <v>538012.56000000006</v>
          </cell>
        </row>
        <row r="1004">
          <cell r="A1004" t="str">
            <v>5.002.022.0043</v>
          </cell>
          <cell r="B1004" t="str">
            <v>Costo Puertas Crédito Tívoli</v>
          </cell>
          <cell r="C1004">
            <v>113552.79</v>
          </cell>
          <cell r="D1004">
            <v>13114.18</v>
          </cell>
          <cell r="E1004">
            <v>187.12</v>
          </cell>
          <cell r="F1004">
            <v>126479.85</v>
          </cell>
        </row>
        <row r="1005">
          <cell r="A1005" t="str">
            <v>5.002.022.0044</v>
          </cell>
          <cell r="B1005" t="str">
            <v>Coso Carroc Trasera Crédito Tívoli</v>
          </cell>
          <cell r="C1005">
            <v>200.83</v>
          </cell>
          <cell r="D1005">
            <v>83.77</v>
          </cell>
          <cell r="F1005">
            <v>284.60000000000002</v>
          </cell>
        </row>
        <row r="1006">
          <cell r="A1006" t="str">
            <v>5.002.022.0051</v>
          </cell>
          <cell r="B1006" t="str">
            <v>Costo Exterior Crédito Tívoli</v>
          </cell>
          <cell r="C1006">
            <v>42609.64</v>
          </cell>
          <cell r="D1006">
            <v>6212.41</v>
          </cell>
          <cell r="E1006">
            <v>1618.42</v>
          </cell>
          <cell r="F1006">
            <v>47203.63</v>
          </cell>
        </row>
        <row r="1007">
          <cell r="A1007" t="str">
            <v>5.002.022.0052</v>
          </cell>
          <cell r="B1007" t="str">
            <v>Costo Interior Crédito Tívoli</v>
          </cell>
          <cell r="C1007">
            <v>19722.32</v>
          </cell>
          <cell r="D1007">
            <v>705.94</v>
          </cell>
          <cell r="F1007">
            <v>20428.259999999998</v>
          </cell>
        </row>
        <row r="1008">
          <cell r="A1008" t="str">
            <v>5.002.022.0053</v>
          </cell>
          <cell r="B1008" t="str">
            <v>Costo Asientos Crédito Tívoli</v>
          </cell>
          <cell r="C1008">
            <v>993.94</v>
          </cell>
          <cell r="F1008">
            <v>993.94</v>
          </cell>
        </row>
        <row r="1009">
          <cell r="A1009" t="str">
            <v>5.002.022.0054</v>
          </cell>
          <cell r="B1009" t="str">
            <v>Costo Acces Eléctric Cred Tívoli</v>
          </cell>
          <cell r="C1009">
            <v>218359.22</v>
          </cell>
          <cell r="D1009">
            <v>34054.1</v>
          </cell>
          <cell r="E1009">
            <v>2643.51</v>
          </cell>
          <cell r="F1009">
            <v>249769.81</v>
          </cell>
        </row>
        <row r="1010">
          <cell r="A1010" t="str">
            <v>5.002.022.0055</v>
          </cell>
          <cell r="B1010" t="str">
            <v>Costo Calef/Vent Crédito Tívoli</v>
          </cell>
          <cell r="C1010">
            <v>64816.06</v>
          </cell>
          <cell r="D1010">
            <v>8957.92</v>
          </cell>
          <cell r="E1010">
            <v>2075.5700000000002</v>
          </cell>
          <cell r="F1010">
            <v>71698.41</v>
          </cell>
        </row>
        <row r="1011">
          <cell r="A1011" t="str">
            <v>5.002.022.0091</v>
          </cell>
          <cell r="B1011" t="str">
            <v>Costo Herramientas Crédito Tívoli</v>
          </cell>
          <cell r="C1011">
            <v>2033.27</v>
          </cell>
          <cell r="D1011">
            <v>10.98</v>
          </cell>
          <cell r="F1011">
            <v>2044.25</v>
          </cell>
        </row>
        <row r="1012">
          <cell r="A1012" t="str">
            <v>5.002.025.0900</v>
          </cell>
          <cell r="B1012" t="str">
            <v>Costo Accesorios Contado Tívoli</v>
          </cell>
          <cell r="C1012">
            <v>14228.63</v>
          </cell>
          <cell r="D1012">
            <v>2180.9499999999998</v>
          </cell>
          <cell r="E1012">
            <v>61.07</v>
          </cell>
          <cell r="F1012">
            <v>16348.51</v>
          </cell>
        </row>
        <row r="1013">
          <cell r="A1013" t="str">
            <v>5.002.026.0900</v>
          </cell>
          <cell r="B1013" t="str">
            <v>Costo Accesorios Crédito Tívoli</v>
          </cell>
          <cell r="C1013">
            <v>45289.94</v>
          </cell>
          <cell r="D1013">
            <v>11476.35</v>
          </cell>
          <cell r="E1013">
            <v>875.41</v>
          </cell>
          <cell r="F1013">
            <v>55890.879999999997</v>
          </cell>
        </row>
        <row r="1014">
          <cell r="A1014" t="str">
            <v>5.002.029.0100</v>
          </cell>
          <cell r="B1014" t="str">
            <v>Ajustes de Inventario Tívoli</v>
          </cell>
          <cell r="C1014">
            <v>4636.4799999999996</v>
          </cell>
          <cell r="F1014">
            <v>4636.4799999999996</v>
          </cell>
        </row>
        <row r="1015">
          <cell r="A1015" t="str">
            <v>5.003.021.0011</v>
          </cell>
          <cell r="B1015" t="str">
            <v>Costo Motor Contado Terminal</v>
          </cell>
          <cell r="C1015">
            <v>166858.92000000001</v>
          </cell>
          <cell r="D1015">
            <v>31591.11</v>
          </cell>
          <cell r="E1015">
            <v>1016.79</v>
          </cell>
          <cell r="F1015">
            <v>197433.24</v>
          </cell>
        </row>
        <row r="1016">
          <cell r="A1016" t="str">
            <v>5.003.021.0012</v>
          </cell>
          <cell r="B1016" t="str">
            <v>Costo Lubricación Contado Terminal</v>
          </cell>
          <cell r="C1016">
            <v>123202.02</v>
          </cell>
          <cell r="D1016">
            <v>24928.41</v>
          </cell>
          <cell r="E1016">
            <v>73.47</v>
          </cell>
          <cell r="F1016">
            <v>148056.95999999999</v>
          </cell>
        </row>
        <row r="1017">
          <cell r="A1017" t="str">
            <v>5.003.021.0013</v>
          </cell>
          <cell r="B1017" t="str">
            <v>Costo Combustión Contado Terminal</v>
          </cell>
          <cell r="C1017">
            <v>16312.7</v>
          </cell>
          <cell r="D1017">
            <v>1075.83</v>
          </cell>
          <cell r="F1017">
            <v>17388.53</v>
          </cell>
        </row>
        <row r="1018">
          <cell r="A1018" t="str">
            <v>5.003.021.0014</v>
          </cell>
          <cell r="B1018" t="str">
            <v>Costo Enfriamiento Contado Terminal</v>
          </cell>
          <cell r="C1018">
            <v>19928.43</v>
          </cell>
          <cell r="D1018">
            <v>2071.37</v>
          </cell>
          <cell r="E1018">
            <v>57.33</v>
          </cell>
          <cell r="F1018">
            <v>21942.47</v>
          </cell>
        </row>
        <row r="1019">
          <cell r="A1019" t="str">
            <v>5.003.021.0015</v>
          </cell>
          <cell r="B1019" t="str">
            <v>Costo Admisión/Escape Cont Terminal</v>
          </cell>
          <cell r="C1019">
            <v>8018.35</v>
          </cell>
          <cell r="D1019">
            <v>740.08</v>
          </cell>
          <cell r="F1019">
            <v>8758.43</v>
          </cell>
        </row>
        <row r="1020">
          <cell r="A1020" t="str">
            <v>5.003.021.0016</v>
          </cell>
          <cell r="B1020" t="str">
            <v>Costo Sist/Eléctrico Cont Terminal</v>
          </cell>
          <cell r="C1020">
            <v>22164.25</v>
          </cell>
          <cell r="D1020">
            <v>4776.0200000000004</v>
          </cell>
          <cell r="E1020">
            <v>178.12</v>
          </cell>
          <cell r="F1020">
            <v>26762.15</v>
          </cell>
        </row>
        <row r="1021">
          <cell r="A1021" t="str">
            <v>5.003.021.0021</v>
          </cell>
          <cell r="B1021" t="str">
            <v>Costo Clutch Contado Terminal</v>
          </cell>
          <cell r="C1021">
            <v>28965.42</v>
          </cell>
          <cell r="D1021">
            <v>3042.65</v>
          </cell>
          <cell r="E1021">
            <v>142.09</v>
          </cell>
          <cell r="F1021">
            <v>31865.98</v>
          </cell>
        </row>
        <row r="1022">
          <cell r="A1022" t="str">
            <v>5.003.021.0022</v>
          </cell>
          <cell r="B1022" t="str">
            <v>Costo Trans Manual Contado Terminal</v>
          </cell>
          <cell r="C1022">
            <v>17792.48</v>
          </cell>
          <cell r="D1022">
            <v>2365.4699999999998</v>
          </cell>
          <cell r="E1022">
            <v>663.94</v>
          </cell>
          <cell r="F1022">
            <v>19494.009999999998</v>
          </cell>
        </row>
        <row r="1023">
          <cell r="A1023" t="str">
            <v>5.003.021.0023</v>
          </cell>
          <cell r="B1023" t="str">
            <v>Costo Trans Automátic Cont Terminal</v>
          </cell>
          <cell r="C1023">
            <v>510.24</v>
          </cell>
          <cell r="D1023">
            <v>4.62</v>
          </cell>
          <cell r="F1023">
            <v>514.86</v>
          </cell>
        </row>
        <row r="1024">
          <cell r="A1024" t="str">
            <v>5.003.021.0024</v>
          </cell>
          <cell r="B1024" t="str">
            <v>Costo Caja de Transf Cont Terminal</v>
          </cell>
          <cell r="C1024">
            <v>1047.0999999999999</v>
          </cell>
          <cell r="D1024">
            <v>82.57</v>
          </cell>
          <cell r="E1024">
            <v>25.07</v>
          </cell>
          <cell r="F1024">
            <v>1104.5999999999999</v>
          </cell>
        </row>
        <row r="1025">
          <cell r="A1025" t="str">
            <v>5.003.021.0025</v>
          </cell>
          <cell r="B1025" t="str">
            <v>Costo Eje Cardán Contado Terminal</v>
          </cell>
          <cell r="C1025">
            <v>4059.01</v>
          </cell>
          <cell r="D1025">
            <v>553.46</v>
          </cell>
          <cell r="F1025">
            <v>4612.47</v>
          </cell>
        </row>
        <row r="1026">
          <cell r="A1026" t="str">
            <v>5.003.021.0026</v>
          </cell>
          <cell r="B1026" t="str">
            <v>Costo Eje Delantero Cont Terminal</v>
          </cell>
          <cell r="C1026">
            <v>17649.27</v>
          </cell>
          <cell r="D1026">
            <v>433.08</v>
          </cell>
          <cell r="F1026">
            <v>18082.349999999999</v>
          </cell>
        </row>
        <row r="1027">
          <cell r="A1027" t="str">
            <v>5.003.021.0027</v>
          </cell>
          <cell r="B1027" t="str">
            <v>Costo Eje Trasero Contado Terminal</v>
          </cell>
          <cell r="C1027">
            <v>20370.78</v>
          </cell>
          <cell r="D1027">
            <v>269.3</v>
          </cell>
          <cell r="F1027">
            <v>20640.080000000002</v>
          </cell>
        </row>
        <row r="1028">
          <cell r="A1028" t="str">
            <v>5.003.021.0031</v>
          </cell>
          <cell r="B1028" t="str">
            <v>Costo Aros y LLantas Cont Terminal</v>
          </cell>
          <cell r="C1028">
            <v>2937.41</v>
          </cell>
          <cell r="D1028">
            <v>331.7</v>
          </cell>
          <cell r="F1028">
            <v>3269.11</v>
          </cell>
        </row>
        <row r="1029">
          <cell r="A1029" t="str">
            <v>5.003.021.0033</v>
          </cell>
          <cell r="B1029" t="str">
            <v>Costo Susp Delantera Cont Terminal</v>
          </cell>
          <cell r="C1029">
            <v>34695.629999999997</v>
          </cell>
          <cell r="D1029">
            <v>4861.6499999999996</v>
          </cell>
          <cell r="E1029">
            <v>871.74</v>
          </cell>
          <cell r="F1029">
            <v>38685.54</v>
          </cell>
        </row>
        <row r="1030">
          <cell r="A1030" t="str">
            <v>5.003.021.0034</v>
          </cell>
          <cell r="B1030" t="str">
            <v>Costo Susp Trasera Contado Terminal</v>
          </cell>
          <cell r="C1030">
            <v>7750.99</v>
          </cell>
          <cell r="D1030">
            <v>1253.28</v>
          </cell>
          <cell r="F1030">
            <v>9004.27</v>
          </cell>
        </row>
        <row r="1031">
          <cell r="A1031" t="str">
            <v>5.003.021.0035</v>
          </cell>
          <cell r="B1031" t="str">
            <v>Costo Frenos Contado Terminal</v>
          </cell>
          <cell r="C1031">
            <v>43867.23</v>
          </cell>
          <cell r="D1031">
            <v>4074.67</v>
          </cell>
          <cell r="E1031">
            <v>490.52</v>
          </cell>
          <cell r="F1031">
            <v>47451.38</v>
          </cell>
        </row>
        <row r="1032">
          <cell r="A1032" t="str">
            <v>5.003.021.0037</v>
          </cell>
          <cell r="B1032" t="str">
            <v>Costo Dirección Contado Terminal</v>
          </cell>
          <cell r="C1032">
            <v>27677.88</v>
          </cell>
          <cell r="D1032">
            <v>6471.43</v>
          </cell>
          <cell r="E1032">
            <v>466.41</v>
          </cell>
          <cell r="F1032">
            <v>33682.9</v>
          </cell>
        </row>
        <row r="1033">
          <cell r="A1033" t="str">
            <v>5.003.021.0041</v>
          </cell>
          <cell r="B1033" t="str">
            <v>Costo Chassis Contado Terminal</v>
          </cell>
          <cell r="C1033">
            <v>142.69999999999999</v>
          </cell>
          <cell r="F1033">
            <v>142.69999999999999</v>
          </cell>
        </row>
        <row r="1034">
          <cell r="A1034" t="str">
            <v>5.003.021.0042</v>
          </cell>
          <cell r="B1034" t="str">
            <v>Costo Carrocería Contado Terminal</v>
          </cell>
          <cell r="C1034">
            <v>11384.69</v>
          </cell>
          <cell r="D1034">
            <v>1871.38</v>
          </cell>
          <cell r="F1034">
            <v>13256.07</v>
          </cell>
        </row>
        <row r="1035">
          <cell r="A1035" t="str">
            <v>5.003.021.0043</v>
          </cell>
          <cell r="B1035" t="str">
            <v>Costo Puertas Contado Terminal</v>
          </cell>
          <cell r="C1035">
            <v>15910.07</v>
          </cell>
          <cell r="D1035">
            <v>1194.43</v>
          </cell>
          <cell r="F1035">
            <v>17104.5</v>
          </cell>
        </row>
        <row r="1036">
          <cell r="A1036" t="str">
            <v>5.003.021.0044</v>
          </cell>
          <cell r="B1036" t="str">
            <v>Costo Carroc Trasera Cont Terminal</v>
          </cell>
          <cell r="C1036">
            <v>325.7</v>
          </cell>
          <cell r="F1036">
            <v>325.7</v>
          </cell>
        </row>
        <row r="1037">
          <cell r="A1037" t="str">
            <v>5.003.021.0051</v>
          </cell>
          <cell r="B1037" t="str">
            <v>Costo Exterior Contado Terminal</v>
          </cell>
          <cell r="C1037">
            <v>4181.9399999999996</v>
          </cell>
          <cell r="D1037">
            <v>718.99</v>
          </cell>
          <cell r="E1037">
            <v>31.03</v>
          </cell>
          <cell r="F1037">
            <v>4869.8999999999996</v>
          </cell>
        </row>
        <row r="1038">
          <cell r="A1038" t="str">
            <v>5.003.021.0052</v>
          </cell>
          <cell r="B1038" t="str">
            <v>Costo Interior Contado Terminal</v>
          </cell>
          <cell r="C1038">
            <v>935.16</v>
          </cell>
          <cell r="F1038">
            <v>935.16</v>
          </cell>
        </row>
        <row r="1039">
          <cell r="A1039" t="str">
            <v>5.003.021.0053</v>
          </cell>
          <cell r="B1039" t="str">
            <v>Costo Asientos Contado Terminal</v>
          </cell>
          <cell r="C1039">
            <v>21.72</v>
          </cell>
          <cell r="F1039">
            <v>21.72</v>
          </cell>
        </row>
        <row r="1040">
          <cell r="A1040" t="str">
            <v>5.003.021.0054</v>
          </cell>
          <cell r="B1040" t="str">
            <v>Costo Acces Eléctric Cont Terminal</v>
          </cell>
          <cell r="C1040">
            <v>24333.11</v>
          </cell>
          <cell r="D1040">
            <v>6404.26</v>
          </cell>
          <cell r="E1040">
            <v>72.52</v>
          </cell>
          <cell r="F1040">
            <v>30664.85</v>
          </cell>
        </row>
        <row r="1041">
          <cell r="A1041" t="str">
            <v>5.003.021.0055</v>
          </cell>
          <cell r="B1041" t="str">
            <v>Costo Calef/Vent Contado Terminal</v>
          </cell>
          <cell r="C1041">
            <v>575.72</v>
          </cell>
          <cell r="D1041">
            <v>211.34</v>
          </cell>
          <cell r="E1041">
            <v>53.25</v>
          </cell>
          <cell r="F1041">
            <v>733.81</v>
          </cell>
        </row>
        <row r="1042">
          <cell r="A1042" t="str">
            <v>5.003.021.0091</v>
          </cell>
          <cell r="B1042" t="str">
            <v>Costo Herramientas Contado Terminal</v>
          </cell>
          <cell r="C1042">
            <v>850.15</v>
          </cell>
          <cell r="F1042">
            <v>850.15</v>
          </cell>
        </row>
        <row r="1043">
          <cell r="A1043" t="str">
            <v>5.003.022.0011</v>
          </cell>
          <cell r="B1043" t="str">
            <v>Costo Motor Crédito Terminal</v>
          </cell>
          <cell r="C1043">
            <v>34204.46</v>
          </cell>
          <cell r="D1043">
            <v>3402.73</v>
          </cell>
          <cell r="E1043">
            <v>925.23</v>
          </cell>
          <cell r="F1043">
            <v>36681.96</v>
          </cell>
        </row>
        <row r="1044">
          <cell r="A1044" t="str">
            <v>5.003.022.0012</v>
          </cell>
          <cell r="B1044" t="str">
            <v>Costo Lubricación Crédito Terminal</v>
          </cell>
          <cell r="C1044">
            <v>4498.33</v>
          </cell>
          <cell r="D1044">
            <v>318.74</v>
          </cell>
          <cell r="F1044">
            <v>4817.07</v>
          </cell>
        </row>
        <row r="1045">
          <cell r="A1045" t="str">
            <v>5.003.022.0013</v>
          </cell>
          <cell r="B1045" t="str">
            <v>Costo Combustión Crédito Terminal</v>
          </cell>
          <cell r="C1045">
            <v>2810.86</v>
          </cell>
          <cell r="D1045">
            <v>124.93</v>
          </cell>
          <cell r="F1045">
            <v>2935.79</v>
          </cell>
        </row>
        <row r="1046">
          <cell r="A1046" t="str">
            <v>5.003.022.0014</v>
          </cell>
          <cell r="B1046" t="str">
            <v>Costo Enfriamiento Crédito Terminal</v>
          </cell>
          <cell r="C1046">
            <v>5086.25</v>
          </cell>
          <cell r="D1046">
            <v>106.58</v>
          </cell>
          <cell r="F1046">
            <v>5192.83</v>
          </cell>
        </row>
        <row r="1047">
          <cell r="A1047" t="str">
            <v>5.003.022.0015</v>
          </cell>
          <cell r="B1047" t="str">
            <v>Costo Admisión/Escape Cred Terminal</v>
          </cell>
          <cell r="C1047">
            <v>978.11</v>
          </cell>
          <cell r="D1047">
            <v>317.26</v>
          </cell>
          <cell r="F1047">
            <v>1295.3699999999999</v>
          </cell>
        </row>
        <row r="1048">
          <cell r="A1048" t="str">
            <v>5.003.022.0016</v>
          </cell>
          <cell r="B1048" t="str">
            <v>Costo Sist Eléct Crédito Terminal</v>
          </cell>
          <cell r="C1048">
            <v>2978.6</v>
          </cell>
          <cell r="D1048">
            <v>2694.17</v>
          </cell>
          <cell r="F1048">
            <v>5672.77</v>
          </cell>
        </row>
        <row r="1049">
          <cell r="A1049" t="str">
            <v>5.003.022.0021</v>
          </cell>
          <cell r="B1049" t="str">
            <v>Costo Clutch Crédito Terminal</v>
          </cell>
          <cell r="C1049">
            <v>7107.49</v>
          </cell>
          <cell r="D1049">
            <v>1023.49</v>
          </cell>
          <cell r="F1049">
            <v>8130.98</v>
          </cell>
        </row>
        <row r="1050">
          <cell r="A1050" t="str">
            <v>5.003.022.0022</v>
          </cell>
          <cell r="B1050" t="str">
            <v>Costo Trans Manual Crédito Terminal</v>
          </cell>
          <cell r="C1050">
            <v>1539.49</v>
          </cell>
          <cell r="D1050">
            <v>410.09</v>
          </cell>
          <cell r="E1050">
            <v>199.86</v>
          </cell>
          <cell r="F1050">
            <v>1749.72</v>
          </cell>
        </row>
        <row r="1051">
          <cell r="A1051" t="str">
            <v>5.003.022.0023</v>
          </cell>
          <cell r="B1051" t="str">
            <v>Costo Trans Autom Crédito Terminal</v>
          </cell>
          <cell r="C1051">
            <v>48.77</v>
          </cell>
          <cell r="D1051">
            <v>136.04</v>
          </cell>
          <cell r="F1051">
            <v>184.81</v>
          </cell>
        </row>
        <row r="1052">
          <cell r="A1052" t="str">
            <v>5.003.022.0024</v>
          </cell>
          <cell r="B1052" t="str">
            <v>Costo Caja de Transf Cred Terminal</v>
          </cell>
          <cell r="C1052">
            <v>758.44</v>
          </cell>
          <cell r="F1052">
            <v>758.44</v>
          </cell>
        </row>
        <row r="1053">
          <cell r="A1053" t="str">
            <v>5.003.022.0025</v>
          </cell>
          <cell r="B1053" t="str">
            <v>Costo Eje Cardán Crédito Terminal</v>
          </cell>
          <cell r="C1053">
            <v>1867.98</v>
          </cell>
          <cell r="D1053">
            <v>957.72</v>
          </cell>
          <cell r="E1053">
            <v>478.86</v>
          </cell>
          <cell r="F1053">
            <v>2346.84</v>
          </cell>
        </row>
        <row r="1054">
          <cell r="A1054" t="str">
            <v>5.003.022.0026</v>
          </cell>
          <cell r="B1054" t="str">
            <v>Costo Eje Delant Crédito Terminal</v>
          </cell>
          <cell r="C1054">
            <v>3653.56</v>
          </cell>
          <cell r="D1054">
            <v>1728.61</v>
          </cell>
          <cell r="F1054">
            <v>5382.17</v>
          </cell>
        </row>
        <row r="1055">
          <cell r="A1055" t="str">
            <v>5.003.022.0027</v>
          </cell>
          <cell r="B1055" t="str">
            <v>Costo Eje Trasero Crédito Terminal</v>
          </cell>
          <cell r="C1055">
            <v>1564.94</v>
          </cell>
          <cell r="D1055">
            <v>271.58</v>
          </cell>
          <cell r="E1055">
            <v>135.79</v>
          </cell>
          <cell r="F1055">
            <v>1700.73</v>
          </cell>
        </row>
        <row r="1056">
          <cell r="A1056" t="str">
            <v>5.003.022.0031</v>
          </cell>
          <cell r="B1056" t="str">
            <v>Costo Aros y LLantas Cred Terminal</v>
          </cell>
          <cell r="C1056">
            <v>470.34</v>
          </cell>
          <cell r="F1056">
            <v>470.34</v>
          </cell>
        </row>
        <row r="1057">
          <cell r="A1057" t="str">
            <v>5.003.022.0033</v>
          </cell>
          <cell r="B1057" t="str">
            <v>Costo Susp Delantera Cred Terminal</v>
          </cell>
          <cell r="C1057">
            <v>8486.31</v>
          </cell>
          <cell r="D1057">
            <v>3653.68</v>
          </cell>
          <cell r="E1057">
            <v>241.82</v>
          </cell>
          <cell r="F1057">
            <v>11898.17</v>
          </cell>
        </row>
        <row r="1058">
          <cell r="A1058" t="str">
            <v>5.003.022.0034</v>
          </cell>
          <cell r="B1058" t="str">
            <v>Costo Susp Trasera Crédito Terminal</v>
          </cell>
          <cell r="C1058">
            <v>3275.97</v>
          </cell>
          <cell r="D1058">
            <v>1585.9</v>
          </cell>
          <cell r="E1058">
            <v>292.07</v>
          </cell>
          <cell r="F1058">
            <v>4569.8</v>
          </cell>
        </row>
        <row r="1059">
          <cell r="A1059" t="str">
            <v>5.003.022.0035</v>
          </cell>
          <cell r="B1059" t="str">
            <v>Costo Frenos Crédito Terminal</v>
          </cell>
          <cell r="C1059">
            <v>6424.44</v>
          </cell>
          <cell r="D1059">
            <v>975.43</v>
          </cell>
          <cell r="E1059">
            <v>73.989999999999995</v>
          </cell>
          <cell r="F1059">
            <v>7325.88</v>
          </cell>
        </row>
        <row r="1060">
          <cell r="A1060" t="str">
            <v>5.003.022.0037</v>
          </cell>
          <cell r="B1060" t="str">
            <v>Costo Dirección Crédito Terminal</v>
          </cell>
          <cell r="C1060">
            <v>5835.35</v>
          </cell>
          <cell r="D1060">
            <v>327.45999999999998</v>
          </cell>
          <cell r="F1060">
            <v>6162.81</v>
          </cell>
        </row>
        <row r="1061">
          <cell r="A1061" t="str">
            <v>5.003.022.0042</v>
          </cell>
          <cell r="B1061" t="str">
            <v>Costo Carrocería Crédito Terminal</v>
          </cell>
          <cell r="C1061">
            <v>20894.84</v>
          </cell>
          <cell r="D1061">
            <v>1856.76</v>
          </cell>
          <cell r="E1061">
            <v>928.38</v>
          </cell>
          <cell r="F1061">
            <v>21823.22</v>
          </cell>
        </row>
        <row r="1062">
          <cell r="A1062" t="str">
            <v>5.003.022.0043</v>
          </cell>
          <cell r="B1062" t="str">
            <v>Costo Puertas Crédito Terminal</v>
          </cell>
          <cell r="C1062">
            <v>2255.96</v>
          </cell>
          <cell r="F1062">
            <v>2255.96</v>
          </cell>
        </row>
        <row r="1063">
          <cell r="A1063" t="str">
            <v>5.003.022.0044</v>
          </cell>
          <cell r="B1063" t="str">
            <v>Costo Carroc Trasera Cred Terminal</v>
          </cell>
          <cell r="C1063">
            <v>82.42</v>
          </cell>
          <cell r="F1063">
            <v>82.42</v>
          </cell>
        </row>
        <row r="1064">
          <cell r="A1064" t="str">
            <v>5.003.022.0051</v>
          </cell>
          <cell r="B1064" t="str">
            <v>Costo Exterior Crédito Terminal</v>
          </cell>
          <cell r="C1064">
            <v>526.23</v>
          </cell>
          <cell r="D1064">
            <v>352.23</v>
          </cell>
          <cell r="F1064">
            <v>878.46</v>
          </cell>
        </row>
        <row r="1065">
          <cell r="A1065" t="str">
            <v>5.003.022.0052</v>
          </cell>
          <cell r="B1065" t="str">
            <v>Costo Interior Crédito Terminal</v>
          </cell>
          <cell r="C1065">
            <v>97.22</v>
          </cell>
          <cell r="F1065">
            <v>97.22</v>
          </cell>
        </row>
        <row r="1066">
          <cell r="A1066" t="str">
            <v>5.003.022.0054</v>
          </cell>
          <cell r="B1066" t="str">
            <v>Costo Acces Eléctric Cred Terminal</v>
          </cell>
          <cell r="C1066">
            <v>15730.99</v>
          </cell>
          <cell r="D1066">
            <v>61.5</v>
          </cell>
          <cell r="F1066">
            <v>15792.49</v>
          </cell>
        </row>
        <row r="1067">
          <cell r="A1067" t="str">
            <v>5.003.022.0055</v>
          </cell>
          <cell r="B1067" t="str">
            <v>Costo Calef/Vent Crédito Terminal</v>
          </cell>
          <cell r="C1067">
            <v>99.84</v>
          </cell>
          <cell r="F1067">
            <v>99.84</v>
          </cell>
        </row>
        <row r="1068">
          <cell r="A1068" t="str">
            <v>5.003.025.0900</v>
          </cell>
          <cell r="B1068" t="str">
            <v>Costo Accesorios Contado Terminal</v>
          </cell>
          <cell r="C1068">
            <v>7610.4</v>
          </cell>
          <cell r="D1068">
            <v>1272.0999999999999</v>
          </cell>
          <cell r="F1068">
            <v>8882.5</v>
          </cell>
        </row>
        <row r="1069">
          <cell r="A1069" t="str">
            <v>5.003.026.0900</v>
          </cell>
          <cell r="B1069" t="str">
            <v>Costo Accesorios Crédito Terminal</v>
          </cell>
          <cell r="C1069">
            <v>859.25</v>
          </cell>
          <cell r="F1069">
            <v>859.25</v>
          </cell>
        </row>
        <row r="1070">
          <cell r="A1070" t="str">
            <v>5.004.021.0011</v>
          </cell>
          <cell r="B1070" t="str">
            <v>Costo Motor Contado Castaño</v>
          </cell>
          <cell r="C1070">
            <v>105462.63</v>
          </cell>
          <cell r="D1070">
            <v>6791.59</v>
          </cell>
          <cell r="E1070">
            <v>842.24</v>
          </cell>
          <cell r="F1070">
            <v>111411.98</v>
          </cell>
        </row>
        <row r="1071">
          <cell r="A1071" t="str">
            <v>5.004.021.0012</v>
          </cell>
          <cell r="B1071" t="str">
            <v>Costo Lubricación Contado Castaño</v>
          </cell>
          <cell r="C1071">
            <v>49664.57</v>
          </cell>
          <cell r="D1071">
            <v>3245.33</v>
          </cell>
          <cell r="E1071">
            <v>745.53</v>
          </cell>
          <cell r="F1071">
            <v>52164.37</v>
          </cell>
        </row>
        <row r="1072">
          <cell r="A1072" t="str">
            <v>5.004.021.0013</v>
          </cell>
          <cell r="B1072" t="str">
            <v>Costo Combustión Contado Castaño</v>
          </cell>
          <cell r="C1072">
            <v>10950.87</v>
          </cell>
          <cell r="D1072">
            <v>1286.1500000000001</v>
          </cell>
          <cell r="E1072">
            <v>7.04</v>
          </cell>
          <cell r="F1072">
            <v>12229.98</v>
          </cell>
        </row>
        <row r="1073">
          <cell r="A1073" t="str">
            <v>5.004.021.0014</v>
          </cell>
          <cell r="B1073" t="str">
            <v>Costo Enfriamiento Contado Castaño</v>
          </cell>
          <cell r="C1073">
            <v>14330.6</v>
          </cell>
          <cell r="D1073">
            <v>1579.22</v>
          </cell>
          <cell r="E1073">
            <v>430.09</v>
          </cell>
          <cell r="F1073">
            <v>15479.73</v>
          </cell>
        </row>
        <row r="1074">
          <cell r="A1074" t="str">
            <v>5.004.021.0015</v>
          </cell>
          <cell r="B1074" t="str">
            <v>Costo Admisión/Escape Cont Castaño</v>
          </cell>
          <cell r="C1074">
            <v>7254.06</v>
          </cell>
          <cell r="D1074">
            <v>614.84</v>
          </cell>
          <cell r="E1074">
            <v>42.71</v>
          </cell>
          <cell r="F1074">
            <v>7826.19</v>
          </cell>
        </row>
        <row r="1075">
          <cell r="A1075" t="str">
            <v>5.004.021.0016</v>
          </cell>
          <cell r="B1075" t="str">
            <v>Costo Sist/Eléctrico Cont Castaño</v>
          </cell>
          <cell r="C1075">
            <v>19067.91</v>
          </cell>
          <cell r="D1075">
            <v>2541.0300000000002</v>
          </cell>
          <cell r="E1075">
            <v>113.34</v>
          </cell>
          <cell r="F1075">
            <v>21495.599999999999</v>
          </cell>
        </row>
        <row r="1076">
          <cell r="A1076" t="str">
            <v>5.004.021.0021</v>
          </cell>
          <cell r="B1076" t="str">
            <v>Costo Clutch Contado Castaño</v>
          </cell>
          <cell r="C1076">
            <v>23903.279999999999</v>
          </cell>
          <cell r="D1076">
            <v>3346.42</v>
          </cell>
          <cell r="F1076">
            <v>27249.7</v>
          </cell>
        </row>
        <row r="1077">
          <cell r="A1077" t="str">
            <v>5.004.021.0022</v>
          </cell>
          <cell r="B1077" t="str">
            <v>Costo Trans Manual Contado Castaño</v>
          </cell>
          <cell r="C1077">
            <v>9546.67</v>
          </cell>
          <cell r="D1077">
            <v>640.95000000000005</v>
          </cell>
          <cell r="F1077">
            <v>10187.620000000001</v>
          </cell>
        </row>
        <row r="1078">
          <cell r="A1078" t="str">
            <v>5.004.021.0023</v>
          </cell>
          <cell r="B1078" t="str">
            <v>Costo Trans Automátic Cont Castaño</v>
          </cell>
          <cell r="C1078">
            <v>655.73</v>
          </cell>
          <cell r="F1078">
            <v>655.73</v>
          </cell>
        </row>
        <row r="1079">
          <cell r="A1079" t="str">
            <v>5.004.021.0024</v>
          </cell>
          <cell r="B1079" t="str">
            <v>Costo Caja de Transf Cont Castaño</v>
          </cell>
          <cell r="C1079">
            <v>312.20999999999998</v>
          </cell>
          <cell r="D1079">
            <v>62.52</v>
          </cell>
          <cell r="F1079">
            <v>374.73</v>
          </cell>
        </row>
        <row r="1080">
          <cell r="A1080" t="str">
            <v>5.004.021.0025</v>
          </cell>
          <cell r="B1080" t="str">
            <v>Costo Eje Cardán Contado Castaño</v>
          </cell>
          <cell r="C1080">
            <v>1364.77</v>
          </cell>
          <cell r="D1080">
            <v>103.42</v>
          </cell>
          <cell r="F1080">
            <v>1468.19</v>
          </cell>
        </row>
        <row r="1081">
          <cell r="A1081" t="str">
            <v>5.004.021.0026</v>
          </cell>
          <cell r="B1081" t="str">
            <v>Costo Eje Delantero Cont Castaño</v>
          </cell>
          <cell r="C1081">
            <v>4991.5200000000004</v>
          </cell>
          <cell r="D1081">
            <v>828.02</v>
          </cell>
          <cell r="E1081">
            <v>629.47</v>
          </cell>
          <cell r="F1081">
            <v>5190.07</v>
          </cell>
        </row>
        <row r="1082">
          <cell r="A1082" t="str">
            <v>5.004.021.0027</v>
          </cell>
          <cell r="B1082" t="str">
            <v>Costo Eje Trasero Contado Castaño</v>
          </cell>
          <cell r="C1082">
            <v>10761.9</v>
          </cell>
          <cell r="D1082">
            <v>52.5</v>
          </cell>
          <cell r="F1082">
            <v>10814.4</v>
          </cell>
        </row>
        <row r="1083">
          <cell r="A1083" t="str">
            <v>5.004.021.0031</v>
          </cell>
          <cell r="B1083" t="str">
            <v>Costo Aros y LLantas Cont Castaño</v>
          </cell>
          <cell r="C1083">
            <v>400.53</v>
          </cell>
          <cell r="D1083">
            <v>90.15</v>
          </cell>
          <cell r="F1083">
            <v>490.68</v>
          </cell>
        </row>
        <row r="1084">
          <cell r="A1084" t="str">
            <v>5.004.021.0033</v>
          </cell>
          <cell r="B1084" t="str">
            <v>Costo Susp Delantera Cont Castaño</v>
          </cell>
          <cell r="C1084">
            <v>23920.18</v>
          </cell>
          <cell r="D1084">
            <v>1201.47</v>
          </cell>
          <cell r="E1084">
            <v>12.12</v>
          </cell>
          <cell r="F1084">
            <v>25109.53</v>
          </cell>
        </row>
        <row r="1085">
          <cell r="A1085" t="str">
            <v>5.004.021.0034</v>
          </cell>
          <cell r="B1085" t="str">
            <v>Costo Susp Trasera Contado Castaño</v>
          </cell>
          <cell r="C1085">
            <v>5315.35</v>
          </cell>
          <cell r="F1085">
            <v>5315.35</v>
          </cell>
        </row>
        <row r="1086">
          <cell r="A1086" t="str">
            <v>5.004.021.0035</v>
          </cell>
          <cell r="B1086" t="str">
            <v>Costo Frenos Contado Castaño</v>
          </cell>
          <cell r="C1086">
            <v>27357.919999999998</v>
          </cell>
          <cell r="D1086">
            <v>1330.47</v>
          </cell>
          <cell r="F1086">
            <v>28688.39</v>
          </cell>
        </row>
        <row r="1087">
          <cell r="A1087" t="str">
            <v>5.004.021.0037</v>
          </cell>
          <cell r="B1087" t="str">
            <v>Costo Dirección Contado Castaño</v>
          </cell>
          <cell r="C1087">
            <v>14829.44</v>
          </cell>
          <cell r="D1087">
            <v>1878.1</v>
          </cell>
          <cell r="F1087">
            <v>16707.54</v>
          </cell>
        </row>
        <row r="1088">
          <cell r="A1088" t="str">
            <v>5.004.021.0042</v>
          </cell>
          <cell r="B1088" t="str">
            <v>Costo Carrocería Contado Castaño</v>
          </cell>
          <cell r="C1088">
            <v>8901.1</v>
          </cell>
          <cell r="D1088">
            <v>2585.59</v>
          </cell>
          <cell r="E1088">
            <v>189.11</v>
          </cell>
          <cell r="F1088">
            <v>11297.58</v>
          </cell>
        </row>
        <row r="1089">
          <cell r="A1089" t="str">
            <v>5.004.021.0043</v>
          </cell>
          <cell r="B1089" t="str">
            <v>Costo Puertas Contado Castaño</v>
          </cell>
          <cell r="C1089">
            <v>7550.06</v>
          </cell>
          <cell r="D1089">
            <v>2874.82</v>
          </cell>
          <cell r="F1089">
            <v>10424.879999999999</v>
          </cell>
        </row>
        <row r="1090">
          <cell r="A1090" t="str">
            <v>5.004.021.0044</v>
          </cell>
          <cell r="B1090" t="str">
            <v>Costo Carroc Trasera Cont Castaño</v>
          </cell>
          <cell r="C1090">
            <v>81.75</v>
          </cell>
          <cell r="F1090">
            <v>81.75</v>
          </cell>
        </row>
        <row r="1091">
          <cell r="A1091" t="str">
            <v>5.004.021.0051</v>
          </cell>
          <cell r="B1091" t="str">
            <v>Costo Exterior Contado Castaño</v>
          </cell>
          <cell r="C1091">
            <v>857.11</v>
          </cell>
          <cell r="D1091">
            <v>167.46</v>
          </cell>
          <cell r="F1091">
            <v>1024.57</v>
          </cell>
        </row>
        <row r="1092">
          <cell r="A1092" t="str">
            <v>5.004.021.0052</v>
          </cell>
          <cell r="B1092" t="str">
            <v>Costo Interior Contado Castaño</v>
          </cell>
          <cell r="C1092">
            <v>1804.52</v>
          </cell>
          <cell r="D1092">
            <v>154.36000000000001</v>
          </cell>
          <cell r="F1092">
            <v>1958.88</v>
          </cell>
        </row>
        <row r="1093">
          <cell r="A1093" t="str">
            <v>5.004.021.0054</v>
          </cell>
          <cell r="B1093" t="str">
            <v>Costo Acces Eléctric Cont Castaño</v>
          </cell>
          <cell r="C1093">
            <v>15974.02</v>
          </cell>
          <cell r="D1093">
            <v>927.79</v>
          </cell>
          <cell r="E1093">
            <v>205.68</v>
          </cell>
          <cell r="F1093">
            <v>16696.13</v>
          </cell>
        </row>
        <row r="1094">
          <cell r="A1094" t="str">
            <v>5.004.021.0055</v>
          </cell>
          <cell r="B1094" t="str">
            <v>Costo Calef/Vent Contado Castaño</v>
          </cell>
          <cell r="C1094">
            <v>423.02</v>
          </cell>
          <cell r="F1094">
            <v>423.02</v>
          </cell>
        </row>
        <row r="1095">
          <cell r="A1095" t="str">
            <v>5.004.021.0091</v>
          </cell>
          <cell r="B1095" t="str">
            <v>Costo Herramientas Contado Castaño</v>
          </cell>
          <cell r="C1095">
            <v>287.39999999999998</v>
          </cell>
          <cell r="D1095">
            <v>70.02</v>
          </cell>
          <cell r="E1095">
            <v>11.87</v>
          </cell>
          <cell r="F1095">
            <v>345.55</v>
          </cell>
        </row>
        <row r="1096">
          <cell r="A1096" t="str">
            <v>5.004.022.0011</v>
          </cell>
          <cell r="B1096" t="str">
            <v>Costo Motor Crédito Castaño</v>
          </cell>
          <cell r="C1096">
            <v>29870.81</v>
          </cell>
          <cell r="D1096">
            <v>985.33</v>
          </cell>
          <cell r="F1096">
            <v>30856.14</v>
          </cell>
        </row>
        <row r="1097">
          <cell r="A1097" t="str">
            <v>5.004.022.0012</v>
          </cell>
          <cell r="B1097" t="str">
            <v>Costo Lubricación Crédito Castaño</v>
          </cell>
          <cell r="C1097">
            <v>25968.25</v>
          </cell>
          <cell r="D1097">
            <v>3039.65</v>
          </cell>
          <cell r="F1097">
            <v>29007.9</v>
          </cell>
        </row>
        <row r="1098">
          <cell r="A1098" t="str">
            <v>5.004.022.0013</v>
          </cell>
          <cell r="B1098" t="str">
            <v>Costo Combustión Crédito Castaño</v>
          </cell>
          <cell r="C1098">
            <v>785.7</v>
          </cell>
          <cell r="D1098">
            <v>48.48</v>
          </cell>
          <cell r="F1098">
            <v>834.18</v>
          </cell>
        </row>
        <row r="1099">
          <cell r="A1099" t="str">
            <v>5.004.022.0014</v>
          </cell>
          <cell r="B1099" t="str">
            <v>Costo Enfriamiento Crédito Castaño</v>
          </cell>
          <cell r="C1099">
            <v>838.63</v>
          </cell>
          <cell r="F1099">
            <v>838.63</v>
          </cell>
        </row>
        <row r="1100">
          <cell r="A1100" t="str">
            <v>5.004.022.0015</v>
          </cell>
          <cell r="B1100" t="str">
            <v>Costo Admisión/Escape Cred Castaño</v>
          </cell>
          <cell r="C1100">
            <v>618.25</v>
          </cell>
          <cell r="D1100">
            <v>160.68</v>
          </cell>
          <cell r="F1100">
            <v>778.93</v>
          </cell>
        </row>
        <row r="1101">
          <cell r="A1101" t="str">
            <v>5.004.022.0016</v>
          </cell>
          <cell r="B1101" t="str">
            <v>Costo Sist Eléct Crédito Castaño</v>
          </cell>
          <cell r="C1101">
            <v>94593.53</v>
          </cell>
          <cell r="D1101">
            <v>14319.95</v>
          </cell>
          <cell r="F1101">
            <v>108913.48</v>
          </cell>
        </row>
        <row r="1102">
          <cell r="A1102" t="str">
            <v>5.004.022.0021</v>
          </cell>
          <cell r="B1102" t="str">
            <v>Costo Clutch Crédito Castaño</v>
          </cell>
          <cell r="C1102">
            <v>5145</v>
          </cell>
          <cell r="D1102">
            <v>361.82</v>
          </cell>
          <cell r="F1102">
            <v>5506.82</v>
          </cell>
        </row>
        <row r="1103">
          <cell r="A1103" t="str">
            <v>5.004.022.0022</v>
          </cell>
          <cell r="B1103" t="str">
            <v>Costo Trans Manual Crédito Castaño</v>
          </cell>
          <cell r="C1103">
            <v>824.86</v>
          </cell>
          <cell r="F1103">
            <v>824.86</v>
          </cell>
        </row>
        <row r="1104">
          <cell r="A1104" t="str">
            <v>5.004.022.0023</v>
          </cell>
          <cell r="B1104" t="str">
            <v>Costo Trans Autom Crédito Castaño</v>
          </cell>
          <cell r="C1104">
            <v>41.01</v>
          </cell>
          <cell r="F1104">
            <v>41.01</v>
          </cell>
        </row>
        <row r="1105">
          <cell r="A1105" t="str">
            <v>5.004.022.0025</v>
          </cell>
          <cell r="B1105" t="str">
            <v>Costo Eje Cardán Crédito Castaño</v>
          </cell>
          <cell r="C1105">
            <v>583.97</v>
          </cell>
          <cell r="F1105">
            <v>583.97</v>
          </cell>
        </row>
        <row r="1106">
          <cell r="A1106" t="str">
            <v>5.004.022.0026</v>
          </cell>
          <cell r="B1106" t="str">
            <v>Costo Eje Delant Crédito Castaño</v>
          </cell>
          <cell r="C1106">
            <v>566.57000000000005</v>
          </cell>
          <cell r="F1106">
            <v>566.57000000000005</v>
          </cell>
        </row>
        <row r="1107">
          <cell r="A1107" t="str">
            <v>5.004.022.0027</v>
          </cell>
          <cell r="B1107" t="str">
            <v>Costo Eje Trasero Crédito Castaño</v>
          </cell>
          <cell r="C1107">
            <v>568.70000000000005</v>
          </cell>
          <cell r="F1107">
            <v>568.70000000000005</v>
          </cell>
        </row>
        <row r="1108">
          <cell r="A1108" t="str">
            <v>5.004.022.0031</v>
          </cell>
          <cell r="B1108" t="str">
            <v>Costo Aros y LLantas Cred Castaño</v>
          </cell>
          <cell r="C1108">
            <v>9.6300000000000008</v>
          </cell>
          <cell r="F1108">
            <v>9.6300000000000008</v>
          </cell>
        </row>
        <row r="1109">
          <cell r="A1109" t="str">
            <v>5.004.022.0033</v>
          </cell>
          <cell r="B1109" t="str">
            <v>Costo Susp Delantera Cred Castaño</v>
          </cell>
          <cell r="C1109">
            <v>1222.54</v>
          </cell>
          <cell r="F1109">
            <v>1222.54</v>
          </cell>
        </row>
        <row r="1110">
          <cell r="A1110" t="str">
            <v>5.004.022.0035</v>
          </cell>
          <cell r="B1110" t="str">
            <v>Costo Frenos Crédito Castaño</v>
          </cell>
          <cell r="C1110">
            <v>18028.59</v>
          </cell>
          <cell r="D1110">
            <v>1291.1199999999999</v>
          </cell>
          <cell r="F1110">
            <v>19319.71</v>
          </cell>
        </row>
        <row r="1111">
          <cell r="A1111" t="str">
            <v>5.004.022.0037</v>
          </cell>
          <cell r="B1111" t="str">
            <v>Costo Dirección Crédito Castaño</v>
          </cell>
          <cell r="C1111">
            <v>18.72</v>
          </cell>
          <cell r="F1111">
            <v>18.72</v>
          </cell>
        </row>
        <row r="1112">
          <cell r="A1112" t="str">
            <v>5.004.022.0042</v>
          </cell>
          <cell r="B1112" t="str">
            <v>Costo Carrocería Crédito Castaño</v>
          </cell>
          <cell r="C1112">
            <v>1326.59</v>
          </cell>
          <cell r="F1112">
            <v>1326.59</v>
          </cell>
        </row>
        <row r="1113">
          <cell r="A1113" t="str">
            <v>5.004.022.0054</v>
          </cell>
          <cell r="B1113" t="str">
            <v>Costo Acces Eléctric Cred Castaño</v>
          </cell>
          <cell r="C1113">
            <v>617.15</v>
          </cell>
          <cell r="F1113">
            <v>617.15</v>
          </cell>
        </row>
        <row r="1114">
          <cell r="A1114" t="str">
            <v>5.004.022.0055</v>
          </cell>
          <cell r="B1114" t="str">
            <v>Costo Calef/Vent Crédito Castaño</v>
          </cell>
          <cell r="C1114">
            <v>0</v>
          </cell>
          <cell r="D1114">
            <v>634.78</v>
          </cell>
          <cell r="F1114">
            <v>634.78</v>
          </cell>
        </row>
        <row r="1115">
          <cell r="A1115" t="str">
            <v>5.004.022.0091</v>
          </cell>
          <cell r="B1115" t="str">
            <v>Costo Herramientas Crédito Castaño</v>
          </cell>
          <cell r="C1115">
            <v>130.08000000000001</v>
          </cell>
          <cell r="F1115">
            <v>130.08000000000001</v>
          </cell>
        </row>
        <row r="1116">
          <cell r="A1116" t="str">
            <v>5.004.025.0900</v>
          </cell>
          <cell r="B1116" t="str">
            <v>Costo Accesorios Contado Castaño</v>
          </cell>
          <cell r="C1116">
            <v>6696.33</v>
          </cell>
          <cell r="D1116">
            <v>1651</v>
          </cell>
          <cell r="E1116">
            <v>455.01</v>
          </cell>
          <cell r="F1116">
            <v>7892.32</v>
          </cell>
        </row>
        <row r="1117">
          <cell r="A1117" t="str">
            <v>5.004.029.0100</v>
          </cell>
          <cell r="B1117" t="str">
            <v>Ajustes de Inventario Castaño</v>
          </cell>
          <cell r="C1117">
            <v>277.02999999999997</v>
          </cell>
          <cell r="F1117">
            <v>277.02999999999997</v>
          </cell>
        </row>
        <row r="1118">
          <cell r="A1118" t="str">
            <v>5.005.001.1002</v>
          </cell>
          <cell r="B1118" t="str">
            <v>Costo Colt 1600 Contado Torre</v>
          </cell>
          <cell r="C1118">
            <v>83971.74</v>
          </cell>
          <cell r="F1118">
            <v>83971.74</v>
          </cell>
        </row>
        <row r="1119">
          <cell r="A1119" t="str">
            <v>5.005.001.1003</v>
          </cell>
          <cell r="B1119" t="str">
            <v>Costo Lancer 1300 Contado Torre</v>
          </cell>
          <cell r="C1119">
            <v>650076.06000000006</v>
          </cell>
          <cell r="D1119">
            <v>216773.41</v>
          </cell>
          <cell r="E1119">
            <v>146215.18</v>
          </cell>
          <cell r="F1119">
            <v>720634.29</v>
          </cell>
        </row>
        <row r="1120">
          <cell r="A1120" t="str">
            <v>5.005.001.1004</v>
          </cell>
          <cell r="B1120" t="str">
            <v>Costo Lancer 1600 Contado Torre</v>
          </cell>
          <cell r="C1120">
            <v>1457073.32</v>
          </cell>
          <cell r="D1120">
            <v>160207.07</v>
          </cell>
          <cell r="F1120">
            <v>1617280.39</v>
          </cell>
        </row>
        <row r="1121">
          <cell r="A1121" t="str">
            <v>5.005.001.1005</v>
          </cell>
          <cell r="B1121" t="str">
            <v>Costo Galant Contado Torre</v>
          </cell>
          <cell r="C1121">
            <v>337312.87</v>
          </cell>
          <cell r="E1121">
            <v>111549.68</v>
          </cell>
          <cell r="F1121">
            <v>225763.19</v>
          </cell>
        </row>
        <row r="1122">
          <cell r="A1122" t="str">
            <v>5.005.001.1006</v>
          </cell>
          <cell r="B1122" t="str">
            <v>Costo Space Wagon Contado Torre</v>
          </cell>
          <cell r="C1122">
            <v>607787.96</v>
          </cell>
          <cell r="D1122">
            <v>364841.26</v>
          </cell>
          <cell r="F1122">
            <v>972629.22</v>
          </cell>
        </row>
        <row r="1123">
          <cell r="A1123" t="str">
            <v>5.005.001.1007</v>
          </cell>
          <cell r="B1123" t="str">
            <v>Costo Microbús L-300 Cont Torre</v>
          </cell>
          <cell r="C1123">
            <v>305698.77</v>
          </cell>
          <cell r="F1123">
            <v>305698.77</v>
          </cell>
        </row>
        <row r="1124">
          <cell r="A1124" t="str">
            <v>5.005.001.1008</v>
          </cell>
          <cell r="B1124" t="str">
            <v>Costo Pánel L-300 Contado Torre</v>
          </cell>
          <cell r="C1124">
            <v>323616.12</v>
          </cell>
          <cell r="F1124">
            <v>323616.12</v>
          </cell>
        </row>
        <row r="1125">
          <cell r="A1125" t="str">
            <v>5.005.001.1009</v>
          </cell>
          <cell r="B1125" t="str">
            <v>Costo Pick-Ups Contado Torre</v>
          </cell>
          <cell r="C1125">
            <v>2955437.57</v>
          </cell>
          <cell r="D1125">
            <v>430111.54</v>
          </cell>
          <cell r="E1125">
            <v>108210.12</v>
          </cell>
          <cell r="F1125">
            <v>3277338.99</v>
          </cell>
        </row>
        <row r="1126">
          <cell r="A1126" t="str">
            <v>5.005.001.1010</v>
          </cell>
          <cell r="B1126" t="str">
            <v>Costo Montero Contado Torre</v>
          </cell>
          <cell r="C1126">
            <v>4166849.07</v>
          </cell>
          <cell r="D1126">
            <v>360646.16</v>
          </cell>
          <cell r="E1126">
            <v>104002.87</v>
          </cell>
          <cell r="F1126">
            <v>4423492.3600000003</v>
          </cell>
        </row>
        <row r="1127">
          <cell r="A1127" t="str">
            <v>5.005.001.1011</v>
          </cell>
          <cell r="B1127" t="str">
            <v>Costo Nativa Contado Torre</v>
          </cell>
          <cell r="C1127">
            <v>2313208.2999999998</v>
          </cell>
          <cell r="D1127">
            <v>156777.68</v>
          </cell>
          <cell r="F1127">
            <v>2469985.98</v>
          </cell>
        </row>
        <row r="1128">
          <cell r="A1128" t="str">
            <v>5.005.001.1012</v>
          </cell>
          <cell r="B1128" t="str">
            <v>Costo Canter FE Contado Torre</v>
          </cell>
          <cell r="C1128">
            <v>702725.82</v>
          </cell>
          <cell r="F1128">
            <v>702725.82</v>
          </cell>
        </row>
        <row r="1129">
          <cell r="A1129" t="str">
            <v>5.005.002.1003</v>
          </cell>
          <cell r="B1129" t="str">
            <v>Costo Lancer 1300 Crédito Torre</v>
          </cell>
          <cell r="C1129">
            <v>1620141.45</v>
          </cell>
          <cell r="F1129">
            <v>1620141.45</v>
          </cell>
        </row>
        <row r="1130">
          <cell r="A1130" t="str">
            <v>5.005.002.1004</v>
          </cell>
          <cell r="B1130" t="str">
            <v>Costo Lancer 1600 Crédito Torre</v>
          </cell>
          <cell r="C1130">
            <v>1562141.22</v>
          </cell>
          <cell r="D1130">
            <v>757949.04</v>
          </cell>
          <cell r="F1130">
            <v>2320090.2599999998</v>
          </cell>
        </row>
        <row r="1131">
          <cell r="A1131" t="str">
            <v>5.005.002.1006</v>
          </cell>
          <cell r="B1131" t="str">
            <v>Costo Space Wagon Crédito Torre</v>
          </cell>
          <cell r="C1131">
            <v>519978.39</v>
          </cell>
          <cell r="F1131">
            <v>519978.39</v>
          </cell>
        </row>
        <row r="1132">
          <cell r="A1132" t="str">
            <v>5.005.002.1007</v>
          </cell>
          <cell r="B1132" t="str">
            <v>Costo Microbús L-300 Cred Torre</v>
          </cell>
          <cell r="C1132">
            <v>812727.6</v>
          </cell>
          <cell r="F1132">
            <v>812727.6</v>
          </cell>
        </row>
        <row r="1133">
          <cell r="A1133" t="str">
            <v>5.005.002.1008</v>
          </cell>
          <cell r="B1133" t="str">
            <v>Costo Pánel L-300 Crédito Torre</v>
          </cell>
          <cell r="C1133">
            <v>306456.98</v>
          </cell>
          <cell r="F1133">
            <v>306456.98</v>
          </cell>
        </row>
        <row r="1134">
          <cell r="A1134" t="str">
            <v>5.005.002.1009</v>
          </cell>
          <cell r="B1134" t="str">
            <v>Costo Pick-Ups Crédito Torre</v>
          </cell>
          <cell r="C1134">
            <v>4050409.79</v>
          </cell>
          <cell r="D1134">
            <v>623222.71</v>
          </cell>
          <cell r="F1134">
            <v>4673632.5</v>
          </cell>
        </row>
        <row r="1135">
          <cell r="A1135" t="str">
            <v>5.005.002.1010</v>
          </cell>
          <cell r="B1135" t="str">
            <v>Costo Montero Crédito Torre</v>
          </cell>
          <cell r="C1135">
            <v>3011696.88</v>
          </cell>
          <cell r="D1135">
            <v>199785.98</v>
          </cell>
          <cell r="F1135">
            <v>3211482.86</v>
          </cell>
        </row>
        <row r="1136">
          <cell r="A1136" t="str">
            <v>5.005.002.1011</v>
          </cell>
          <cell r="B1136" t="str">
            <v>Costo Nativa Crédito Torre</v>
          </cell>
          <cell r="C1136">
            <v>653622.61</v>
          </cell>
          <cell r="D1136">
            <v>136178.46</v>
          </cell>
          <cell r="F1136">
            <v>789801.07</v>
          </cell>
        </row>
        <row r="1137">
          <cell r="A1137" t="str">
            <v>5.005.002.1012</v>
          </cell>
          <cell r="B1137" t="str">
            <v>Costo Canter FE Crédito Torre</v>
          </cell>
          <cell r="C1137">
            <v>638692.24</v>
          </cell>
          <cell r="F1137">
            <v>638692.24</v>
          </cell>
        </row>
        <row r="1138">
          <cell r="A1138" t="str">
            <v>5.005.002.1013</v>
          </cell>
          <cell r="B1138" t="str">
            <v>Costo Canter FH Crédito Torre</v>
          </cell>
          <cell r="C1138">
            <v>209318.64</v>
          </cell>
          <cell r="F1138">
            <v>209318.64</v>
          </cell>
        </row>
        <row r="1139">
          <cell r="A1139" t="str">
            <v>5.005.021.0011</v>
          </cell>
          <cell r="B1139" t="str">
            <v>Costo Motor Contado Torre</v>
          </cell>
          <cell r="C1139">
            <v>178757.35</v>
          </cell>
          <cell r="D1139">
            <v>25179.09</v>
          </cell>
          <cell r="E1139">
            <v>1239.0999999999999</v>
          </cell>
          <cell r="F1139">
            <v>202697.34</v>
          </cell>
        </row>
        <row r="1140">
          <cell r="A1140" t="str">
            <v>5.005.021.0012</v>
          </cell>
          <cell r="B1140" t="str">
            <v>Costo Lubricación Contado Torre</v>
          </cell>
          <cell r="C1140">
            <v>71397.09</v>
          </cell>
          <cell r="D1140">
            <v>7416.82</v>
          </cell>
          <cell r="E1140">
            <v>1538.37</v>
          </cell>
          <cell r="F1140">
            <v>77275.539999999994</v>
          </cell>
        </row>
        <row r="1141">
          <cell r="A1141" t="str">
            <v>5.005.021.0013</v>
          </cell>
          <cell r="B1141" t="str">
            <v>Costo Combustión Contado Torre</v>
          </cell>
          <cell r="C1141">
            <v>19445.68</v>
          </cell>
          <cell r="D1141">
            <v>3945.12</v>
          </cell>
          <cell r="E1141">
            <v>122.95</v>
          </cell>
          <cell r="F1141">
            <v>23267.85</v>
          </cell>
        </row>
        <row r="1142">
          <cell r="A1142" t="str">
            <v>5.005.021.0014</v>
          </cell>
          <cell r="B1142" t="str">
            <v>Costo Enfriamiento Contado Torre</v>
          </cell>
          <cell r="C1142">
            <v>27692.34</v>
          </cell>
          <cell r="D1142">
            <v>4259.8500000000004</v>
          </cell>
          <cell r="E1142">
            <v>254.38</v>
          </cell>
          <cell r="F1142">
            <v>31697.81</v>
          </cell>
        </row>
        <row r="1143">
          <cell r="A1143" t="str">
            <v>5.005.021.0015</v>
          </cell>
          <cell r="B1143" t="str">
            <v>Costo Admisión/Escape Cont Torre</v>
          </cell>
          <cell r="C1143">
            <v>27575.96</v>
          </cell>
          <cell r="D1143">
            <v>1863.72</v>
          </cell>
          <cell r="E1143">
            <v>224.64</v>
          </cell>
          <cell r="F1143">
            <v>29215.040000000001</v>
          </cell>
        </row>
        <row r="1144">
          <cell r="A1144" t="str">
            <v>5.005.021.0016</v>
          </cell>
          <cell r="B1144" t="str">
            <v>Costo Sist/Eléctrico Cont Torre</v>
          </cell>
          <cell r="C1144">
            <v>33251.33</v>
          </cell>
          <cell r="D1144">
            <v>10045.780000000001</v>
          </cell>
          <cell r="E1144">
            <v>3198.5</v>
          </cell>
          <cell r="F1144">
            <v>40098.61</v>
          </cell>
        </row>
        <row r="1145">
          <cell r="A1145" t="str">
            <v>5.005.021.0021</v>
          </cell>
          <cell r="B1145" t="str">
            <v>Costo Clutch Contado Torre</v>
          </cell>
          <cell r="C1145">
            <v>22659.84</v>
          </cell>
          <cell r="D1145">
            <v>4544.2</v>
          </cell>
          <cell r="F1145">
            <v>27204.04</v>
          </cell>
        </row>
        <row r="1146">
          <cell r="A1146" t="str">
            <v>5.005.021.0022</v>
          </cell>
          <cell r="B1146" t="str">
            <v>Costo Trans Manual Contado Torre</v>
          </cell>
          <cell r="C1146">
            <v>7934.21</v>
          </cell>
          <cell r="D1146">
            <v>924.93</v>
          </cell>
          <cell r="E1146">
            <v>159.96</v>
          </cell>
          <cell r="F1146">
            <v>8699.18</v>
          </cell>
        </row>
        <row r="1147">
          <cell r="A1147" t="str">
            <v>5.005.021.0023</v>
          </cell>
          <cell r="B1147" t="str">
            <v>Costo Trans Automátic Cont Torre</v>
          </cell>
          <cell r="C1147">
            <v>593.66999999999996</v>
          </cell>
          <cell r="D1147">
            <v>88.11</v>
          </cell>
          <cell r="F1147">
            <v>681.78</v>
          </cell>
        </row>
        <row r="1148">
          <cell r="A1148" t="str">
            <v>5.005.021.0024</v>
          </cell>
          <cell r="B1148" t="str">
            <v>Costo Caja de Transf Contado Torre</v>
          </cell>
          <cell r="C1148">
            <v>693.4</v>
          </cell>
          <cell r="D1148">
            <v>119.27</v>
          </cell>
          <cell r="F1148">
            <v>812.67</v>
          </cell>
        </row>
        <row r="1149">
          <cell r="A1149" t="str">
            <v>5.005.021.0025</v>
          </cell>
          <cell r="B1149" t="str">
            <v>Costo Eje Cardán Contado Torre</v>
          </cell>
          <cell r="C1149">
            <v>716.83</v>
          </cell>
          <cell r="F1149">
            <v>716.83</v>
          </cell>
        </row>
        <row r="1150">
          <cell r="A1150" t="str">
            <v>5.005.021.0026</v>
          </cell>
          <cell r="B1150" t="str">
            <v>Costo Eje Delantero Cont Torre</v>
          </cell>
          <cell r="C1150">
            <v>10299.69</v>
          </cell>
          <cell r="D1150">
            <v>2687.95</v>
          </cell>
          <cell r="E1150">
            <v>371.37</v>
          </cell>
          <cell r="F1150">
            <v>12616.27</v>
          </cell>
        </row>
        <row r="1151">
          <cell r="A1151" t="str">
            <v>5.005.021.0027</v>
          </cell>
          <cell r="B1151" t="str">
            <v>Costo Eje Trasero Contado Torre</v>
          </cell>
          <cell r="C1151">
            <v>10573.07</v>
          </cell>
          <cell r="D1151">
            <v>1058.68</v>
          </cell>
          <cell r="E1151">
            <v>308.77</v>
          </cell>
          <cell r="F1151">
            <v>11322.98</v>
          </cell>
        </row>
        <row r="1152">
          <cell r="A1152" t="str">
            <v>5.005.021.0031</v>
          </cell>
          <cell r="B1152" t="str">
            <v>Costo Aros y LLantas Cont Torre</v>
          </cell>
          <cell r="C1152">
            <v>3151.05</v>
          </cell>
          <cell r="D1152">
            <v>1143.72</v>
          </cell>
          <cell r="E1152">
            <v>54.81</v>
          </cell>
          <cell r="F1152">
            <v>4239.96</v>
          </cell>
        </row>
        <row r="1153">
          <cell r="A1153" t="str">
            <v>5.005.021.0033</v>
          </cell>
          <cell r="B1153" t="str">
            <v>Costo Susp Delantera Cont Torre</v>
          </cell>
          <cell r="C1153">
            <v>42797.07</v>
          </cell>
          <cell r="D1153">
            <v>5976.27</v>
          </cell>
          <cell r="E1153">
            <v>277.20999999999998</v>
          </cell>
          <cell r="F1153">
            <v>48496.13</v>
          </cell>
        </row>
        <row r="1154">
          <cell r="A1154" t="str">
            <v>5.005.021.0034</v>
          </cell>
          <cell r="B1154" t="str">
            <v>Costo Susp Trasera Contado Torre</v>
          </cell>
          <cell r="C1154">
            <v>12755.76</v>
          </cell>
          <cell r="D1154">
            <v>983.7</v>
          </cell>
          <cell r="E1154">
            <v>480.01</v>
          </cell>
          <cell r="F1154">
            <v>13259.45</v>
          </cell>
        </row>
        <row r="1155">
          <cell r="A1155" t="str">
            <v>5.005.021.0035</v>
          </cell>
          <cell r="B1155" t="str">
            <v>Costo Frenos Contado Torre</v>
          </cell>
          <cell r="C1155">
            <v>39614.720000000001</v>
          </cell>
          <cell r="D1155">
            <v>6007.68</v>
          </cell>
          <cell r="E1155">
            <v>148.87</v>
          </cell>
          <cell r="F1155">
            <v>45473.53</v>
          </cell>
        </row>
        <row r="1156">
          <cell r="A1156" t="str">
            <v>5.005.021.0037</v>
          </cell>
          <cell r="B1156" t="str">
            <v>Costo Dirección Contado Torre</v>
          </cell>
          <cell r="C1156">
            <v>34085.75</v>
          </cell>
          <cell r="D1156">
            <v>3669.87</v>
          </cell>
          <cell r="E1156">
            <v>483.57</v>
          </cell>
          <cell r="F1156">
            <v>37272.050000000003</v>
          </cell>
        </row>
        <row r="1157">
          <cell r="A1157" t="str">
            <v>5.005.021.0042</v>
          </cell>
          <cell r="B1157" t="str">
            <v>Costo Carrocería Contado Torre</v>
          </cell>
          <cell r="C1157">
            <v>47573.36</v>
          </cell>
          <cell r="D1157">
            <v>18826.759999999998</v>
          </cell>
          <cell r="E1157">
            <v>1234.0899999999999</v>
          </cell>
          <cell r="F1157">
            <v>65166.03</v>
          </cell>
        </row>
        <row r="1158">
          <cell r="A1158" t="str">
            <v>5.005.021.0043</v>
          </cell>
          <cell r="B1158" t="str">
            <v>Costo Puertas Contado Torre</v>
          </cell>
          <cell r="C1158">
            <v>22835.68</v>
          </cell>
          <cell r="D1158">
            <v>5232.84</v>
          </cell>
          <cell r="E1158">
            <v>537.54999999999995</v>
          </cell>
          <cell r="F1158">
            <v>27530.97</v>
          </cell>
        </row>
        <row r="1159">
          <cell r="A1159" t="str">
            <v>5.005.021.0044</v>
          </cell>
          <cell r="B1159" t="str">
            <v>Costo Carroc Trasera Contado Torre</v>
          </cell>
          <cell r="C1159">
            <v>326.04000000000002</v>
          </cell>
          <cell r="F1159">
            <v>326.04000000000002</v>
          </cell>
        </row>
        <row r="1160">
          <cell r="A1160" t="str">
            <v>5.005.021.0051</v>
          </cell>
          <cell r="B1160" t="str">
            <v>Costo Exterior Contado Torre</v>
          </cell>
          <cell r="C1160">
            <v>14320.09</v>
          </cell>
          <cell r="D1160">
            <v>3522.61</v>
          </cell>
          <cell r="F1160">
            <v>17842.7</v>
          </cell>
        </row>
        <row r="1161">
          <cell r="A1161" t="str">
            <v>5.005.021.0052</v>
          </cell>
          <cell r="B1161" t="str">
            <v>Costo Interior Contado Torre</v>
          </cell>
          <cell r="C1161">
            <v>4391.46</v>
          </cell>
          <cell r="D1161">
            <v>1290.94</v>
          </cell>
          <cell r="E1161">
            <v>98.12</v>
          </cell>
          <cell r="F1161">
            <v>5584.28</v>
          </cell>
        </row>
        <row r="1162">
          <cell r="A1162" t="str">
            <v>5.005.021.0053</v>
          </cell>
          <cell r="B1162" t="str">
            <v>Costo Asientos Contado Torre</v>
          </cell>
          <cell r="C1162">
            <v>0</v>
          </cell>
          <cell r="D1162">
            <v>13.05</v>
          </cell>
          <cell r="F1162">
            <v>13.05</v>
          </cell>
        </row>
        <row r="1163">
          <cell r="A1163" t="str">
            <v>5.005.021.0054</v>
          </cell>
          <cell r="B1163" t="str">
            <v>Costo Acces Eléctric Cont Torre</v>
          </cell>
          <cell r="C1163">
            <v>45691.54</v>
          </cell>
          <cell r="D1163">
            <v>13117.35</v>
          </cell>
          <cell r="E1163">
            <v>501.34</v>
          </cell>
          <cell r="F1163">
            <v>58307.55</v>
          </cell>
        </row>
        <row r="1164">
          <cell r="A1164" t="str">
            <v>5.005.021.0055</v>
          </cell>
          <cell r="B1164" t="str">
            <v>Costo Calef/Vent Contado Torre</v>
          </cell>
          <cell r="C1164">
            <v>3785.06</v>
          </cell>
          <cell r="D1164">
            <v>590.25</v>
          </cell>
          <cell r="E1164">
            <v>53.18</v>
          </cell>
          <cell r="F1164">
            <v>4322.13</v>
          </cell>
        </row>
        <row r="1165">
          <cell r="A1165" t="str">
            <v>5.005.021.0091</v>
          </cell>
          <cell r="B1165" t="str">
            <v>Costo Herramientas Contado Torre</v>
          </cell>
          <cell r="C1165">
            <v>177.99</v>
          </cell>
          <cell r="F1165">
            <v>177.99</v>
          </cell>
        </row>
        <row r="1166">
          <cell r="A1166" t="str">
            <v>5.005.022.0011</v>
          </cell>
          <cell r="B1166" t="str">
            <v>Costo Motor Crédito Torre</v>
          </cell>
          <cell r="C1166">
            <v>16293.72</v>
          </cell>
          <cell r="D1166">
            <v>824.26</v>
          </cell>
          <cell r="E1166">
            <v>571.74</v>
          </cell>
          <cell r="F1166">
            <v>16546.240000000002</v>
          </cell>
        </row>
        <row r="1167">
          <cell r="A1167" t="str">
            <v>5.005.022.0012</v>
          </cell>
          <cell r="B1167" t="str">
            <v>Costo Lubricación Crédito Torre</v>
          </cell>
          <cell r="C1167">
            <v>14770.32</v>
          </cell>
          <cell r="D1167">
            <v>2883.82</v>
          </cell>
          <cell r="E1167">
            <v>224.25</v>
          </cell>
          <cell r="F1167">
            <v>17429.89</v>
          </cell>
        </row>
        <row r="1168">
          <cell r="A1168" t="str">
            <v>5.005.022.0013</v>
          </cell>
          <cell r="B1168" t="str">
            <v>Costo Combustión Crédito Torre</v>
          </cell>
          <cell r="C1168">
            <v>4624.8100000000004</v>
          </cell>
          <cell r="D1168">
            <v>1145.33</v>
          </cell>
          <cell r="E1168">
            <v>249.11</v>
          </cell>
          <cell r="F1168">
            <v>5521.03</v>
          </cell>
        </row>
        <row r="1169">
          <cell r="A1169" t="str">
            <v>5.005.022.0014</v>
          </cell>
          <cell r="B1169" t="str">
            <v>Costo Enfriamiento Crédito Torre</v>
          </cell>
          <cell r="C1169">
            <v>4168.0200000000004</v>
          </cell>
          <cell r="D1169">
            <v>1566.43</v>
          </cell>
          <cell r="E1169">
            <v>104.74</v>
          </cell>
          <cell r="F1169">
            <v>5629.71</v>
          </cell>
        </row>
        <row r="1170">
          <cell r="A1170" t="str">
            <v>5.005.022.0015</v>
          </cell>
          <cell r="B1170" t="str">
            <v>Costo Admisión/Escape Cred Torre</v>
          </cell>
          <cell r="C1170">
            <v>5960.66</v>
          </cell>
          <cell r="D1170">
            <v>1665.18</v>
          </cell>
          <cell r="E1170">
            <v>202.63</v>
          </cell>
          <cell r="F1170">
            <v>7423.21</v>
          </cell>
        </row>
        <row r="1171">
          <cell r="A1171" t="str">
            <v>5.005.022.0016</v>
          </cell>
          <cell r="B1171" t="str">
            <v>Costo Sist Eléct Crédito Torre</v>
          </cell>
          <cell r="C1171">
            <v>1719.06</v>
          </cell>
          <cell r="D1171">
            <v>160.31</v>
          </cell>
          <cell r="E1171">
            <v>68.38</v>
          </cell>
          <cell r="F1171">
            <v>1810.99</v>
          </cell>
        </row>
        <row r="1172">
          <cell r="A1172" t="str">
            <v>5.005.022.0021</v>
          </cell>
          <cell r="B1172" t="str">
            <v>Costo Clutch Crédito Torre</v>
          </cell>
          <cell r="C1172">
            <v>7455.74</v>
          </cell>
          <cell r="D1172">
            <v>31.52</v>
          </cell>
          <cell r="F1172">
            <v>7487.26</v>
          </cell>
        </row>
        <row r="1173">
          <cell r="A1173" t="str">
            <v>5.005.022.0022</v>
          </cell>
          <cell r="B1173" t="str">
            <v>Costo Trans Manual Crédito Torre</v>
          </cell>
          <cell r="C1173">
            <v>2327.65</v>
          </cell>
          <cell r="D1173">
            <v>8.98</v>
          </cell>
          <cell r="F1173">
            <v>2336.63</v>
          </cell>
        </row>
        <row r="1174">
          <cell r="A1174" t="str">
            <v>5.005.022.0023</v>
          </cell>
          <cell r="B1174" t="str">
            <v>Costo Trans Autom Crédito Torre</v>
          </cell>
          <cell r="C1174">
            <v>143.71</v>
          </cell>
          <cell r="D1174">
            <v>44.06</v>
          </cell>
          <cell r="F1174">
            <v>187.77</v>
          </cell>
        </row>
        <row r="1175">
          <cell r="A1175" t="str">
            <v>5.005.022.0024</v>
          </cell>
          <cell r="B1175" t="str">
            <v>Costo Caja de Transf Cred Torre</v>
          </cell>
          <cell r="C1175">
            <v>19.04</v>
          </cell>
          <cell r="D1175">
            <v>70.83</v>
          </cell>
          <cell r="F1175">
            <v>89.87</v>
          </cell>
        </row>
        <row r="1176">
          <cell r="A1176" t="str">
            <v>5.005.022.0025</v>
          </cell>
          <cell r="B1176" t="str">
            <v>Costo Eje Cardán Crédito Torre</v>
          </cell>
          <cell r="C1176">
            <v>618.04</v>
          </cell>
          <cell r="F1176">
            <v>618.04</v>
          </cell>
        </row>
        <row r="1177">
          <cell r="A1177" t="str">
            <v>5.005.022.0026</v>
          </cell>
          <cell r="B1177" t="str">
            <v>Costo Eje Delant Crédito Torre</v>
          </cell>
          <cell r="C1177">
            <v>7518.33</v>
          </cell>
          <cell r="D1177">
            <v>235.95</v>
          </cell>
          <cell r="E1177">
            <v>18.059999999999999</v>
          </cell>
          <cell r="F1177">
            <v>7736.22</v>
          </cell>
        </row>
        <row r="1178">
          <cell r="A1178" t="str">
            <v>5.005.022.0027</v>
          </cell>
          <cell r="B1178" t="str">
            <v>Costo Eje Trasero Crédito Torre</v>
          </cell>
          <cell r="C1178">
            <v>1630.62</v>
          </cell>
          <cell r="F1178">
            <v>1630.62</v>
          </cell>
        </row>
        <row r="1179">
          <cell r="A1179" t="str">
            <v>5.005.022.0031</v>
          </cell>
          <cell r="B1179" t="str">
            <v>Costo Aros y LLantas Cred Torre</v>
          </cell>
          <cell r="C1179">
            <v>440.15</v>
          </cell>
          <cell r="D1179">
            <v>4.9800000000000004</v>
          </cell>
          <cell r="F1179">
            <v>445.13</v>
          </cell>
        </row>
        <row r="1180">
          <cell r="A1180" t="str">
            <v>5.005.022.0033</v>
          </cell>
          <cell r="B1180" t="str">
            <v>Costo Susp Delantera Cred Torre</v>
          </cell>
          <cell r="C1180">
            <v>7347.44</v>
          </cell>
          <cell r="D1180">
            <v>116.15</v>
          </cell>
          <cell r="F1180">
            <v>7463.59</v>
          </cell>
        </row>
        <row r="1181">
          <cell r="A1181" t="str">
            <v>5.005.022.0034</v>
          </cell>
          <cell r="B1181" t="str">
            <v>Costo Susp Trasera Crédito Torre</v>
          </cell>
          <cell r="C1181">
            <v>1927.23</v>
          </cell>
          <cell r="F1181">
            <v>1927.23</v>
          </cell>
        </row>
        <row r="1182">
          <cell r="A1182" t="str">
            <v>5.005.022.0035</v>
          </cell>
          <cell r="B1182" t="str">
            <v>Costo Frenos Crédito Torre</v>
          </cell>
          <cell r="C1182">
            <v>12489.06</v>
          </cell>
          <cell r="D1182">
            <v>2746.59</v>
          </cell>
          <cell r="E1182">
            <v>307.99</v>
          </cell>
          <cell r="F1182">
            <v>14927.66</v>
          </cell>
        </row>
        <row r="1183">
          <cell r="A1183" t="str">
            <v>5.005.022.0037</v>
          </cell>
          <cell r="B1183" t="str">
            <v>Costo Dirección Crédito Torre</v>
          </cell>
          <cell r="C1183">
            <v>3256.92</v>
          </cell>
          <cell r="D1183">
            <v>455.23</v>
          </cell>
          <cell r="E1183">
            <v>119.4</v>
          </cell>
          <cell r="F1183">
            <v>3592.75</v>
          </cell>
        </row>
        <row r="1184">
          <cell r="A1184" t="str">
            <v>5.005.022.0042</v>
          </cell>
          <cell r="B1184" t="str">
            <v>Costo Carrocería Crédito Torre</v>
          </cell>
          <cell r="C1184">
            <v>49999.47</v>
          </cell>
          <cell r="D1184">
            <v>5261.47</v>
          </cell>
          <cell r="F1184">
            <v>55260.94</v>
          </cell>
        </row>
        <row r="1185">
          <cell r="A1185" t="str">
            <v>5.005.022.0043</v>
          </cell>
          <cell r="B1185" t="str">
            <v>Costo Puertas Crédito Torre</v>
          </cell>
          <cell r="C1185">
            <v>14343.04</v>
          </cell>
          <cell r="D1185">
            <v>1739.42</v>
          </cell>
          <cell r="E1185">
            <v>527.01</v>
          </cell>
          <cell r="F1185">
            <v>15555.45</v>
          </cell>
        </row>
        <row r="1186">
          <cell r="A1186" t="str">
            <v>5.005.022.0051</v>
          </cell>
          <cell r="B1186" t="str">
            <v>Costo Exterior Crédito Torre</v>
          </cell>
          <cell r="C1186">
            <v>2365.7800000000002</v>
          </cell>
          <cell r="D1186">
            <v>166.12</v>
          </cell>
          <cell r="E1186">
            <v>52.87</v>
          </cell>
          <cell r="F1186">
            <v>2479.0300000000002</v>
          </cell>
        </row>
        <row r="1187">
          <cell r="A1187" t="str">
            <v>5.005.022.0052</v>
          </cell>
          <cell r="B1187" t="str">
            <v>Costo Interior Crédito Torre</v>
          </cell>
          <cell r="C1187">
            <v>232.49</v>
          </cell>
          <cell r="F1187">
            <v>232.49</v>
          </cell>
        </row>
        <row r="1188">
          <cell r="A1188" t="str">
            <v>5.005.022.0054</v>
          </cell>
          <cell r="B1188" t="str">
            <v>Costo Acces Eléctric Cred Torre</v>
          </cell>
          <cell r="C1188">
            <v>23426.44</v>
          </cell>
          <cell r="D1188">
            <v>2079.9499999999998</v>
          </cell>
          <cell r="E1188">
            <v>303.75</v>
          </cell>
          <cell r="F1188">
            <v>25202.639999999999</v>
          </cell>
        </row>
        <row r="1189">
          <cell r="A1189" t="str">
            <v>5.005.022.0055</v>
          </cell>
          <cell r="B1189" t="str">
            <v>Costo Calef/Vent Crédito Torre</v>
          </cell>
          <cell r="C1189">
            <v>2751.17</v>
          </cell>
          <cell r="D1189">
            <v>858.89</v>
          </cell>
          <cell r="F1189">
            <v>3610.06</v>
          </cell>
        </row>
        <row r="1190">
          <cell r="A1190" t="str">
            <v>5.005.022.0091</v>
          </cell>
          <cell r="B1190" t="str">
            <v>Costo Herramientas Crédito Torre</v>
          </cell>
          <cell r="C1190">
            <v>12.74</v>
          </cell>
          <cell r="F1190">
            <v>12.74</v>
          </cell>
        </row>
        <row r="1191">
          <cell r="A1191" t="str">
            <v>5.005.025.0900</v>
          </cell>
          <cell r="B1191" t="str">
            <v>Costo Accesorios Contado Torre</v>
          </cell>
          <cell r="C1191">
            <v>7005.98</v>
          </cell>
          <cell r="D1191">
            <v>1162.55</v>
          </cell>
          <cell r="F1191">
            <v>8168.53</v>
          </cell>
        </row>
        <row r="1192">
          <cell r="A1192" t="str">
            <v>5.005.026.0900</v>
          </cell>
          <cell r="B1192" t="str">
            <v>Costo Accesorios Crédito Torre</v>
          </cell>
          <cell r="C1192">
            <v>1990.35</v>
          </cell>
          <cell r="F1192">
            <v>1990.35</v>
          </cell>
        </row>
        <row r="1193">
          <cell r="A1193" t="str">
            <v>5.005.029.0100</v>
          </cell>
          <cell r="B1193" t="str">
            <v>Ajustes de Inventario Torre</v>
          </cell>
          <cell r="C1193">
            <v>427.91</v>
          </cell>
          <cell r="F1193">
            <v>427.91</v>
          </cell>
        </row>
        <row r="1194">
          <cell r="A1194" t="str">
            <v>5.006.001.1002</v>
          </cell>
          <cell r="B1194" t="str">
            <v>Costo Colt 1600 Contado Pirámide</v>
          </cell>
          <cell r="C1194">
            <v>97204.19</v>
          </cell>
          <cell r="F1194">
            <v>97204.19</v>
          </cell>
        </row>
        <row r="1195">
          <cell r="A1195" t="str">
            <v>5.006.001.1003</v>
          </cell>
          <cell r="B1195" t="str">
            <v>Costo Lancer 1300 Contado Pirámide</v>
          </cell>
          <cell r="C1195">
            <v>152129.35999999999</v>
          </cell>
          <cell r="F1195">
            <v>152129.35999999999</v>
          </cell>
        </row>
        <row r="1196">
          <cell r="A1196" t="str">
            <v>5.006.001.1004</v>
          </cell>
          <cell r="B1196" t="str">
            <v>Costo Lancer 1600 Contado Pirámide</v>
          </cell>
          <cell r="C1196">
            <v>247950.34</v>
          </cell>
          <cell r="F1196">
            <v>247950.34</v>
          </cell>
        </row>
        <row r="1197">
          <cell r="A1197" t="str">
            <v>5.006.001.1005</v>
          </cell>
          <cell r="B1197" t="str">
            <v>Costo Galant Contado Pirámide</v>
          </cell>
          <cell r="C1197">
            <v>115700.61</v>
          </cell>
          <cell r="F1197">
            <v>115700.61</v>
          </cell>
        </row>
        <row r="1198">
          <cell r="A1198" t="str">
            <v>5.006.001.1006</v>
          </cell>
          <cell r="B1198" t="str">
            <v>Costo Space Wagon Contado Pirámide</v>
          </cell>
          <cell r="C1198">
            <v>125524.92</v>
          </cell>
          <cell r="F1198">
            <v>125524.92</v>
          </cell>
        </row>
        <row r="1199">
          <cell r="A1199" t="str">
            <v>5.006.001.1007</v>
          </cell>
          <cell r="B1199" t="str">
            <v>Costo Microbús L-300 Cont Pirámide</v>
          </cell>
          <cell r="C1199">
            <v>82668.649999999994</v>
          </cell>
          <cell r="F1199">
            <v>82668.649999999994</v>
          </cell>
        </row>
        <row r="1200">
          <cell r="A1200" t="str">
            <v>5.006.001.1009</v>
          </cell>
          <cell r="B1200" t="str">
            <v>Costo Pick-Ups Contado Pirámide</v>
          </cell>
          <cell r="C1200">
            <v>467064.18</v>
          </cell>
          <cell r="D1200">
            <v>206299.53</v>
          </cell>
          <cell r="E1200">
            <v>100000</v>
          </cell>
          <cell r="F1200">
            <v>573363.71</v>
          </cell>
        </row>
        <row r="1201">
          <cell r="A1201" t="str">
            <v>5.006.001.1010</v>
          </cell>
          <cell r="B1201" t="str">
            <v>Costo Montero Contado Pirámide</v>
          </cell>
          <cell r="C1201">
            <v>990567.88</v>
          </cell>
          <cell r="F1201">
            <v>990567.88</v>
          </cell>
        </row>
        <row r="1202">
          <cell r="A1202" t="str">
            <v>5.006.001.1011</v>
          </cell>
          <cell r="B1202" t="str">
            <v>Costo Nativa Contado Pirámide</v>
          </cell>
          <cell r="C1202">
            <v>318993.93</v>
          </cell>
          <cell r="F1202">
            <v>318993.93</v>
          </cell>
        </row>
        <row r="1203">
          <cell r="A1203" t="str">
            <v>5.006.001.1012</v>
          </cell>
          <cell r="B1203" t="str">
            <v>Costo Canter FE Contado Pirámide</v>
          </cell>
          <cell r="C1203">
            <v>823454.9</v>
          </cell>
          <cell r="F1203">
            <v>823454.9</v>
          </cell>
        </row>
        <row r="1204">
          <cell r="A1204" t="str">
            <v>5.006.001.1013</v>
          </cell>
          <cell r="B1204" t="str">
            <v>Costo Canter FH Contado Pirámide</v>
          </cell>
          <cell r="C1204">
            <v>2247.2600000000002</v>
          </cell>
          <cell r="F1204">
            <v>2247.2600000000002</v>
          </cell>
        </row>
        <row r="1205">
          <cell r="A1205" t="str">
            <v>5.006.002.1003</v>
          </cell>
          <cell r="B1205" t="str">
            <v>Costo Lancer 1300 Crédito Pirámide</v>
          </cell>
          <cell r="C1205">
            <v>283126.92</v>
          </cell>
          <cell r="F1205">
            <v>283126.92</v>
          </cell>
        </row>
        <row r="1206">
          <cell r="A1206" t="str">
            <v>5.006.002.1004</v>
          </cell>
          <cell r="B1206" t="str">
            <v>Costo Lancer 1600 Crédito Pirámide</v>
          </cell>
          <cell r="C1206">
            <v>412716.61</v>
          </cell>
          <cell r="D1206">
            <v>58000</v>
          </cell>
          <cell r="E1206">
            <v>58000</v>
          </cell>
          <cell r="F1206">
            <v>412716.61</v>
          </cell>
        </row>
        <row r="1207">
          <cell r="A1207" t="str">
            <v>5.006.002.1005</v>
          </cell>
          <cell r="B1207" t="str">
            <v>Costo Galant Crédito Pirámide</v>
          </cell>
          <cell r="C1207">
            <v>404307.59</v>
          </cell>
          <cell r="F1207">
            <v>404307.59</v>
          </cell>
        </row>
        <row r="1208">
          <cell r="A1208" t="str">
            <v>5.006.002.1006</v>
          </cell>
          <cell r="B1208" t="str">
            <v>Costo Space Wagon Crédito Pirámide</v>
          </cell>
          <cell r="C1208">
            <v>127221.66</v>
          </cell>
          <cell r="F1208">
            <v>127221.66</v>
          </cell>
        </row>
        <row r="1209">
          <cell r="A1209" t="str">
            <v>5.006.002.1007</v>
          </cell>
          <cell r="B1209" t="str">
            <v>Costo Microbús L-300 Cred Pirámide</v>
          </cell>
          <cell r="C1209">
            <v>226697.59</v>
          </cell>
          <cell r="F1209">
            <v>226697.59</v>
          </cell>
        </row>
        <row r="1210">
          <cell r="A1210" t="str">
            <v>5.006.002.1009</v>
          </cell>
          <cell r="B1210" t="str">
            <v>Costo Pick-Ups Crédito Pirámide</v>
          </cell>
          <cell r="C1210">
            <v>1168994.03</v>
          </cell>
          <cell r="F1210">
            <v>1168994.03</v>
          </cell>
        </row>
        <row r="1211">
          <cell r="A1211" t="str">
            <v>5.006.002.1010</v>
          </cell>
          <cell r="B1211" t="str">
            <v>Costo Montero Crédito Pirámide</v>
          </cell>
          <cell r="C1211">
            <v>1805446.38</v>
          </cell>
          <cell r="F1211">
            <v>1805446.38</v>
          </cell>
        </row>
        <row r="1212">
          <cell r="A1212" t="str">
            <v>5.006.002.1012</v>
          </cell>
          <cell r="B1212" t="str">
            <v>Costo Canter FE Crédito Pirámide</v>
          </cell>
          <cell r="C1212">
            <v>192057.2</v>
          </cell>
          <cell r="F1212">
            <v>192057.2</v>
          </cell>
        </row>
        <row r="1213">
          <cell r="A1213" t="str">
            <v>5.006.005.1900</v>
          </cell>
          <cell r="B1213" t="str">
            <v>Costo Usados Propios Cont Pirámide</v>
          </cell>
          <cell r="C1213">
            <v>3674917.42</v>
          </cell>
          <cell r="D1213">
            <v>914000</v>
          </cell>
          <cell r="E1213">
            <v>95000</v>
          </cell>
          <cell r="F1213">
            <v>4493917.42</v>
          </cell>
        </row>
        <row r="1214">
          <cell r="A1214" t="str">
            <v>5.006.005.1901</v>
          </cell>
          <cell r="B1214" t="str">
            <v>Costo Usados Ajenos Cont Pirámide</v>
          </cell>
          <cell r="C1214">
            <v>1379213.16</v>
          </cell>
          <cell r="D1214">
            <v>531000</v>
          </cell>
          <cell r="F1214">
            <v>1910213.16</v>
          </cell>
        </row>
        <row r="1215">
          <cell r="A1215" t="str">
            <v>5.006.006.1900</v>
          </cell>
          <cell r="B1215" t="str">
            <v>Costo Usados Propios Cred Pirámide</v>
          </cell>
          <cell r="C1215">
            <v>5525900</v>
          </cell>
          <cell r="D1215">
            <v>885000</v>
          </cell>
          <cell r="F1215">
            <v>6410900</v>
          </cell>
        </row>
        <row r="1216">
          <cell r="A1216" t="str">
            <v>5.006.006.1901</v>
          </cell>
          <cell r="B1216" t="str">
            <v>Costo Usados Ajenos Cred Pirámide</v>
          </cell>
          <cell r="C1216">
            <v>1340204.3799999999</v>
          </cell>
          <cell r="D1216">
            <v>322000</v>
          </cell>
          <cell r="F1216">
            <v>1662204.38</v>
          </cell>
        </row>
        <row r="1217">
          <cell r="A1217" t="str">
            <v>5.007.001.1002</v>
          </cell>
          <cell r="B1217" t="str">
            <v>Costo Colt 1600 Contado Pradera</v>
          </cell>
          <cell r="C1217">
            <v>80127.259999999995</v>
          </cell>
          <cell r="F1217">
            <v>80127.259999999995</v>
          </cell>
        </row>
        <row r="1218">
          <cell r="A1218" t="str">
            <v>5.007.001.1003</v>
          </cell>
          <cell r="B1218" t="str">
            <v>Costo Lancer 1300 Contado Pradera</v>
          </cell>
          <cell r="C1218">
            <v>1318410.72</v>
          </cell>
          <cell r="D1218">
            <v>73566.37</v>
          </cell>
          <cell r="F1218">
            <v>1391977.09</v>
          </cell>
        </row>
        <row r="1219">
          <cell r="A1219" t="str">
            <v>5.007.001.1004</v>
          </cell>
          <cell r="B1219" t="str">
            <v>Costo Lancer 1600 Contado Pradera</v>
          </cell>
          <cell r="C1219">
            <v>2071441.88</v>
          </cell>
          <cell r="D1219">
            <v>408698.87</v>
          </cell>
          <cell r="F1219">
            <v>2480140.75</v>
          </cell>
        </row>
        <row r="1220">
          <cell r="A1220" t="str">
            <v>5.007.001.1005</v>
          </cell>
          <cell r="B1220" t="str">
            <v>Costo Galant Contado Pradera</v>
          </cell>
          <cell r="C1220">
            <v>324659.31</v>
          </cell>
          <cell r="D1220">
            <v>110261.57</v>
          </cell>
          <cell r="F1220">
            <v>434920.88</v>
          </cell>
        </row>
        <row r="1221">
          <cell r="A1221" t="str">
            <v>5.007.001.1006</v>
          </cell>
          <cell r="B1221" t="str">
            <v>Costo Space Wagon Contado Pradera</v>
          </cell>
          <cell r="C1221">
            <v>2034702.43</v>
          </cell>
          <cell r="D1221">
            <v>277116.58</v>
          </cell>
          <cell r="E1221">
            <v>138558.29</v>
          </cell>
          <cell r="F1221">
            <v>2173260.7200000002</v>
          </cell>
        </row>
        <row r="1222">
          <cell r="A1222" t="str">
            <v>5.007.001.1007</v>
          </cell>
          <cell r="B1222" t="str">
            <v>Costo Microbús L-300 Cont Pradera</v>
          </cell>
          <cell r="C1222">
            <v>73787.179999999993</v>
          </cell>
          <cell r="F1222">
            <v>73787.179999999993</v>
          </cell>
        </row>
        <row r="1223">
          <cell r="A1223" t="str">
            <v>5.007.001.1008</v>
          </cell>
          <cell r="B1223" t="str">
            <v>Costo Pánel L-300 Contado Pradera</v>
          </cell>
          <cell r="C1223">
            <v>1154829.8700000001</v>
          </cell>
          <cell r="F1223">
            <v>1154829.8700000001</v>
          </cell>
        </row>
        <row r="1224">
          <cell r="A1224" t="str">
            <v>5.007.001.1009</v>
          </cell>
          <cell r="B1224" t="str">
            <v>Costo Pick-Ups Contado Pradera</v>
          </cell>
          <cell r="C1224">
            <v>3901212.35</v>
          </cell>
          <cell r="D1224">
            <v>676857.72</v>
          </cell>
          <cell r="E1224">
            <v>478544.77</v>
          </cell>
          <cell r="F1224">
            <v>4099525.3</v>
          </cell>
        </row>
        <row r="1225">
          <cell r="A1225" t="str">
            <v>5.007.001.1010</v>
          </cell>
          <cell r="B1225" t="str">
            <v>Costo Montero Contado Pradera</v>
          </cell>
          <cell r="C1225">
            <v>5947901.6699999999</v>
          </cell>
          <cell r="D1225">
            <v>2340442.2000000002</v>
          </cell>
          <cell r="E1225">
            <v>1001955.19</v>
          </cell>
          <cell r="F1225">
            <v>7286388.6799999997</v>
          </cell>
        </row>
        <row r="1226">
          <cell r="A1226" t="str">
            <v>5.007.001.1011</v>
          </cell>
          <cell r="B1226" t="str">
            <v>Costo Nativa Contado Pradera</v>
          </cell>
          <cell r="C1226">
            <v>2630782.4500000002</v>
          </cell>
          <cell r="D1226">
            <v>837424.36</v>
          </cell>
          <cell r="E1226">
            <v>250530.17</v>
          </cell>
          <cell r="F1226">
            <v>3217676.64</v>
          </cell>
        </row>
        <row r="1227">
          <cell r="A1227" t="str">
            <v>5.007.001.1013</v>
          </cell>
          <cell r="B1227" t="str">
            <v>Costo Canter FH Contado Pradera</v>
          </cell>
          <cell r="C1227">
            <v>-224000</v>
          </cell>
          <cell r="F1227">
            <v>-224000</v>
          </cell>
        </row>
        <row r="1228">
          <cell r="A1228" t="str">
            <v>5.007.002.1001</v>
          </cell>
          <cell r="B1228" t="str">
            <v>Costo Colt 1300 Crédito Pradera</v>
          </cell>
          <cell r="C1228">
            <v>78882.87</v>
          </cell>
          <cell r="F1228">
            <v>78882.87</v>
          </cell>
        </row>
        <row r="1229">
          <cell r="A1229" t="str">
            <v>5.007.002.1002</v>
          </cell>
          <cell r="B1229" t="str">
            <v>Costo Colt 1600 Crédito Pradera</v>
          </cell>
          <cell r="C1229">
            <v>83335.7</v>
          </cell>
          <cell r="F1229">
            <v>83335.7</v>
          </cell>
        </row>
        <row r="1230">
          <cell r="A1230" t="str">
            <v>5.007.002.1003</v>
          </cell>
          <cell r="B1230" t="str">
            <v>Costo Lancer 1300 Crédito Pradera</v>
          </cell>
          <cell r="C1230">
            <v>3206033.71</v>
          </cell>
          <cell r="D1230">
            <v>295566.93</v>
          </cell>
          <cell r="E1230">
            <v>73654.100000000006</v>
          </cell>
          <cell r="F1230">
            <v>3427946.54</v>
          </cell>
        </row>
        <row r="1231">
          <cell r="A1231" t="str">
            <v>5.007.002.1004</v>
          </cell>
          <cell r="B1231" t="str">
            <v>Costo Lancer 1600 Crédito Pradera</v>
          </cell>
          <cell r="C1231">
            <v>1948469.52</v>
          </cell>
          <cell r="D1231">
            <v>498096.5</v>
          </cell>
          <cell r="F1231">
            <v>2446566.02</v>
          </cell>
        </row>
        <row r="1232">
          <cell r="A1232" t="str">
            <v>5.007.002.1005</v>
          </cell>
          <cell r="B1232" t="str">
            <v>Costo Galant Crédito Pradera</v>
          </cell>
          <cell r="C1232">
            <v>483187</v>
          </cell>
          <cell r="D1232">
            <v>111793.7</v>
          </cell>
          <cell r="E1232">
            <v>111162.84</v>
          </cell>
          <cell r="F1232">
            <v>483817.86</v>
          </cell>
        </row>
        <row r="1233">
          <cell r="A1233" t="str">
            <v>5.007.002.1006</v>
          </cell>
          <cell r="B1233" t="str">
            <v>Costo Space Wagon Crédito Pradera</v>
          </cell>
          <cell r="C1233">
            <v>1023403.17</v>
          </cell>
          <cell r="D1233">
            <v>121940.94</v>
          </cell>
          <cell r="F1233">
            <v>1145344.1100000001</v>
          </cell>
        </row>
        <row r="1234">
          <cell r="A1234" t="str">
            <v>5.007.002.1007</v>
          </cell>
          <cell r="B1234" t="str">
            <v>Costo Microbús L-300 Cred Pradera</v>
          </cell>
          <cell r="C1234">
            <v>242069.96</v>
          </cell>
          <cell r="F1234">
            <v>242069.96</v>
          </cell>
        </row>
        <row r="1235">
          <cell r="A1235" t="str">
            <v>5.007.002.1008</v>
          </cell>
          <cell r="B1235" t="str">
            <v>Costo Pánel L-300 Crédito Pradera</v>
          </cell>
          <cell r="C1235">
            <v>224011.07</v>
          </cell>
          <cell r="F1235">
            <v>224011.07</v>
          </cell>
        </row>
        <row r="1236">
          <cell r="A1236" t="str">
            <v>5.007.002.1009</v>
          </cell>
          <cell r="B1236" t="str">
            <v>Costo Pick-Ups Crédito Pradera</v>
          </cell>
          <cell r="C1236">
            <v>3201516.57</v>
          </cell>
          <cell r="D1236">
            <v>671785.17</v>
          </cell>
          <cell r="F1236">
            <v>3873301.74</v>
          </cell>
        </row>
        <row r="1237">
          <cell r="A1237" t="str">
            <v>5.007.002.1010</v>
          </cell>
          <cell r="B1237" t="str">
            <v>Costo Montero Crédito Pradera</v>
          </cell>
          <cell r="C1237">
            <v>3354358.43</v>
          </cell>
          <cell r="D1237">
            <v>104222.48</v>
          </cell>
          <cell r="F1237">
            <v>3458580.91</v>
          </cell>
        </row>
        <row r="1238">
          <cell r="A1238" t="str">
            <v>5.007.002.1011</v>
          </cell>
          <cell r="B1238" t="str">
            <v>Costo Nativa Crédito Pradera</v>
          </cell>
          <cell r="C1238">
            <v>2513772.87</v>
          </cell>
          <cell r="D1238">
            <v>160432.32999999999</v>
          </cell>
          <cell r="E1238">
            <v>156547.47</v>
          </cell>
          <cell r="F1238">
            <v>2517657.73</v>
          </cell>
        </row>
        <row r="1239">
          <cell r="A1239" t="str">
            <v>5.007.002.1012</v>
          </cell>
          <cell r="B1239" t="str">
            <v>Costo Canter FE Crédito Pradera</v>
          </cell>
          <cell r="C1239">
            <v>101411.28</v>
          </cell>
          <cell r="D1239">
            <v>184820.18</v>
          </cell>
          <cell r="F1239">
            <v>286231.46000000002</v>
          </cell>
        </row>
        <row r="1240">
          <cell r="A1240" t="str">
            <v>5.007.006.1900</v>
          </cell>
          <cell r="B1240" t="str">
            <v>Costo Usados Propios Cred Pradera</v>
          </cell>
          <cell r="C1240">
            <v>45000</v>
          </cell>
          <cell r="F1240">
            <v>45000</v>
          </cell>
        </row>
        <row r="1241">
          <cell r="A1241" t="str">
            <v>5.007.021.0011</v>
          </cell>
          <cell r="B1241" t="str">
            <v>Costo Motor Contado Pradera</v>
          </cell>
          <cell r="C1241">
            <v>37690.06</v>
          </cell>
          <cell r="D1241">
            <v>2534.2800000000002</v>
          </cell>
          <cell r="E1241">
            <v>555.37</v>
          </cell>
          <cell r="F1241">
            <v>39668.97</v>
          </cell>
        </row>
        <row r="1242">
          <cell r="A1242" t="str">
            <v>5.007.021.0012</v>
          </cell>
          <cell r="B1242" t="str">
            <v>Costo Lubricación Contado Pradera</v>
          </cell>
          <cell r="C1242">
            <v>30926.77</v>
          </cell>
          <cell r="D1242">
            <v>2981.51</v>
          </cell>
          <cell r="F1242">
            <v>33908.28</v>
          </cell>
        </row>
        <row r="1243">
          <cell r="A1243" t="str">
            <v>5.007.021.0013</v>
          </cell>
          <cell r="B1243" t="str">
            <v>Costo Combustión Contado Pradera</v>
          </cell>
          <cell r="C1243">
            <v>7124.73</v>
          </cell>
          <cell r="D1243">
            <v>482.17</v>
          </cell>
          <cell r="F1243">
            <v>7606.9</v>
          </cell>
        </row>
        <row r="1244">
          <cell r="A1244" t="str">
            <v>5.007.021.0014</v>
          </cell>
          <cell r="B1244" t="str">
            <v>Costo Enfriamiento Contado Pradera</v>
          </cell>
          <cell r="C1244">
            <v>8412.5400000000009</v>
          </cell>
          <cell r="D1244">
            <v>480.71</v>
          </cell>
          <cell r="E1244">
            <v>84.18</v>
          </cell>
          <cell r="F1244">
            <v>8809.07</v>
          </cell>
        </row>
        <row r="1245">
          <cell r="A1245" t="str">
            <v>5.007.021.0015</v>
          </cell>
          <cell r="B1245" t="str">
            <v>Costo Admisión/Escape Cont Pradera</v>
          </cell>
          <cell r="C1245">
            <v>8423.5</v>
          </cell>
          <cell r="D1245">
            <v>811.97</v>
          </cell>
          <cell r="E1245">
            <v>119.84</v>
          </cell>
          <cell r="F1245">
            <v>9115.6299999999992</v>
          </cell>
        </row>
        <row r="1246">
          <cell r="A1246" t="str">
            <v>5.007.021.0016</v>
          </cell>
          <cell r="B1246" t="str">
            <v>Costo Sist/Eléctrico Cont Pradera</v>
          </cell>
          <cell r="C1246">
            <v>17009.3</v>
          </cell>
          <cell r="D1246">
            <v>1980.13</v>
          </cell>
          <cell r="E1246">
            <v>59.33</v>
          </cell>
          <cell r="F1246">
            <v>18930.099999999999</v>
          </cell>
        </row>
        <row r="1247">
          <cell r="A1247" t="str">
            <v>5.007.021.0021</v>
          </cell>
          <cell r="B1247" t="str">
            <v>Costo Clutch Contado Pradera</v>
          </cell>
          <cell r="C1247">
            <v>7372.89</v>
          </cell>
          <cell r="D1247">
            <v>693.89</v>
          </cell>
          <cell r="F1247">
            <v>8066.78</v>
          </cell>
        </row>
        <row r="1248">
          <cell r="A1248" t="str">
            <v>5.007.021.0022</v>
          </cell>
          <cell r="B1248" t="str">
            <v>Costo Trans Manual Contado Pradera</v>
          </cell>
          <cell r="C1248">
            <v>1636.21</v>
          </cell>
          <cell r="D1248">
            <v>1852.11</v>
          </cell>
          <cell r="F1248">
            <v>3488.32</v>
          </cell>
        </row>
        <row r="1249">
          <cell r="A1249" t="str">
            <v>5.007.021.0023</v>
          </cell>
          <cell r="B1249" t="str">
            <v>Costo Trans Automátic Cont Pradera</v>
          </cell>
          <cell r="C1249">
            <v>608.65</v>
          </cell>
          <cell r="D1249">
            <v>97.67</v>
          </cell>
          <cell r="F1249">
            <v>706.32</v>
          </cell>
        </row>
        <row r="1250">
          <cell r="A1250" t="str">
            <v>5.007.021.0024</v>
          </cell>
          <cell r="B1250" t="str">
            <v>Costo Caja de Transf Cont Torre</v>
          </cell>
          <cell r="C1250">
            <v>209.72</v>
          </cell>
          <cell r="F1250">
            <v>209.72</v>
          </cell>
        </row>
        <row r="1251">
          <cell r="A1251" t="str">
            <v>5.007.021.0025</v>
          </cell>
          <cell r="B1251" t="str">
            <v>Costo Eje Cardán Contado Pradera</v>
          </cell>
          <cell r="C1251">
            <v>1041.55</v>
          </cell>
          <cell r="D1251">
            <v>241.67</v>
          </cell>
          <cell r="F1251">
            <v>1283.22</v>
          </cell>
        </row>
        <row r="1252">
          <cell r="A1252" t="str">
            <v>5.007.021.0026</v>
          </cell>
          <cell r="B1252" t="str">
            <v>Costo Eje Delantero Cont Pradera</v>
          </cell>
          <cell r="C1252">
            <v>3473.78</v>
          </cell>
          <cell r="D1252">
            <v>811.35</v>
          </cell>
          <cell r="E1252">
            <v>2.2400000000000002</v>
          </cell>
          <cell r="F1252">
            <v>4282.8900000000003</v>
          </cell>
        </row>
        <row r="1253">
          <cell r="A1253" t="str">
            <v>5.007.021.0027</v>
          </cell>
          <cell r="B1253" t="str">
            <v>Costo Eje Trasero Contado Pradera</v>
          </cell>
          <cell r="C1253">
            <v>1444.42</v>
          </cell>
          <cell r="D1253">
            <v>202.86</v>
          </cell>
          <cell r="F1253">
            <v>1647.28</v>
          </cell>
        </row>
        <row r="1254">
          <cell r="A1254" t="str">
            <v>5.007.021.0031</v>
          </cell>
          <cell r="B1254" t="str">
            <v>Costo Aros y LLantas Cont Pradera</v>
          </cell>
          <cell r="C1254">
            <v>6287.36</v>
          </cell>
          <cell r="D1254">
            <v>178.06</v>
          </cell>
          <cell r="F1254">
            <v>6465.42</v>
          </cell>
        </row>
        <row r="1255">
          <cell r="A1255" t="str">
            <v>5.007.021.0033</v>
          </cell>
          <cell r="B1255" t="str">
            <v>Costo Susp Delantera Cont Pradera</v>
          </cell>
          <cell r="C1255">
            <v>13488.46</v>
          </cell>
          <cell r="D1255">
            <v>2880.41</v>
          </cell>
          <cell r="E1255">
            <v>1274.74</v>
          </cell>
          <cell r="F1255">
            <v>15094.13</v>
          </cell>
        </row>
        <row r="1256">
          <cell r="A1256" t="str">
            <v>5.007.021.0034</v>
          </cell>
          <cell r="B1256" t="str">
            <v>Costo Susp Trasera Contado Pradera</v>
          </cell>
          <cell r="C1256">
            <v>2205.75</v>
          </cell>
          <cell r="D1256">
            <v>26.09</v>
          </cell>
          <cell r="E1256">
            <v>20.8</v>
          </cell>
          <cell r="F1256">
            <v>2211.04</v>
          </cell>
        </row>
        <row r="1257">
          <cell r="A1257" t="str">
            <v>5.007.021.0035</v>
          </cell>
          <cell r="B1257" t="str">
            <v>Costo Frenos Contado Pradera</v>
          </cell>
          <cell r="C1257">
            <v>20940.009999999998</v>
          </cell>
          <cell r="D1257">
            <v>2878.3</v>
          </cell>
          <cell r="E1257">
            <v>302.51</v>
          </cell>
          <cell r="F1257">
            <v>23515.8</v>
          </cell>
        </row>
        <row r="1258">
          <cell r="A1258" t="str">
            <v>5.007.021.0037</v>
          </cell>
          <cell r="B1258" t="str">
            <v>Costo Dirección Contado Pradera</v>
          </cell>
          <cell r="C1258">
            <v>11852.89</v>
          </cell>
          <cell r="D1258">
            <v>813.95</v>
          </cell>
          <cell r="F1258">
            <v>12666.84</v>
          </cell>
        </row>
        <row r="1259">
          <cell r="A1259" t="str">
            <v>5.007.021.0042</v>
          </cell>
          <cell r="B1259" t="str">
            <v>Costo Carrocería Contado Pradera</v>
          </cell>
          <cell r="C1259">
            <v>38796.43</v>
          </cell>
          <cell r="D1259">
            <v>5261.25</v>
          </cell>
          <cell r="E1259">
            <v>189.97</v>
          </cell>
          <cell r="F1259">
            <v>43867.71</v>
          </cell>
        </row>
        <row r="1260">
          <cell r="A1260" t="str">
            <v>5.007.021.0043</v>
          </cell>
          <cell r="B1260" t="str">
            <v>Costo Puertas Contado Pradera</v>
          </cell>
          <cell r="C1260">
            <v>9263.31</v>
          </cell>
          <cell r="D1260">
            <v>339.43</v>
          </cell>
          <cell r="F1260">
            <v>9602.74</v>
          </cell>
        </row>
        <row r="1261">
          <cell r="A1261" t="str">
            <v>5.007.021.0044</v>
          </cell>
          <cell r="B1261" t="str">
            <v>Costo Carroc Trasera Contad Pradera</v>
          </cell>
          <cell r="C1261">
            <v>82.04</v>
          </cell>
          <cell r="F1261">
            <v>82.04</v>
          </cell>
        </row>
        <row r="1262">
          <cell r="A1262" t="str">
            <v>5.007.021.0051</v>
          </cell>
          <cell r="B1262" t="str">
            <v>Costo Exterior Contado Pradera</v>
          </cell>
          <cell r="C1262">
            <v>4400.1000000000004</v>
          </cell>
          <cell r="D1262">
            <v>332.6</v>
          </cell>
          <cell r="F1262">
            <v>4732.7</v>
          </cell>
        </row>
        <row r="1263">
          <cell r="A1263" t="str">
            <v>5.007.021.0052</v>
          </cell>
          <cell r="B1263" t="str">
            <v>Costo Interior Contado Pradera</v>
          </cell>
          <cell r="C1263">
            <v>2521.79</v>
          </cell>
          <cell r="D1263">
            <v>277.17</v>
          </cell>
          <cell r="F1263">
            <v>2798.96</v>
          </cell>
        </row>
        <row r="1264">
          <cell r="A1264" t="str">
            <v>5.007.021.0054</v>
          </cell>
          <cell r="B1264" t="str">
            <v>Costo Acces Eléctric Cont Pradera</v>
          </cell>
          <cell r="C1264">
            <v>30619.03</v>
          </cell>
          <cell r="D1264">
            <v>3622.91</v>
          </cell>
          <cell r="F1264">
            <v>34241.94</v>
          </cell>
        </row>
        <row r="1265">
          <cell r="A1265" t="str">
            <v>5.007.021.0055</v>
          </cell>
          <cell r="B1265" t="str">
            <v>Costo Calef/Vent Contado Pradera</v>
          </cell>
          <cell r="C1265">
            <v>2730.31</v>
          </cell>
          <cell r="F1265">
            <v>2730.31</v>
          </cell>
        </row>
        <row r="1266">
          <cell r="A1266" t="str">
            <v>5.007.021.0091</v>
          </cell>
          <cell r="B1266" t="str">
            <v>Costo Herramientas Contado Pradera</v>
          </cell>
          <cell r="C1266">
            <v>62.57</v>
          </cell>
          <cell r="D1266">
            <v>12</v>
          </cell>
          <cell r="F1266">
            <v>74.569999999999993</v>
          </cell>
        </row>
        <row r="1267">
          <cell r="A1267" t="str">
            <v>5.007.022.0011</v>
          </cell>
          <cell r="B1267" t="str">
            <v>Costo Motor Crédito Pradera</v>
          </cell>
          <cell r="C1267">
            <v>142134.85999999999</v>
          </cell>
          <cell r="D1267">
            <v>17770.45</v>
          </cell>
          <cell r="E1267">
            <v>135.16</v>
          </cell>
          <cell r="F1267">
            <v>159770.15</v>
          </cell>
        </row>
        <row r="1268">
          <cell r="A1268" t="str">
            <v>5.007.022.0012</v>
          </cell>
          <cell r="B1268" t="str">
            <v>Costo Lubricación Crédito Pradera</v>
          </cell>
          <cell r="C1268">
            <v>236477.5</v>
          </cell>
          <cell r="D1268">
            <v>29607.63</v>
          </cell>
          <cell r="E1268">
            <v>27.97</v>
          </cell>
          <cell r="F1268">
            <v>266057.15999999997</v>
          </cell>
        </row>
        <row r="1269">
          <cell r="A1269" t="str">
            <v>5.007.022.0013</v>
          </cell>
          <cell r="B1269" t="str">
            <v>Costo Combustión Crédito Pradera</v>
          </cell>
          <cell r="C1269">
            <v>22975.91</v>
          </cell>
          <cell r="D1269">
            <v>3221.92</v>
          </cell>
          <cell r="F1269">
            <v>26197.83</v>
          </cell>
        </row>
        <row r="1270">
          <cell r="A1270" t="str">
            <v>5.007.022.0014</v>
          </cell>
          <cell r="B1270" t="str">
            <v>Costo Enfriamiento Crédito Pradera</v>
          </cell>
          <cell r="C1270">
            <v>26515.64</v>
          </cell>
          <cell r="D1270">
            <v>3667.65</v>
          </cell>
          <cell r="E1270">
            <v>738.93</v>
          </cell>
          <cell r="F1270">
            <v>29444.36</v>
          </cell>
        </row>
        <row r="1271">
          <cell r="A1271" t="str">
            <v>5.007.022.0015</v>
          </cell>
          <cell r="B1271" t="str">
            <v>Costo Admisión/Escape Cred Pradera</v>
          </cell>
          <cell r="C1271">
            <v>67872.179999999993</v>
          </cell>
          <cell r="D1271">
            <v>8155.27</v>
          </cell>
          <cell r="E1271">
            <v>145.19999999999999</v>
          </cell>
          <cell r="F1271">
            <v>75882.25</v>
          </cell>
        </row>
        <row r="1272">
          <cell r="A1272" t="str">
            <v>5.007.022.0016</v>
          </cell>
          <cell r="B1272" t="str">
            <v>Costo Sist Eléct Crédito Pradera</v>
          </cell>
          <cell r="C1272">
            <v>39906.81</v>
          </cell>
          <cell r="D1272">
            <v>5716.53</v>
          </cell>
          <cell r="E1272">
            <v>28.49</v>
          </cell>
          <cell r="F1272">
            <v>45594.85</v>
          </cell>
        </row>
        <row r="1273">
          <cell r="A1273" t="str">
            <v>5.007.022.0021</v>
          </cell>
          <cell r="B1273" t="str">
            <v>Costo Clutch Crédito Pradera</v>
          </cell>
          <cell r="C1273">
            <v>29065.4</v>
          </cell>
          <cell r="D1273">
            <v>7645.62</v>
          </cell>
          <cell r="E1273">
            <v>385.57</v>
          </cell>
          <cell r="F1273">
            <v>36325.449999999997</v>
          </cell>
        </row>
        <row r="1274">
          <cell r="A1274" t="str">
            <v>5.007.022.0022</v>
          </cell>
          <cell r="B1274" t="str">
            <v>Costo Trans Manual Crédito Pradera</v>
          </cell>
          <cell r="C1274">
            <v>4314.67</v>
          </cell>
          <cell r="D1274">
            <v>673.68</v>
          </cell>
          <cell r="F1274">
            <v>4988.3500000000004</v>
          </cell>
        </row>
        <row r="1275">
          <cell r="A1275" t="str">
            <v>5.007.022.0023</v>
          </cell>
          <cell r="B1275" t="str">
            <v>Costo Trans Autom Crédito Pradera</v>
          </cell>
          <cell r="C1275">
            <v>1579.45</v>
          </cell>
          <cell r="D1275">
            <v>930.88</v>
          </cell>
          <cell r="F1275">
            <v>2510.33</v>
          </cell>
        </row>
        <row r="1276">
          <cell r="A1276" t="str">
            <v>5.007.022.0024</v>
          </cell>
          <cell r="B1276" t="str">
            <v>Costo Caja de Transf Cred Torre</v>
          </cell>
          <cell r="C1276">
            <v>925.11</v>
          </cell>
          <cell r="D1276">
            <v>25.74</v>
          </cell>
          <cell r="F1276">
            <v>950.85</v>
          </cell>
        </row>
        <row r="1277">
          <cell r="A1277" t="str">
            <v>5.007.022.0025</v>
          </cell>
          <cell r="B1277" t="str">
            <v>Costo Eje Cardán Crédito Pradera</v>
          </cell>
          <cell r="C1277">
            <v>6.27</v>
          </cell>
          <cell r="F1277">
            <v>6.27</v>
          </cell>
        </row>
        <row r="1278">
          <cell r="A1278" t="str">
            <v>5.007.022.0026</v>
          </cell>
          <cell r="B1278" t="str">
            <v>Costo Eje Delant Crédito Pradera</v>
          </cell>
          <cell r="C1278">
            <v>33143.440000000002</v>
          </cell>
          <cell r="D1278">
            <v>2585.54</v>
          </cell>
          <cell r="F1278">
            <v>35728.980000000003</v>
          </cell>
        </row>
        <row r="1279">
          <cell r="A1279" t="str">
            <v>5.007.022.0027</v>
          </cell>
          <cell r="B1279" t="str">
            <v>Costo Eje Trasero Crédito Pradera</v>
          </cell>
          <cell r="C1279">
            <v>5166.82</v>
          </cell>
          <cell r="D1279">
            <v>364.77</v>
          </cell>
          <cell r="F1279">
            <v>5531.59</v>
          </cell>
        </row>
        <row r="1280">
          <cell r="A1280" t="str">
            <v>5.007.022.0031</v>
          </cell>
          <cell r="B1280" t="str">
            <v>Costo Aros y LLantas Cred Pradera</v>
          </cell>
          <cell r="C1280">
            <v>11010.48</v>
          </cell>
          <cell r="D1280">
            <v>1362.97</v>
          </cell>
          <cell r="F1280">
            <v>12373.45</v>
          </cell>
        </row>
        <row r="1281">
          <cell r="A1281" t="str">
            <v>5.007.022.0033</v>
          </cell>
          <cell r="B1281" t="str">
            <v>Costo Susp Delantera Cred Pradera</v>
          </cell>
          <cell r="C1281">
            <v>24167.79</v>
          </cell>
          <cell r="D1281">
            <v>996.97</v>
          </cell>
          <cell r="F1281">
            <v>25164.76</v>
          </cell>
        </row>
        <row r="1282">
          <cell r="A1282" t="str">
            <v>5.007.022.0034</v>
          </cell>
          <cell r="B1282" t="str">
            <v>Costo Susp Trasera Crédito Pradera</v>
          </cell>
          <cell r="C1282">
            <v>13342.49</v>
          </cell>
          <cell r="D1282">
            <v>794.22</v>
          </cell>
          <cell r="F1282">
            <v>14136.71</v>
          </cell>
        </row>
        <row r="1283">
          <cell r="A1283" t="str">
            <v>5.007.022.0035</v>
          </cell>
          <cell r="B1283" t="str">
            <v>Costo Frenos Crédito Pradera</v>
          </cell>
          <cell r="C1283">
            <v>104034.15</v>
          </cell>
          <cell r="D1283">
            <v>9860.1</v>
          </cell>
          <cell r="E1283">
            <v>572.37</v>
          </cell>
          <cell r="F1283">
            <v>113321.88</v>
          </cell>
        </row>
        <row r="1284">
          <cell r="A1284" t="str">
            <v>5.007.022.0037</v>
          </cell>
          <cell r="B1284" t="str">
            <v>Costo Dirección Crédito Pradera</v>
          </cell>
          <cell r="C1284">
            <v>38426.43</v>
          </cell>
          <cell r="D1284">
            <v>3293.63</v>
          </cell>
          <cell r="E1284">
            <v>172.23</v>
          </cell>
          <cell r="F1284">
            <v>41547.83</v>
          </cell>
        </row>
        <row r="1285">
          <cell r="A1285" t="str">
            <v>5.007.022.0042</v>
          </cell>
          <cell r="B1285" t="str">
            <v>Costo Carrocería Crédito Pradera</v>
          </cell>
          <cell r="C1285">
            <v>77671.19</v>
          </cell>
          <cell r="D1285">
            <v>15677.83</v>
          </cell>
          <cell r="E1285">
            <v>85.07</v>
          </cell>
          <cell r="F1285">
            <v>93263.95</v>
          </cell>
        </row>
        <row r="1286">
          <cell r="A1286" t="str">
            <v>5.007.022.0043</v>
          </cell>
          <cell r="B1286" t="str">
            <v>Costo Puertas Crédito Pradera</v>
          </cell>
          <cell r="C1286">
            <v>16465.27</v>
          </cell>
          <cell r="D1286">
            <v>3776.97</v>
          </cell>
          <cell r="F1286">
            <v>20242.240000000002</v>
          </cell>
        </row>
        <row r="1287">
          <cell r="A1287" t="str">
            <v>5.007.022.0051</v>
          </cell>
          <cell r="B1287" t="str">
            <v>Costo Exterior Crédito Pradera</v>
          </cell>
          <cell r="C1287">
            <v>7445.37</v>
          </cell>
          <cell r="D1287">
            <v>260</v>
          </cell>
          <cell r="F1287">
            <v>7705.37</v>
          </cell>
        </row>
        <row r="1288">
          <cell r="A1288" t="str">
            <v>5.007.022.0052</v>
          </cell>
          <cell r="B1288" t="str">
            <v>Costo Interior Crédito Pradera</v>
          </cell>
          <cell r="C1288">
            <v>1792.27</v>
          </cell>
          <cell r="D1288">
            <v>191.65</v>
          </cell>
          <cell r="F1288">
            <v>1983.92</v>
          </cell>
        </row>
        <row r="1289">
          <cell r="A1289" t="str">
            <v>5.007.022.0053</v>
          </cell>
          <cell r="B1289" t="str">
            <v>Costo Asientos Crédito Pradera</v>
          </cell>
          <cell r="C1289">
            <v>509.67</v>
          </cell>
          <cell r="D1289">
            <v>795.58</v>
          </cell>
          <cell r="F1289">
            <v>1305.25</v>
          </cell>
        </row>
        <row r="1290">
          <cell r="A1290" t="str">
            <v>5.007.022.0054</v>
          </cell>
          <cell r="B1290" t="str">
            <v>Costo Acces Eléctric Cred Pradera</v>
          </cell>
          <cell r="C1290">
            <v>60844.66</v>
          </cell>
          <cell r="D1290">
            <v>13547.8</v>
          </cell>
          <cell r="E1290">
            <v>2190.36</v>
          </cell>
          <cell r="F1290">
            <v>72202.100000000006</v>
          </cell>
        </row>
        <row r="1291">
          <cell r="A1291" t="str">
            <v>5.007.022.0055</v>
          </cell>
          <cell r="B1291" t="str">
            <v>Costo Calef/Vent Crédito Pradera</v>
          </cell>
          <cell r="C1291">
            <v>13210.56</v>
          </cell>
          <cell r="D1291">
            <v>7099.15</v>
          </cell>
          <cell r="E1291">
            <v>3285.8</v>
          </cell>
          <cell r="F1291">
            <v>17023.91</v>
          </cell>
        </row>
        <row r="1292">
          <cell r="A1292" t="str">
            <v>5.007.022.0091</v>
          </cell>
          <cell r="B1292" t="str">
            <v>Costo Herramientas Crédito Pradera</v>
          </cell>
          <cell r="C1292">
            <v>681.94</v>
          </cell>
          <cell r="F1292">
            <v>681.94</v>
          </cell>
        </row>
        <row r="1293">
          <cell r="A1293" t="str">
            <v>5.007.025.0900</v>
          </cell>
          <cell r="B1293" t="str">
            <v>Costo Accesorios Contado Pradera</v>
          </cell>
          <cell r="C1293">
            <v>6548.1</v>
          </cell>
          <cell r="D1293">
            <v>1177.6300000000001</v>
          </cell>
          <cell r="E1293">
            <v>40</v>
          </cell>
          <cell r="F1293">
            <v>7685.73</v>
          </cell>
        </row>
        <row r="1294">
          <cell r="A1294" t="str">
            <v>5.007.026.0900</v>
          </cell>
          <cell r="B1294" t="str">
            <v>Costo Accesorios Crédito Pradera</v>
          </cell>
          <cell r="C1294">
            <v>11370.92</v>
          </cell>
          <cell r="D1294">
            <v>1463.96</v>
          </cell>
          <cell r="F1294">
            <v>12834.88</v>
          </cell>
        </row>
        <row r="1295">
          <cell r="A1295" t="str">
            <v>5.007.029.0100</v>
          </cell>
          <cell r="B1295" t="str">
            <v>Ajustes de Inventario Pradera</v>
          </cell>
          <cell r="C1295">
            <v>1217.04</v>
          </cell>
          <cell r="D1295">
            <v>75.89</v>
          </cell>
          <cell r="E1295">
            <v>75.89</v>
          </cell>
          <cell r="F1295">
            <v>1217.04</v>
          </cell>
        </row>
        <row r="1296">
          <cell r="A1296" t="str">
            <v>5.008.001.1003</v>
          </cell>
          <cell r="B1296" t="str">
            <v>Costo Lancer 1300 Contado Flotas</v>
          </cell>
          <cell r="C1296">
            <v>141780.1</v>
          </cell>
          <cell r="F1296">
            <v>141780.1</v>
          </cell>
        </row>
        <row r="1297">
          <cell r="A1297" t="str">
            <v>5.008.001.1004</v>
          </cell>
          <cell r="B1297" t="str">
            <v>Costo Lancer 1600 Contado Flotas</v>
          </cell>
          <cell r="C1297">
            <v>590128.81999999995</v>
          </cell>
          <cell r="D1297">
            <v>165653.26</v>
          </cell>
          <cell r="E1297">
            <v>82826.63</v>
          </cell>
          <cell r="F1297">
            <v>672955.45</v>
          </cell>
        </row>
        <row r="1298">
          <cell r="A1298" t="str">
            <v>5.008.001.1008</v>
          </cell>
          <cell r="B1298" t="str">
            <v>Costo Pánel L-300 Contado Flotas</v>
          </cell>
          <cell r="C1298">
            <v>161986.21</v>
          </cell>
          <cell r="F1298">
            <v>161986.21</v>
          </cell>
        </row>
        <row r="1299">
          <cell r="A1299" t="str">
            <v>5.008.001.1009</v>
          </cell>
          <cell r="B1299" t="str">
            <v>Costo Pick-Ups Contado Flotas</v>
          </cell>
          <cell r="C1299">
            <v>638548.53</v>
          </cell>
          <cell r="D1299">
            <v>255432.4</v>
          </cell>
          <cell r="E1299">
            <v>127716.2</v>
          </cell>
          <cell r="F1299">
            <v>766264.73</v>
          </cell>
        </row>
        <row r="1300">
          <cell r="A1300" t="str">
            <v>5.008.001.1010</v>
          </cell>
          <cell r="B1300" t="str">
            <v>Costo Montero Contado Flotas</v>
          </cell>
          <cell r="C1300">
            <v>835221.88</v>
          </cell>
          <cell r="D1300">
            <v>316632.51</v>
          </cell>
          <cell r="F1300">
            <v>1151854.3899999999</v>
          </cell>
        </row>
        <row r="1301">
          <cell r="A1301" t="str">
            <v>5.008.001.1011</v>
          </cell>
          <cell r="B1301" t="str">
            <v>Costo Nativa Contado Flotas</v>
          </cell>
          <cell r="C1301">
            <v>138938.87</v>
          </cell>
          <cell r="F1301">
            <v>138938.87</v>
          </cell>
        </row>
        <row r="1302">
          <cell r="A1302" t="str">
            <v>5.008.001.1012</v>
          </cell>
          <cell r="B1302" t="str">
            <v>Costo Canter FE Contado Flotas</v>
          </cell>
          <cell r="C1302">
            <v>413393.75</v>
          </cell>
          <cell r="D1302">
            <v>106479.3</v>
          </cell>
          <cell r="F1302">
            <v>519873.05</v>
          </cell>
        </row>
        <row r="1303">
          <cell r="A1303" t="str">
            <v>5.008.002.1003</v>
          </cell>
          <cell r="B1303" t="str">
            <v>Costo Lancer 1300 Crédito Flotas</v>
          </cell>
          <cell r="C1303">
            <v>513987.74</v>
          </cell>
          <cell r="D1303">
            <v>73541.149999999994</v>
          </cell>
          <cell r="F1303">
            <v>587528.89</v>
          </cell>
        </row>
        <row r="1304">
          <cell r="A1304" t="str">
            <v>5.008.002.1004</v>
          </cell>
          <cell r="B1304" t="str">
            <v>Costo Lancer 1600 Crédito Flotas</v>
          </cell>
          <cell r="C1304">
            <v>88285.86</v>
          </cell>
          <cell r="F1304">
            <v>88285.86</v>
          </cell>
        </row>
        <row r="1305">
          <cell r="A1305" t="str">
            <v>5.008.002.1005</v>
          </cell>
          <cell r="B1305" t="str">
            <v>Costo Galant Crédito Flotas</v>
          </cell>
          <cell r="C1305">
            <v>120308.99</v>
          </cell>
          <cell r="F1305">
            <v>120308.99</v>
          </cell>
        </row>
        <row r="1306">
          <cell r="A1306" t="str">
            <v>5.008.002.1006</v>
          </cell>
          <cell r="B1306" t="str">
            <v>Costo Space Wagon Crédito Flotas</v>
          </cell>
          <cell r="C1306">
            <v>269789.68</v>
          </cell>
          <cell r="F1306">
            <v>269789.68</v>
          </cell>
        </row>
        <row r="1307">
          <cell r="A1307" t="str">
            <v>5.008.002.1007</v>
          </cell>
          <cell r="B1307" t="str">
            <v>Costo Microbús L-300 Crédito Flotas</v>
          </cell>
          <cell r="C1307">
            <v>1281464.1100000001</v>
          </cell>
          <cell r="D1307">
            <v>70304.59</v>
          </cell>
          <cell r="E1307">
            <v>70304.59</v>
          </cell>
          <cell r="F1307">
            <v>1281464.1100000001</v>
          </cell>
        </row>
        <row r="1308">
          <cell r="A1308" t="str">
            <v>5.008.002.1008</v>
          </cell>
          <cell r="B1308" t="str">
            <v>Costo Pánel L-300 Crédito Flotas</v>
          </cell>
          <cell r="C1308">
            <v>72745.100000000006</v>
          </cell>
          <cell r="F1308">
            <v>72745.100000000006</v>
          </cell>
        </row>
        <row r="1309">
          <cell r="A1309" t="str">
            <v>5.008.002.1009</v>
          </cell>
          <cell r="B1309" t="str">
            <v>Costo Pick-Ups Crédito Flotas</v>
          </cell>
          <cell r="C1309">
            <v>649114.17000000004</v>
          </cell>
          <cell r="D1309">
            <v>239065.14</v>
          </cell>
          <cell r="F1309">
            <v>888179.31</v>
          </cell>
        </row>
        <row r="1310">
          <cell r="A1310" t="str">
            <v>5.008.002.1010</v>
          </cell>
          <cell r="B1310" t="str">
            <v>Costo Montero Crédito Flotas</v>
          </cell>
          <cell r="C1310">
            <v>648438.91</v>
          </cell>
          <cell r="D1310">
            <v>311155.37</v>
          </cell>
          <cell r="E1310">
            <v>103576.25</v>
          </cell>
          <cell r="F1310">
            <v>856018.03</v>
          </cell>
        </row>
        <row r="1311">
          <cell r="A1311" t="str">
            <v>5.008.002.1011</v>
          </cell>
          <cell r="B1311" t="str">
            <v>Costo Nativa Crédito Flotas</v>
          </cell>
          <cell r="C1311">
            <v>615889.89</v>
          </cell>
          <cell r="F1311">
            <v>615889.89</v>
          </cell>
        </row>
        <row r="1312">
          <cell r="A1312" t="str">
            <v>5.008.002.1012</v>
          </cell>
          <cell r="B1312" t="str">
            <v>Costo Canter FE Crédito Flotas</v>
          </cell>
          <cell r="C1312">
            <v>470267.73</v>
          </cell>
          <cell r="F1312">
            <v>470267.73</v>
          </cell>
        </row>
        <row r="1313">
          <cell r="A1313" t="str">
            <v>6.001.201.4001</v>
          </cell>
          <cell r="B1313" t="str">
            <v>Comisiones de Vendedores</v>
          </cell>
          <cell r="C1313">
            <v>1397413.45</v>
          </cell>
          <cell r="D1313">
            <v>212100.82</v>
          </cell>
          <cell r="F1313">
            <v>1609514.27</v>
          </cell>
        </row>
        <row r="1314">
          <cell r="A1314" t="str">
            <v>6.001.201.4002</v>
          </cell>
          <cell r="B1314" t="str">
            <v>Comisiones Gerencia</v>
          </cell>
          <cell r="C1314">
            <v>364156.6</v>
          </cell>
          <cell r="D1314">
            <v>44677.86</v>
          </cell>
          <cell r="E1314">
            <v>39156.6</v>
          </cell>
          <cell r="F1314">
            <v>369677.86</v>
          </cell>
        </row>
        <row r="1315">
          <cell r="A1315" t="str">
            <v>6.001.201.4003</v>
          </cell>
          <cell r="B1315" t="str">
            <v>Cuota Patronal Igss-Irtra e Intecap</v>
          </cell>
          <cell r="C1315">
            <v>332651.31</v>
          </cell>
          <cell r="D1315">
            <v>37679.699999999997</v>
          </cell>
          <cell r="F1315">
            <v>370331.01</v>
          </cell>
        </row>
        <row r="1316">
          <cell r="A1316" t="str">
            <v>6.001.201.4004</v>
          </cell>
          <cell r="B1316" t="str">
            <v>Vacaciones</v>
          </cell>
          <cell r="C1316">
            <v>50872.68</v>
          </cell>
          <cell r="D1316">
            <v>1752</v>
          </cell>
          <cell r="F1316">
            <v>52624.68</v>
          </cell>
        </row>
        <row r="1317">
          <cell r="A1317" t="str">
            <v>6.001.201.4005</v>
          </cell>
          <cell r="B1317" t="str">
            <v>Aguinaldos</v>
          </cell>
          <cell r="C1317">
            <v>218791.07</v>
          </cell>
          <cell r="D1317">
            <v>24782.66</v>
          </cell>
          <cell r="F1317">
            <v>243573.73</v>
          </cell>
        </row>
        <row r="1318">
          <cell r="A1318" t="str">
            <v>6.001.201.4006</v>
          </cell>
          <cell r="B1318" t="str">
            <v>Indemnizaciones</v>
          </cell>
          <cell r="C1318">
            <v>218791.07</v>
          </cell>
          <cell r="D1318">
            <v>24782.66</v>
          </cell>
          <cell r="F1318">
            <v>243573.73</v>
          </cell>
        </row>
        <row r="1319">
          <cell r="A1319" t="str">
            <v>6.001.201.4007</v>
          </cell>
          <cell r="B1319" t="str">
            <v>Uniformes y Otros</v>
          </cell>
          <cell r="C1319">
            <v>11032.8</v>
          </cell>
          <cell r="D1319">
            <v>253.76</v>
          </cell>
          <cell r="F1319">
            <v>11286.56</v>
          </cell>
        </row>
        <row r="1320">
          <cell r="A1320" t="str">
            <v>6.001.201.4008</v>
          </cell>
          <cell r="B1320" t="str">
            <v>Sueldos</v>
          </cell>
          <cell r="C1320">
            <v>744593.86</v>
          </cell>
          <cell r="D1320">
            <v>71982.31</v>
          </cell>
          <cell r="F1320">
            <v>816576.17</v>
          </cell>
        </row>
        <row r="1321">
          <cell r="A1321" t="str">
            <v>6.001.201.4009</v>
          </cell>
          <cell r="B1321" t="str">
            <v>Bonificaciones</v>
          </cell>
          <cell r="C1321">
            <v>27160</v>
          </cell>
          <cell r="D1321">
            <v>3180</v>
          </cell>
          <cell r="F1321">
            <v>30340</v>
          </cell>
        </row>
        <row r="1322">
          <cell r="A1322" t="str">
            <v>6.001.201.4010</v>
          </cell>
          <cell r="B1322" t="str">
            <v>Bonificación 78-89</v>
          </cell>
          <cell r="C1322">
            <v>58508.32</v>
          </cell>
          <cell r="D1322">
            <v>6375</v>
          </cell>
          <cell r="F1322">
            <v>64883.32</v>
          </cell>
        </row>
        <row r="1323">
          <cell r="A1323" t="str">
            <v>6.001.201.4011</v>
          </cell>
          <cell r="B1323" t="str">
            <v>Bonificación Dto. 42-92</v>
          </cell>
          <cell r="C1323">
            <v>216310.89</v>
          </cell>
          <cell r="D1323">
            <v>24782.66</v>
          </cell>
          <cell r="F1323">
            <v>241093.55</v>
          </cell>
        </row>
        <row r="1324">
          <cell r="A1324" t="str">
            <v>6.001.201.4012</v>
          </cell>
          <cell r="B1324" t="str">
            <v>Tiempo Extra</v>
          </cell>
          <cell r="C1324">
            <v>17054.27</v>
          </cell>
          <cell r="D1324">
            <v>1627.94</v>
          </cell>
          <cell r="F1324">
            <v>18682.21</v>
          </cell>
        </row>
        <row r="1325">
          <cell r="A1325" t="str">
            <v>6.001.201.4013</v>
          </cell>
          <cell r="B1325" t="str">
            <v>Seminarios-Entrenamientos</v>
          </cell>
          <cell r="C1325">
            <v>39465.79</v>
          </cell>
          <cell r="D1325">
            <v>252.48</v>
          </cell>
          <cell r="F1325">
            <v>39718.269999999997</v>
          </cell>
        </row>
        <row r="1326">
          <cell r="A1326" t="str">
            <v>6.001.201.4050</v>
          </cell>
          <cell r="B1326" t="str">
            <v>Comisiones Vendedores Eventuales</v>
          </cell>
          <cell r="C1326">
            <v>41850.239999999998</v>
          </cell>
          <cell r="F1326">
            <v>41850.239999999998</v>
          </cell>
        </row>
        <row r="1327">
          <cell r="A1327" t="str">
            <v>6.001.201.4051</v>
          </cell>
          <cell r="B1327" t="str">
            <v>Comisiones de Distribuidores</v>
          </cell>
          <cell r="C1327">
            <v>1382623.72</v>
          </cell>
          <cell r="D1327">
            <v>133796.53</v>
          </cell>
          <cell r="F1327">
            <v>1516420.25</v>
          </cell>
        </row>
        <row r="1328">
          <cell r="A1328" t="str">
            <v>6.001.201.4052</v>
          </cell>
          <cell r="B1328" t="str">
            <v>Gastos de Entrega (Placas)</v>
          </cell>
          <cell r="C1328">
            <v>512479.83</v>
          </cell>
          <cell r="D1328">
            <v>28192.67</v>
          </cell>
          <cell r="F1328">
            <v>540672.5</v>
          </cell>
        </row>
        <row r="1329">
          <cell r="A1329" t="str">
            <v>6.001.201.4054</v>
          </cell>
          <cell r="B1329" t="str">
            <v>Acondicionamiento de Autos</v>
          </cell>
          <cell r="C1329">
            <v>144125.47</v>
          </cell>
          <cell r="D1329">
            <v>414496.03</v>
          </cell>
          <cell r="E1329">
            <v>103901.97</v>
          </cell>
          <cell r="F1329">
            <v>454719.53</v>
          </cell>
        </row>
        <row r="1330">
          <cell r="A1330" t="str">
            <v>6.001.201.4055</v>
          </cell>
          <cell r="B1330" t="str">
            <v>Fletes y Acarreos</v>
          </cell>
          <cell r="C1330">
            <v>18902.740000000002</v>
          </cell>
          <cell r="F1330">
            <v>18902.740000000002</v>
          </cell>
        </row>
        <row r="1331">
          <cell r="A1331" t="str">
            <v>6.001.201.4056</v>
          </cell>
          <cell r="B1331" t="str">
            <v>Combustibles Autos Nuevos</v>
          </cell>
          <cell r="C1331">
            <v>78824.61</v>
          </cell>
          <cell r="D1331">
            <v>6116.07</v>
          </cell>
          <cell r="F1331">
            <v>84940.68</v>
          </cell>
        </row>
        <row r="1332">
          <cell r="A1332" t="str">
            <v>6.001.201.4057</v>
          </cell>
          <cell r="B1332" t="str">
            <v>Servicios de Garantía</v>
          </cell>
          <cell r="C1332">
            <v>1084642.77</v>
          </cell>
          <cell r="D1332">
            <v>225556.35</v>
          </cell>
          <cell r="E1332">
            <v>81856.11</v>
          </cell>
          <cell r="F1332">
            <v>1228343.01</v>
          </cell>
        </row>
        <row r="1333">
          <cell r="A1333" t="str">
            <v>6.001.201.4060</v>
          </cell>
          <cell r="B1333" t="str">
            <v>Comisiones Carro Fácil, S.A.</v>
          </cell>
          <cell r="C1333">
            <v>703381.14</v>
          </cell>
          <cell r="D1333">
            <v>79339.08</v>
          </cell>
          <cell r="F1333">
            <v>782720.22</v>
          </cell>
        </row>
        <row r="1334">
          <cell r="A1334" t="str">
            <v>6.001.201.4061</v>
          </cell>
          <cell r="B1334" t="str">
            <v>Comisiones de Financieras</v>
          </cell>
          <cell r="C1334">
            <v>3217.2</v>
          </cell>
          <cell r="F1334">
            <v>3217.2</v>
          </cell>
        </row>
        <row r="1335">
          <cell r="A1335" t="str">
            <v>6.001.201.4072</v>
          </cell>
          <cell r="B1335" t="str">
            <v>Publicidad</v>
          </cell>
          <cell r="C1335">
            <v>3083395.96</v>
          </cell>
          <cell r="D1335">
            <v>192150.84</v>
          </cell>
          <cell r="F1335">
            <v>3275546.8</v>
          </cell>
        </row>
        <row r="1336">
          <cell r="A1336" t="str">
            <v>6.001.201.4073</v>
          </cell>
          <cell r="B1336" t="str">
            <v>Papelería y Utiles</v>
          </cell>
          <cell r="C1336">
            <v>24250.2</v>
          </cell>
          <cell r="D1336">
            <v>2499.9699999999998</v>
          </cell>
          <cell r="F1336">
            <v>26750.17</v>
          </cell>
        </row>
        <row r="1337">
          <cell r="A1337" t="str">
            <v>6.001.201.4074</v>
          </cell>
          <cell r="B1337" t="str">
            <v>Fotocopias</v>
          </cell>
          <cell r="C1337">
            <v>3707.25</v>
          </cell>
          <cell r="D1337">
            <v>2004.67</v>
          </cell>
          <cell r="F1337">
            <v>5711.92</v>
          </cell>
        </row>
        <row r="1338">
          <cell r="A1338" t="str">
            <v>6.001.201.4075</v>
          </cell>
          <cell r="B1338" t="str">
            <v>Viáticos</v>
          </cell>
          <cell r="C1338">
            <v>10634.47</v>
          </cell>
          <cell r="D1338">
            <v>607.54999999999995</v>
          </cell>
          <cell r="F1338">
            <v>11242.02</v>
          </cell>
        </row>
        <row r="1339">
          <cell r="A1339" t="str">
            <v>6.001.201.4076</v>
          </cell>
          <cell r="B1339" t="str">
            <v>Folletos y Catálogos</v>
          </cell>
          <cell r="C1339">
            <v>15869.02</v>
          </cell>
          <cell r="D1339">
            <v>89.74</v>
          </cell>
          <cell r="F1339">
            <v>15958.76</v>
          </cell>
        </row>
        <row r="1340">
          <cell r="A1340" t="str">
            <v>6.001.201.4077</v>
          </cell>
          <cell r="B1340" t="str">
            <v>Cuotas y Suscripciones</v>
          </cell>
          <cell r="C1340">
            <v>3814.44</v>
          </cell>
          <cell r="D1340">
            <v>6000</v>
          </cell>
          <cell r="F1340">
            <v>9814.44</v>
          </cell>
        </row>
        <row r="1341">
          <cell r="A1341" t="str">
            <v>6.001.201.4078</v>
          </cell>
          <cell r="B1341" t="str">
            <v>Teléfono-Télex-Fax</v>
          </cell>
          <cell r="C1341">
            <v>71401.23</v>
          </cell>
          <cell r="D1341">
            <v>8946.2800000000007</v>
          </cell>
          <cell r="F1341">
            <v>80347.509999999995</v>
          </cell>
        </row>
        <row r="1342">
          <cell r="A1342" t="str">
            <v>6.001.201.4079</v>
          </cell>
          <cell r="B1342" t="str">
            <v>Correos y Telégrafos</v>
          </cell>
          <cell r="C1342">
            <v>9458.9500000000007</v>
          </cell>
          <cell r="D1342">
            <v>6067.4</v>
          </cell>
          <cell r="F1342">
            <v>15526.35</v>
          </cell>
        </row>
        <row r="1343">
          <cell r="A1343" t="str">
            <v>6.001.201.4080</v>
          </cell>
          <cell r="B1343" t="str">
            <v>Agua</v>
          </cell>
          <cell r="C1343">
            <v>2938.42</v>
          </cell>
          <cell r="D1343">
            <v>184.27</v>
          </cell>
          <cell r="F1343">
            <v>3122.69</v>
          </cell>
        </row>
        <row r="1344">
          <cell r="A1344" t="str">
            <v>6.001.201.4081</v>
          </cell>
          <cell r="B1344" t="str">
            <v>Electricidad</v>
          </cell>
          <cell r="C1344">
            <v>6317.06</v>
          </cell>
          <cell r="D1344">
            <v>700</v>
          </cell>
          <cell r="F1344">
            <v>7017.06</v>
          </cell>
        </row>
        <row r="1345">
          <cell r="A1345" t="str">
            <v>6.001.201.4082</v>
          </cell>
          <cell r="B1345" t="str">
            <v>Alquileres de Inmuebles</v>
          </cell>
          <cell r="C1345">
            <v>94762.6</v>
          </cell>
          <cell r="D1345">
            <v>11698.5</v>
          </cell>
          <cell r="F1345">
            <v>106461.1</v>
          </cell>
        </row>
        <row r="1346">
          <cell r="A1346" t="str">
            <v>6.001.201.4084</v>
          </cell>
          <cell r="B1346" t="str">
            <v>Gastos de Viaje</v>
          </cell>
          <cell r="C1346">
            <v>4538.43</v>
          </cell>
          <cell r="F1346">
            <v>4538.43</v>
          </cell>
        </row>
        <row r="1347">
          <cell r="A1347" t="str">
            <v>6.001.201.4085</v>
          </cell>
          <cell r="B1347" t="str">
            <v>Gastos de Representación</v>
          </cell>
          <cell r="C1347">
            <v>18110.29</v>
          </cell>
          <cell r="F1347">
            <v>18110.29</v>
          </cell>
        </row>
        <row r="1348">
          <cell r="A1348" t="str">
            <v>6.001.201.4091</v>
          </cell>
          <cell r="B1348" t="str">
            <v>Impuestos y Contribuciones</v>
          </cell>
          <cell r="C1348">
            <v>-44279.01</v>
          </cell>
          <cell r="D1348">
            <v>16823.7</v>
          </cell>
          <cell r="F1348">
            <v>-27455.31</v>
          </cell>
        </row>
        <row r="1349">
          <cell r="A1349" t="str">
            <v>6.001.201.4092</v>
          </cell>
          <cell r="B1349" t="str">
            <v>Gastos Misceláneos</v>
          </cell>
          <cell r="C1349">
            <v>114802.52</v>
          </cell>
          <cell r="D1349">
            <v>14328.45</v>
          </cell>
          <cell r="E1349">
            <v>4022.65</v>
          </cell>
          <cell r="F1349">
            <v>125108.32</v>
          </cell>
        </row>
        <row r="1350">
          <cell r="A1350" t="str">
            <v>6.001.201.4093</v>
          </cell>
          <cell r="B1350" t="str">
            <v>Mantenimiento de Edificios Propios</v>
          </cell>
          <cell r="C1350">
            <v>75255.91</v>
          </cell>
          <cell r="D1350">
            <v>17834.439999999999</v>
          </cell>
          <cell r="F1350">
            <v>93090.35</v>
          </cell>
        </row>
        <row r="1351">
          <cell r="A1351" t="str">
            <v>6.001.201.4094</v>
          </cell>
          <cell r="B1351" t="str">
            <v>Mantenimiento de Edificios Ajenos</v>
          </cell>
          <cell r="C1351">
            <v>566.88</v>
          </cell>
          <cell r="F1351">
            <v>566.88</v>
          </cell>
        </row>
        <row r="1352">
          <cell r="A1352" t="str">
            <v>6.001.201.4095</v>
          </cell>
          <cell r="B1352" t="str">
            <v>Mantenimiento de Equipo Oficina</v>
          </cell>
          <cell r="C1352">
            <v>15159.4</v>
          </cell>
          <cell r="D1352">
            <v>3017.29</v>
          </cell>
          <cell r="F1352">
            <v>18176.689999999999</v>
          </cell>
        </row>
        <row r="1353">
          <cell r="A1353" t="str">
            <v>6.001.201.4096</v>
          </cell>
          <cell r="B1353" t="str">
            <v>Mantenimiento de Maquinaria</v>
          </cell>
          <cell r="C1353">
            <v>367.99</v>
          </cell>
          <cell r="F1353">
            <v>367.99</v>
          </cell>
        </row>
        <row r="1354">
          <cell r="A1354" t="str">
            <v>6.001.201.4097</v>
          </cell>
          <cell r="B1354" t="str">
            <v>Mantenimiento de Equipo Cómputos</v>
          </cell>
          <cell r="C1354">
            <v>5664.77</v>
          </cell>
          <cell r="D1354">
            <v>200.89</v>
          </cell>
          <cell r="F1354">
            <v>5865.66</v>
          </cell>
        </row>
        <row r="1355">
          <cell r="A1355" t="str">
            <v>6.001.201.4098</v>
          </cell>
          <cell r="B1355" t="str">
            <v>Mantenimiento de Vehículos</v>
          </cell>
          <cell r="C1355">
            <v>8059.88</v>
          </cell>
          <cell r="F1355">
            <v>8059.88</v>
          </cell>
        </row>
        <row r="1356">
          <cell r="A1356" t="str">
            <v>6.001.201.4100</v>
          </cell>
          <cell r="B1356" t="str">
            <v>Seguridad y Vigilancia</v>
          </cell>
          <cell r="C1356">
            <v>95605.31</v>
          </cell>
          <cell r="D1356">
            <v>13116.07</v>
          </cell>
          <cell r="F1356">
            <v>108721.38</v>
          </cell>
        </row>
        <row r="1357">
          <cell r="A1357" t="str">
            <v>6.001.201.4101</v>
          </cell>
          <cell r="B1357" t="str">
            <v>Honorarios</v>
          </cell>
          <cell r="C1357">
            <v>1921328.22</v>
          </cell>
          <cell r="D1357">
            <v>900</v>
          </cell>
          <cell r="E1357">
            <v>1900000</v>
          </cell>
          <cell r="F1357">
            <v>22228.22</v>
          </cell>
        </row>
        <row r="1358">
          <cell r="A1358" t="str">
            <v>6.001.201.4104</v>
          </cell>
          <cell r="B1358" t="str">
            <v>Gastos de Limpieza y Cafeteria</v>
          </cell>
          <cell r="C1358">
            <v>6013.7</v>
          </cell>
          <cell r="D1358">
            <v>2935.27</v>
          </cell>
          <cell r="F1358">
            <v>8948.9699999999993</v>
          </cell>
        </row>
        <row r="1359">
          <cell r="A1359" t="str">
            <v>6.001.201.4105</v>
          </cell>
          <cell r="B1359" t="str">
            <v>Honorarios Mercadeo</v>
          </cell>
          <cell r="C1359">
            <v>0</v>
          </cell>
          <cell r="D1359">
            <v>3800000</v>
          </cell>
          <cell r="F1359">
            <v>3800000</v>
          </cell>
        </row>
        <row r="1360">
          <cell r="A1360" t="str">
            <v>6.001.201.4123</v>
          </cell>
          <cell r="B1360" t="str">
            <v>Renta de Mob. y Equipo</v>
          </cell>
          <cell r="C1360">
            <v>20087.5</v>
          </cell>
          <cell r="F1360">
            <v>20087.5</v>
          </cell>
        </row>
        <row r="1361">
          <cell r="A1361" t="str">
            <v>6.001.201.4124</v>
          </cell>
          <cell r="B1361" t="str">
            <v>Renta de Vehiculos</v>
          </cell>
          <cell r="C1361">
            <v>44927</v>
          </cell>
          <cell r="D1361">
            <v>3676.45</v>
          </cell>
          <cell r="F1361">
            <v>48603.45</v>
          </cell>
        </row>
        <row r="1362">
          <cell r="A1362" t="str">
            <v>6.001.201.4127</v>
          </cell>
          <cell r="B1362" t="str">
            <v>Depreciación Mobiliario y Equipo</v>
          </cell>
          <cell r="C1362">
            <v>40032.5</v>
          </cell>
          <cell r="D1362">
            <v>5480.47</v>
          </cell>
          <cell r="F1362">
            <v>45512.97</v>
          </cell>
        </row>
        <row r="1363">
          <cell r="A1363" t="str">
            <v>6.001.201.4128</v>
          </cell>
          <cell r="B1363" t="str">
            <v>Depreciación Maquinaria y Equipo</v>
          </cell>
          <cell r="C1363">
            <v>9318.7999999999993</v>
          </cell>
          <cell r="D1363">
            <v>1164.8499999999999</v>
          </cell>
          <cell r="F1363">
            <v>10483.65</v>
          </cell>
        </row>
        <row r="1364">
          <cell r="A1364" t="str">
            <v>6.001.201.4129</v>
          </cell>
          <cell r="B1364" t="str">
            <v>Depreciación Herramientas</v>
          </cell>
          <cell r="C1364">
            <v>295.44</v>
          </cell>
          <cell r="D1364">
            <v>36.93</v>
          </cell>
          <cell r="F1364">
            <v>332.37</v>
          </cell>
        </row>
        <row r="1365">
          <cell r="A1365" t="str">
            <v>6.001.201.4130</v>
          </cell>
          <cell r="B1365" t="str">
            <v>Depreciación Vehículos</v>
          </cell>
          <cell r="C1365">
            <v>14508.56</v>
          </cell>
          <cell r="D1365">
            <v>1813.57</v>
          </cell>
          <cell r="F1365">
            <v>16322.13</v>
          </cell>
        </row>
        <row r="1366">
          <cell r="A1366" t="str">
            <v>6.001.201.4132</v>
          </cell>
          <cell r="B1366" t="str">
            <v>Depreciac.Mejoras Edif.Aguilar B.</v>
          </cell>
          <cell r="C1366">
            <v>7901.84</v>
          </cell>
          <cell r="D1366">
            <v>987.73</v>
          </cell>
          <cell r="F1366">
            <v>8889.57</v>
          </cell>
        </row>
        <row r="1367">
          <cell r="A1367" t="str">
            <v>6.001.201.4133</v>
          </cell>
          <cell r="B1367" t="str">
            <v>Depreciac.Mejoras Edif.26 Calle</v>
          </cell>
          <cell r="C1367">
            <v>6573.28</v>
          </cell>
          <cell r="D1367">
            <v>821.66</v>
          </cell>
          <cell r="F1367">
            <v>7394.94</v>
          </cell>
        </row>
        <row r="1368">
          <cell r="A1368" t="str">
            <v>6.001.202.4001</v>
          </cell>
          <cell r="B1368" t="str">
            <v>Comisiones de Vendedores</v>
          </cell>
          <cell r="C1368">
            <v>244958.45</v>
          </cell>
          <cell r="D1368">
            <v>32005.95</v>
          </cell>
          <cell r="F1368">
            <v>276964.40000000002</v>
          </cell>
        </row>
        <row r="1369">
          <cell r="A1369" t="str">
            <v>6.001.202.4002</v>
          </cell>
          <cell r="B1369" t="str">
            <v>Comisiones Gerencia</v>
          </cell>
          <cell r="C1369">
            <v>349200</v>
          </cell>
          <cell r="D1369">
            <v>116000</v>
          </cell>
          <cell r="E1369">
            <v>64400</v>
          </cell>
          <cell r="F1369">
            <v>400800</v>
          </cell>
        </row>
        <row r="1370">
          <cell r="A1370" t="str">
            <v>6.001.202.4003</v>
          </cell>
          <cell r="B1370" t="str">
            <v>Cuota Patronal Igss-Irtra e Intecap</v>
          </cell>
          <cell r="C1370">
            <v>125065.1</v>
          </cell>
          <cell r="D1370">
            <v>16340.04</v>
          </cell>
          <cell r="F1370">
            <v>141405.14000000001</v>
          </cell>
        </row>
        <row r="1371">
          <cell r="A1371" t="str">
            <v>6.001.202.4004</v>
          </cell>
          <cell r="B1371" t="str">
            <v>Vacaciones</v>
          </cell>
          <cell r="C1371">
            <v>26566.95</v>
          </cell>
          <cell r="F1371">
            <v>26566.95</v>
          </cell>
        </row>
        <row r="1372">
          <cell r="A1372" t="str">
            <v>6.001.202.4005</v>
          </cell>
          <cell r="B1372" t="str">
            <v>Aguinaldos</v>
          </cell>
          <cell r="C1372">
            <v>82257.679999999993</v>
          </cell>
          <cell r="D1372">
            <v>10747.15</v>
          </cell>
          <cell r="F1372">
            <v>93004.83</v>
          </cell>
        </row>
        <row r="1373">
          <cell r="A1373" t="str">
            <v>6.001.202.4006</v>
          </cell>
          <cell r="B1373" t="str">
            <v>Indemnizaciones</v>
          </cell>
          <cell r="C1373">
            <v>82257.679999999993</v>
          </cell>
          <cell r="D1373">
            <v>10747.15</v>
          </cell>
          <cell r="F1373">
            <v>93004.83</v>
          </cell>
        </row>
        <row r="1374">
          <cell r="A1374" t="str">
            <v>6.001.202.4007</v>
          </cell>
          <cell r="B1374" t="str">
            <v>Uniformes y Otros</v>
          </cell>
          <cell r="C1374">
            <v>475.55</v>
          </cell>
          <cell r="D1374">
            <v>487.5</v>
          </cell>
          <cell r="F1374">
            <v>963.05</v>
          </cell>
        </row>
        <row r="1375">
          <cell r="A1375" t="str">
            <v>6.001.202.4008</v>
          </cell>
          <cell r="B1375" t="str">
            <v>Sueldos</v>
          </cell>
          <cell r="C1375">
            <v>381920.88</v>
          </cell>
          <cell r="D1375">
            <v>50561.49</v>
          </cell>
          <cell r="F1375">
            <v>432482.37</v>
          </cell>
        </row>
        <row r="1376">
          <cell r="A1376" t="str">
            <v>6.001.202.4010</v>
          </cell>
          <cell r="B1376" t="str">
            <v>Bonificación 78-89</v>
          </cell>
          <cell r="C1376">
            <v>47016.69</v>
          </cell>
          <cell r="D1376">
            <v>6200</v>
          </cell>
          <cell r="F1376">
            <v>53216.69</v>
          </cell>
        </row>
        <row r="1377">
          <cell r="A1377" t="str">
            <v>6.001.202.4011</v>
          </cell>
          <cell r="B1377" t="str">
            <v>Bonificación Dto. 42-92</v>
          </cell>
          <cell r="C1377">
            <v>82257.679999999993</v>
          </cell>
          <cell r="D1377">
            <v>10747.15</v>
          </cell>
          <cell r="F1377">
            <v>93004.83</v>
          </cell>
        </row>
        <row r="1378">
          <cell r="A1378" t="str">
            <v>6.001.202.4012</v>
          </cell>
          <cell r="B1378" t="str">
            <v>Tiempo Extra</v>
          </cell>
          <cell r="C1378">
            <v>3168.78</v>
          </cell>
          <cell r="D1378">
            <v>901.18</v>
          </cell>
          <cell r="F1378">
            <v>4069.96</v>
          </cell>
        </row>
        <row r="1379">
          <cell r="A1379" t="str">
            <v>6.001.202.4013</v>
          </cell>
          <cell r="B1379" t="str">
            <v>Seminarios-Entrenamientos</v>
          </cell>
          <cell r="C1379">
            <v>1250</v>
          </cell>
          <cell r="F1379">
            <v>1250</v>
          </cell>
        </row>
        <row r="1380">
          <cell r="A1380" t="str">
            <v>6.001.202.4055</v>
          </cell>
          <cell r="B1380" t="str">
            <v>Fletes y Acarreos</v>
          </cell>
          <cell r="C1380">
            <v>21474.95</v>
          </cell>
          <cell r="D1380">
            <v>1982.05</v>
          </cell>
          <cell r="F1380">
            <v>23457</v>
          </cell>
        </row>
        <row r="1381">
          <cell r="A1381" t="str">
            <v>6.001.202.4072</v>
          </cell>
          <cell r="B1381" t="str">
            <v>Publicidad</v>
          </cell>
          <cell r="C1381">
            <v>47109.19</v>
          </cell>
          <cell r="D1381">
            <v>3641.81</v>
          </cell>
          <cell r="F1381">
            <v>50751</v>
          </cell>
        </row>
        <row r="1382">
          <cell r="A1382" t="str">
            <v>6.001.202.4073</v>
          </cell>
          <cell r="B1382" t="str">
            <v>Papelería y Utiles</v>
          </cell>
          <cell r="C1382">
            <v>55756.98</v>
          </cell>
          <cell r="D1382">
            <v>1268.18</v>
          </cell>
          <cell r="F1382">
            <v>57025.16</v>
          </cell>
        </row>
        <row r="1383">
          <cell r="A1383" t="str">
            <v>6.001.202.4076</v>
          </cell>
          <cell r="B1383" t="str">
            <v>Folletos y Catálogos</v>
          </cell>
          <cell r="C1383">
            <v>49992.85</v>
          </cell>
          <cell r="D1383">
            <v>380</v>
          </cell>
          <cell r="F1383">
            <v>50372.85</v>
          </cell>
        </row>
        <row r="1384">
          <cell r="A1384" t="str">
            <v>6.001.202.4077</v>
          </cell>
          <cell r="B1384" t="str">
            <v>Cuotas y Suscripciones</v>
          </cell>
          <cell r="C1384">
            <v>71.430000000000007</v>
          </cell>
          <cell r="F1384">
            <v>71.430000000000007</v>
          </cell>
        </row>
        <row r="1385">
          <cell r="A1385" t="str">
            <v>6.001.202.4078</v>
          </cell>
          <cell r="B1385" t="str">
            <v>Teléfono-Télex-Fax</v>
          </cell>
          <cell r="C1385">
            <v>47558</v>
          </cell>
          <cell r="D1385">
            <v>5860.79</v>
          </cell>
          <cell r="F1385">
            <v>53418.79</v>
          </cell>
        </row>
        <row r="1386">
          <cell r="A1386" t="str">
            <v>6.001.202.4079</v>
          </cell>
          <cell r="B1386" t="str">
            <v>Correos y Telégrafos</v>
          </cell>
          <cell r="C1386">
            <v>1129.17</v>
          </cell>
          <cell r="F1386">
            <v>1129.17</v>
          </cell>
        </row>
        <row r="1387">
          <cell r="A1387" t="str">
            <v>6.001.202.4080</v>
          </cell>
          <cell r="B1387" t="str">
            <v>Agua</v>
          </cell>
          <cell r="C1387">
            <v>2593.81</v>
          </cell>
          <cell r="D1387">
            <v>184.27</v>
          </cell>
          <cell r="F1387">
            <v>2778.08</v>
          </cell>
        </row>
        <row r="1388">
          <cell r="A1388" t="str">
            <v>6.001.202.4081</v>
          </cell>
          <cell r="B1388" t="str">
            <v>Electricidad</v>
          </cell>
          <cell r="C1388">
            <v>101492.64</v>
          </cell>
          <cell r="D1388">
            <v>15959.62</v>
          </cell>
          <cell r="F1388">
            <v>117452.26</v>
          </cell>
        </row>
        <row r="1389">
          <cell r="A1389" t="str">
            <v>6.001.202.4091</v>
          </cell>
          <cell r="B1389" t="str">
            <v>Impuestos y Contribuciones</v>
          </cell>
          <cell r="C1389">
            <v>3324.6</v>
          </cell>
          <cell r="D1389">
            <v>25</v>
          </cell>
          <cell r="F1389">
            <v>3349.6</v>
          </cell>
        </row>
        <row r="1390">
          <cell r="A1390" t="str">
            <v>6.001.202.4092</v>
          </cell>
          <cell r="B1390" t="str">
            <v>Gastos Misceláneos</v>
          </cell>
          <cell r="C1390">
            <v>29507.91</v>
          </cell>
          <cell r="D1390">
            <v>3475.89</v>
          </cell>
          <cell r="F1390">
            <v>32983.800000000003</v>
          </cell>
        </row>
        <row r="1391">
          <cell r="A1391" t="str">
            <v>6.001.202.4093</v>
          </cell>
          <cell r="B1391" t="str">
            <v>Mantenimiento de Edificios Propios</v>
          </cell>
          <cell r="C1391">
            <v>43248.14</v>
          </cell>
          <cell r="D1391">
            <v>7855.31</v>
          </cell>
          <cell r="F1391">
            <v>51103.45</v>
          </cell>
        </row>
        <row r="1392">
          <cell r="A1392" t="str">
            <v>6.001.202.4094</v>
          </cell>
          <cell r="B1392" t="str">
            <v>Mantenimiento de Edificios Ajenos</v>
          </cell>
          <cell r="C1392">
            <v>79.569999999999993</v>
          </cell>
          <cell r="F1392">
            <v>79.569999999999993</v>
          </cell>
        </row>
        <row r="1393">
          <cell r="A1393" t="str">
            <v>6.001.202.4095</v>
          </cell>
          <cell r="B1393" t="str">
            <v>Mantenimiento de Equipo Oficina</v>
          </cell>
          <cell r="C1393">
            <v>6057.6</v>
          </cell>
          <cell r="D1393">
            <v>2225.13</v>
          </cell>
          <cell r="F1393">
            <v>8282.73</v>
          </cell>
        </row>
        <row r="1394">
          <cell r="A1394" t="str">
            <v>6.001.202.4097</v>
          </cell>
          <cell r="B1394" t="str">
            <v>Mantenimiento de Equipo Cómputos</v>
          </cell>
          <cell r="C1394">
            <v>1750.49</v>
          </cell>
          <cell r="F1394">
            <v>1750.49</v>
          </cell>
        </row>
        <row r="1395">
          <cell r="A1395" t="str">
            <v>6.001.202.4098</v>
          </cell>
          <cell r="B1395" t="str">
            <v>Mantenimiento de Vehículos</v>
          </cell>
          <cell r="C1395">
            <v>27840.22</v>
          </cell>
          <cell r="D1395">
            <v>11962.27</v>
          </cell>
          <cell r="F1395">
            <v>39802.49</v>
          </cell>
        </row>
        <row r="1396">
          <cell r="A1396" t="str">
            <v>6.001.202.4100</v>
          </cell>
          <cell r="B1396" t="str">
            <v>Seguridad y Vigilancia</v>
          </cell>
          <cell r="C1396">
            <v>51342.12</v>
          </cell>
          <cell r="D1396">
            <v>6562.5</v>
          </cell>
          <cell r="F1396">
            <v>57904.62</v>
          </cell>
        </row>
        <row r="1397">
          <cell r="A1397" t="str">
            <v>6.001.202.4101</v>
          </cell>
          <cell r="B1397" t="str">
            <v>Honorarios</v>
          </cell>
          <cell r="C1397">
            <v>0</v>
          </cell>
          <cell r="D1397">
            <v>580.36</v>
          </cell>
          <cell r="F1397">
            <v>580.36</v>
          </cell>
        </row>
        <row r="1398">
          <cell r="A1398" t="str">
            <v>6.001.202.4104</v>
          </cell>
          <cell r="B1398" t="str">
            <v>Gastos de Limpieza y Cafeteria</v>
          </cell>
          <cell r="C1398">
            <v>4211.33</v>
          </cell>
          <cell r="D1398">
            <v>1776.15</v>
          </cell>
          <cell r="F1398">
            <v>5987.48</v>
          </cell>
        </row>
        <row r="1399">
          <cell r="A1399" t="str">
            <v>6.001.202.4123</v>
          </cell>
          <cell r="B1399" t="str">
            <v>Renta de Mob. y Equipo</v>
          </cell>
          <cell r="C1399">
            <v>11041.61</v>
          </cell>
          <cell r="F1399">
            <v>11041.61</v>
          </cell>
        </row>
        <row r="1400">
          <cell r="A1400" t="str">
            <v>6.001.202.4124</v>
          </cell>
          <cell r="B1400" t="str">
            <v>Renta de Vehiculos</v>
          </cell>
          <cell r="C1400">
            <v>23437.040000000001</v>
          </cell>
          <cell r="D1400">
            <v>2929.63</v>
          </cell>
          <cell r="F1400">
            <v>26366.67</v>
          </cell>
        </row>
        <row r="1401">
          <cell r="A1401" t="str">
            <v>6.001.202.4127</v>
          </cell>
          <cell r="B1401" t="str">
            <v>Depreciación Mobiliario y Equipo</v>
          </cell>
          <cell r="C1401">
            <v>14769.75</v>
          </cell>
          <cell r="D1401">
            <v>1875.15</v>
          </cell>
          <cell r="F1401">
            <v>16644.900000000001</v>
          </cell>
        </row>
        <row r="1402">
          <cell r="A1402" t="str">
            <v>6.001.202.4128</v>
          </cell>
          <cell r="B1402" t="str">
            <v>Depreciación Maquinaria y Equipo</v>
          </cell>
          <cell r="C1402">
            <v>350.56</v>
          </cell>
          <cell r="D1402">
            <v>43.82</v>
          </cell>
          <cell r="F1402">
            <v>394.38</v>
          </cell>
        </row>
        <row r="1403">
          <cell r="A1403" t="str">
            <v>6.001.202.4130</v>
          </cell>
          <cell r="B1403" t="str">
            <v>Depreciación Vehículos</v>
          </cell>
          <cell r="C1403">
            <v>40313.410000000003</v>
          </cell>
          <cell r="D1403">
            <v>5076.3599999999997</v>
          </cell>
          <cell r="F1403">
            <v>45389.77</v>
          </cell>
        </row>
        <row r="1404">
          <cell r="A1404" t="str">
            <v>6.001.202.4132</v>
          </cell>
          <cell r="B1404" t="str">
            <v>Depreciac.Mejoras Edif.Aguilar B.</v>
          </cell>
          <cell r="C1404">
            <v>7901.76</v>
          </cell>
          <cell r="D1404">
            <v>987.72</v>
          </cell>
          <cell r="F1404">
            <v>8889.48</v>
          </cell>
        </row>
        <row r="1405">
          <cell r="A1405" t="str">
            <v>6.001.203.4003</v>
          </cell>
          <cell r="B1405" t="str">
            <v>Cuota Patronal Igss-Irtra e Intecap</v>
          </cell>
          <cell r="C1405">
            <v>15572.99</v>
          </cell>
          <cell r="D1405">
            <v>2557.88</v>
          </cell>
          <cell r="F1405">
            <v>18130.87</v>
          </cell>
        </row>
        <row r="1406">
          <cell r="A1406" t="str">
            <v>6.001.203.4005</v>
          </cell>
          <cell r="B1406" t="str">
            <v>Aguinaldos</v>
          </cell>
          <cell r="C1406">
            <v>10242.64</v>
          </cell>
          <cell r="D1406">
            <v>1682.37</v>
          </cell>
          <cell r="F1406">
            <v>11925.01</v>
          </cell>
        </row>
        <row r="1407">
          <cell r="A1407" t="str">
            <v>6.001.203.4006</v>
          </cell>
          <cell r="B1407" t="str">
            <v>Indemnizaciones</v>
          </cell>
          <cell r="C1407">
            <v>10242.64</v>
          </cell>
          <cell r="D1407">
            <v>1682.37</v>
          </cell>
          <cell r="F1407">
            <v>11925.01</v>
          </cell>
        </row>
        <row r="1408">
          <cell r="A1408" t="str">
            <v>6.001.203.4008</v>
          </cell>
          <cell r="B1408" t="str">
            <v>Sueldos</v>
          </cell>
          <cell r="C1408">
            <v>111240.14</v>
          </cell>
          <cell r="D1408">
            <v>18221.55</v>
          </cell>
          <cell r="F1408">
            <v>129461.69</v>
          </cell>
        </row>
        <row r="1409">
          <cell r="A1409" t="str">
            <v>6.001.203.4009</v>
          </cell>
          <cell r="B1409" t="str">
            <v>Bonificaciones</v>
          </cell>
          <cell r="C1409">
            <v>0</v>
          </cell>
          <cell r="D1409">
            <v>333</v>
          </cell>
          <cell r="F1409">
            <v>333</v>
          </cell>
        </row>
        <row r="1410">
          <cell r="A1410" t="str">
            <v>6.001.203.4010</v>
          </cell>
          <cell r="B1410" t="str">
            <v>Bonificación 78-89</v>
          </cell>
          <cell r="C1410">
            <v>6866.67</v>
          </cell>
          <cell r="D1410">
            <v>1000</v>
          </cell>
          <cell r="F1410">
            <v>7866.67</v>
          </cell>
        </row>
        <row r="1411">
          <cell r="A1411" t="str">
            <v>6.001.203.4011</v>
          </cell>
          <cell r="B1411" t="str">
            <v>Bonificación Dto. 42-92</v>
          </cell>
          <cell r="C1411">
            <v>10242.64</v>
          </cell>
          <cell r="D1411">
            <v>1682.37</v>
          </cell>
          <cell r="F1411">
            <v>11925.01</v>
          </cell>
        </row>
        <row r="1412">
          <cell r="A1412" t="str">
            <v>6.001.203.4012</v>
          </cell>
          <cell r="B1412" t="str">
            <v>Tiempo Extra</v>
          </cell>
          <cell r="C1412">
            <v>11321.09</v>
          </cell>
          <cell r="D1412">
            <v>1633.95</v>
          </cell>
          <cell r="F1412">
            <v>12955.04</v>
          </cell>
        </row>
        <row r="1413">
          <cell r="A1413" t="str">
            <v>6.001.203.4073</v>
          </cell>
          <cell r="B1413" t="str">
            <v>Papelería y Utiles</v>
          </cell>
          <cell r="C1413">
            <v>3278.74</v>
          </cell>
          <cell r="D1413">
            <v>727.4</v>
          </cell>
          <cell r="F1413">
            <v>4006.14</v>
          </cell>
        </row>
        <row r="1414">
          <cell r="A1414" t="str">
            <v>6.001.203.4074</v>
          </cell>
          <cell r="B1414" t="str">
            <v>Fotocopias</v>
          </cell>
          <cell r="C1414">
            <v>893.33</v>
          </cell>
          <cell r="D1414">
            <v>1528.98</v>
          </cell>
          <cell r="F1414">
            <v>2422.31</v>
          </cell>
        </row>
        <row r="1415">
          <cell r="A1415" t="str">
            <v>6.001.203.4078</v>
          </cell>
          <cell r="B1415" t="str">
            <v>Teléfono-Télex-Fax</v>
          </cell>
          <cell r="C1415">
            <v>14312.75</v>
          </cell>
          <cell r="D1415">
            <v>2356.91</v>
          </cell>
          <cell r="F1415">
            <v>16669.66</v>
          </cell>
        </row>
        <row r="1416">
          <cell r="A1416" t="str">
            <v>6.001.203.4080</v>
          </cell>
          <cell r="B1416" t="str">
            <v>Agua</v>
          </cell>
          <cell r="C1416">
            <v>3515.31</v>
          </cell>
          <cell r="D1416">
            <v>36.950000000000003</v>
          </cell>
          <cell r="F1416">
            <v>3552.26</v>
          </cell>
        </row>
        <row r="1417">
          <cell r="A1417" t="str">
            <v>6.001.203.4081</v>
          </cell>
          <cell r="B1417" t="str">
            <v>Electricidad</v>
          </cell>
          <cell r="C1417">
            <v>58.93</v>
          </cell>
          <cell r="F1417">
            <v>58.93</v>
          </cell>
        </row>
        <row r="1418">
          <cell r="A1418" t="str">
            <v>6.001.203.4092</v>
          </cell>
          <cell r="B1418" t="str">
            <v>Gastos Misceláneos</v>
          </cell>
          <cell r="C1418">
            <v>3629</v>
          </cell>
          <cell r="F1418">
            <v>3629</v>
          </cell>
        </row>
        <row r="1419">
          <cell r="A1419" t="str">
            <v>6.001.203.4095</v>
          </cell>
          <cell r="B1419" t="str">
            <v>Mantenimiento de Equipo Oficina</v>
          </cell>
          <cell r="C1419">
            <v>309.45999999999998</v>
          </cell>
          <cell r="D1419">
            <v>432.13</v>
          </cell>
          <cell r="F1419">
            <v>741.59</v>
          </cell>
        </row>
        <row r="1420">
          <cell r="A1420" t="str">
            <v>6.001.203.4098</v>
          </cell>
          <cell r="B1420" t="str">
            <v>Mantenimiento de Vehículos</v>
          </cell>
          <cell r="C1420">
            <v>1344.05</v>
          </cell>
          <cell r="D1420">
            <v>1066.98</v>
          </cell>
          <cell r="F1420">
            <v>2411.0300000000002</v>
          </cell>
        </row>
        <row r="1421">
          <cell r="A1421" t="str">
            <v>6.001.203.4101</v>
          </cell>
          <cell r="B1421" t="str">
            <v>Honorarios</v>
          </cell>
          <cell r="C1421">
            <v>11108.93</v>
          </cell>
          <cell r="F1421">
            <v>11108.93</v>
          </cell>
        </row>
        <row r="1422">
          <cell r="A1422" t="str">
            <v>6.001.203.4104</v>
          </cell>
          <cell r="B1422" t="str">
            <v>Gastos de Limpieza y Cafeteria</v>
          </cell>
          <cell r="C1422">
            <v>2739.05</v>
          </cell>
          <cell r="D1422">
            <v>318.61</v>
          </cell>
          <cell r="F1422">
            <v>3057.66</v>
          </cell>
        </row>
        <row r="1423">
          <cell r="A1423" t="str">
            <v>6.001.203.4130</v>
          </cell>
          <cell r="B1423" t="str">
            <v>Depreciación Vehículos</v>
          </cell>
          <cell r="C1423">
            <v>4179.76</v>
          </cell>
          <cell r="D1423">
            <v>522.47</v>
          </cell>
          <cell r="F1423">
            <v>4702.2299999999996</v>
          </cell>
        </row>
        <row r="1424">
          <cell r="A1424" t="str">
            <v>6.001.204.4003</v>
          </cell>
          <cell r="B1424" t="str">
            <v>Cuota Patronal Igss-Irtra e Intecap</v>
          </cell>
          <cell r="C1424">
            <v>76013.440000000002</v>
          </cell>
          <cell r="D1424">
            <v>10110.91</v>
          </cell>
          <cell r="F1424">
            <v>86124.35</v>
          </cell>
        </row>
        <row r="1425">
          <cell r="A1425" t="str">
            <v>6.001.204.4005</v>
          </cell>
          <cell r="B1425" t="str">
            <v>Aguinaldos</v>
          </cell>
          <cell r="C1425">
            <v>49995.49</v>
          </cell>
          <cell r="D1425">
            <v>6650.14</v>
          </cell>
          <cell r="F1425">
            <v>56645.63</v>
          </cell>
        </row>
        <row r="1426">
          <cell r="A1426" t="str">
            <v>6.001.204.4006</v>
          </cell>
          <cell r="B1426" t="str">
            <v>Indemnizaciones</v>
          </cell>
          <cell r="C1426">
            <v>49995.49</v>
          </cell>
          <cell r="D1426">
            <v>6650.14</v>
          </cell>
          <cell r="F1426">
            <v>56645.63</v>
          </cell>
        </row>
        <row r="1427">
          <cell r="A1427" t="str">
            <v>6.001.204.4007</v>
          </cell>
          <cell r="B1427" t="str">
            <v>Uniformes y Otros</v>
          </cell>
          <cell r="C1427">
            <v>319.83</v>
          </cell>
          <cell r="F1427">
            <v>319.83</v>
          </cell>
        </row>
        <row r="1428">
          <cell r="A1428" t="str">
            <v>6.001.204.4008</v>
          </cell>
          <cell r="B1428" t="str">
            <v>Sueldos</v>
          </cell>
          <cell r="C1428">
            <v>592168.77</v>
          </cell>
          <cell r="D1428">
            <v>78427.570000000007</v>
          </cell>
          <cell r="F1428">
            <v>670596.34</v>
          </cell>
        </row>
        <row r="1429">
          <cell r="A1429" t="str">
            <v>6.001.204.4010</v>
          </cell>
          <cell r="B1429" t="str">
            <v>Bonificación 78-89</v>
          </cell>
          <cell r="C1429">
            <v>9291.66</v>
          </cell>
          <cell r="D1429">
            <v>1283.33</v>
          </cell>
          <cell r="F1429">
            <v>10574.99</v>
          </cell>
        </row>
        <row r="1430">
          <cell r="A1430" t="str">
            <v>6.001.204.4011</v>
          </cell>
          <cell r="B1430" t="str">
            <v>Bonificación Dto. 42-92</v>
          </cell>
          <cell r="C1430">
            <v>49995.49</v>
          </cell>
          <cell r="D1430">
            <v>6650.14</v>
          </cell>
          <cell r="F1430">
            <v>56645.63</v>
          </cell>
        </row>
        <row r="1431">
          <cell r="A1431" t="str">
            <v>6.001.204.4012</v>
          </cell>
          <cell r="B1431" t="str">
            <v>Tiempo Extra</v>
          </cell>
          <cell r="C1431">
            <v>7779.52</v>
          </cell>
          <cell r="D1431">
            <v>1374.41</v>
          </cell>
          <cell r="F1431">
            <v>9153.93</v>
          </cell>
        </row>
        <row r="1432">
          <cell r="A1432" t="str">
            <v>6.001.204.4013</v>
          </cell>
          <cell r="B1432" t="str">
            <v>Seminarios-Entrenamientos</v>
          </cell>
          <cell r="C1432">
            <v>14384.81</v>
          </cell>
          <cell r="D1432">
            <v>10311.07</v>
          </cell>
          <cell r="F1432">
            <v>24695.88</v>
          </cell>
        </row>
        <row r="1433">
          <cell r="A1433" t="str">
            <v>6.001.204.4016</v>
          </cell>
          <cell r="B1433" t="str">
            <v>Otros Beneficios Empleados</v>
          </cell>
          <cell r="C1433">
            <v>41201.26</v>
          </cell>
          <cell r="D1433">
            <v>2951.2</v>
          </cell>
          <cell r="F1433">
            <v>44152.46</v>
          </cell>
        </row>
        <row r="1434">
          <cell r="A1434" t="str">
            <v>6.001.204.4073</v>
          </cell>
          <cell r="B1434" t="str">
            <v>Papelería y Utiles</v>
          </cell>
          <cell r="C1434">
            <v>4286.1000000000004</v>
          </cell>
          <cell r="D1434">
            <v>423.38</v>
          </cell>
          <cell r="F1434">
            <v>4709.4799999999996</v>
          </cell>
        </row>
        <row r="1435">
          <cell r="A1435" t="str">
            <v>6.001.204.4074</v>
          </cell>
          <cell r="B1435" t="str">
            <v>Fotocopias</v>
          </cell>
          <cell r="C1435">
            <v>1192.8499999999999</v>
          </cell>
          <cell r="F1435">
            <v>1192.8499999999999</v>
          </cell>
        </row>
        <row r="1436">
          <cell r="A1436" t="str">
            <v>6.001.204.4077</v>
          </cell>
          <cell r="B1436" t="str">
            <v>Cuotas y Suscripciones</v>
          </cell>
          <cell r="C1436">
            <v>52122.78</v>
          </cell>
          <cell r="D1436">
            <v>2066.6</v>
          </cell>
          <cell r="F1436">
            <v>54189.38</v>
          </cell>
        </row>
        <row r="1437">
          <cell r="A1437" t="str">
            <v>6.001.204.4078</v>
          </cell>
          <cell r="B1437" t="str">
            <v>Teléfono-Télex-Fax</v>
          </cell>
          <cell r="C1437">
            <v>23033.48</v>
          </cell>
          <cell r="D1437">
            <v>2267.62</v>
          </cell>
          <cell r="F1437">
            <v>25301.1</v>
          </cell>
        </row>
        <row r="1438">
          <cell r="A1438" t="str">
            <v>6.001.204.4079</v>
          </cell>
          <cell r="B1438" t="str">
            <v>Correos y Telégrafos</v>
          </cell>
          <cell r="C1438">
            <v>4372.7700000000004</v>
          </cell>
          <cell r="D1438">
            <v>2983.24</v>
          </cell>
          <cell r="F1438">
            <v>7356.01</v>
          </cell>
        </row>
        <row r="1439">
          <cell r="A1439" t="str">
            <v>6.001.204.4080</v>
          </cell>
          <cell r="B1439" t="str">
            <v>Agua</v>
          </cell>
          <cell r="C1439">
            <v>3574.24</v>
          </cell>
          <cell r="D1439">
            <v>36.950000000000003</v>
          </cell>
          <cell r="F1439">
            <v>3611.19</v>
          </cell>
        </row>
        <row r="1440">
          <cell r="A1440" t="str">
            <v>6.001.204.4081</v>
          </cell>
          <cell r="B1440" t="str">
            <v>Electricidad</v>
          </cell>
          <cell r="C1440">
            <v>182.14</v>
          </cell>
          <cell r="F1440">
            <v>182.14</v>
          </cell>
        </row>
        <row r="1441">
          <cell r="A1441" t="str">
            <v>6.001.204.4083</v>
          </cell>
          <cell r="B1441" t="str">
            <v>Dietas</v>
          </cell>
          <cell r="C1441">
            <v>40000</v>
          </cell>
          <cell r="D1441">
            <v>5000</v>
          </cell>
          <cell r="F1441">
            <v>45000</v>
          </cell>
        </row>
        <row r="1442">
          <cell r="A1442" t="str">
            <v>6.001.204.4084</v>
          </cell>
          <cell r="B1442" t="str">
            <v>Gastos de Viaje</v>
          </cell>
          <cell r="C1442">
            <v>184354.64</v>
          </cell>
          <cell r="D1442">
            <v>51063.48</v>
          </cell>
          <cell r="F1442">
            <v>235418.12</v>
          </cell>
        </row>
        <row r="1443">
          <cell r="A1443" t="str">
            <v>6.001.204.4085</v>
          </cell>
          <cell r="B1443" t="str">
            <v>Gastos de Representación</v>
          </cell>
          <cell r="C1443">
            <v>97002.79</v>
          </cell>
          <cell r="D1443">
            <v>20132.900000000001</v>
          </cell>
          <cell r="F1443">
            <v>117135.69</v>
          </cell>
        </row>
        <row r="1444">
          <cell r="A1444" t="str">
            <v>6.001.204.4086</v>
          </cell>
          <cell r="B1444" t="str">
            <v>Publicaciones</v>
          </cell>
          <cell r="C1444">
            <v>5637.6</v>
          </cell>
          <cell r="F1444">
            <v>5637.6</v>
          </cell>
        </row>
        <row r="1445">
          <cell r="A1445" t="str">
            <v>6.001.204.4089</v>
          </cell>
          <cell r="B1445" t="str">
            <v>Beneficencia</v>
          </cell>
          <cell r="C1445">
            <v>26578.1</v>
          </cell>
          <cell r="F1445">
            <v>26578.1</v>
          </cell>
        </row>
        <row r="1446">
          <cell r="A1446" t="str">
            <v>6.001.204.4091</v>
          </cell>
          <cell r="B1446" t="str">
            <v>Impuestos y Contribuciones</v>
          </cell>
          <cell r="C1446">
            <v>24946.91</v>
          </cell>
          <cell r="D1446">
            <v>2483.65</v>
          </cell>
          <cell r="F1446">
            <v>27430.560000000001</v>
          </cell>
        </row>
        <row r="1447">
          <cell r="A1447" t="str">
            <v>6.001.204.4092</v>
          </cell>
          <cell r="B1447" t="str">
            <v>Gastos Misceláneos</v>
          </cell>
          <cell r="C1447">
            <v>218696.81</v>
          </cell>
          <cell r="D1447">
            <v>35970.239999999998</v>
          </cell>
          <cell r="E1447">
            <v>1854.78</v>
          </cell>
          <cell r="F1447">
            <v>252812.27</v>
          </cell>
        </row>
        <row r="1448">
          <cell r="A1448" t="str">
            <v>6.001.204.4095</v>
          </cell>
          <cell r="B1448" t="str">
            <v>Mantenimiento de Equipo Oficina</v>
          </cell>
          <cell r="C1448">
            <v>5758.56</v>
          </cell>
          <cell r="D1448">
            <v>1552.96</v>
          </cell>
          <cell r="F1448">
            <v>7311.52</v>
          </cell>
        </row>
        <row r="1449">
          <cell r="A1449" t="str">
            <v>6.001.204.4097</v>
          </cell>
          <cell r="B1449" t="str">
            <v>Mantenimiento de Equipo Cómputos</v>
          </cell>
          <cell r="C1449">
            <v>1349.59</v>
          </cell>
          <cell r="F1449">
            <v>1349.59</v>
          </cell>
        </row>
        <row r="1450">
          <cell r="A1450" t="str">
            <v>6.001.204.4098</v>
          </cell>
          <cell r="B1450" t="str">
            <v>Mantenimiento de Vehículos</v>
          </cell>
          <cell r="C1450">
            <v>3155</v>
          </cell>
          <cell r="D1450">
            <v>363.04</v>
          </cell>
          <cell r="F1450">
            <v>3518.04</v>
          </cell>
        </row>
        <row r="1451">
          <cell r="A1451" t="str">
            <v>6.001.204.4101</v>
          </cell>
          <cell r="B1451" t="str">
            <v>Honorarios</v>
          </cell>
          <cell r="C1451">
            <v>49645.94</v>
          </cell>
          <cell r="D1451">
            <v>38639.01</v>
          </cell>
          <cell r="F1451">
            <v>88284.95</v>
          </cell>
        </row>
        <row r="1452">
          <cell r="A1452" t="str">
            <v>6.001.204.4103</v>
          </cell>
          <cell r="B1452" t="str">
            <v>Auditoria</v>
          </cell>
          <cell r="C1452">
            <v>353846.79</v>
          </cell>
          <cell r="D1452">
            <v>60000</v>
          </cell>
          <cell r="F1452">
            <v>413846.79</v>
          </cell>
        </row>
        <row r="1453">
          <cell r="A1453" t="str">
            <v>6.001.204.4104</v>
          </cell>
          <cell r="B1453" t="str">
            <v>Gastos de Limpieza y Cafeteria</v>
          </cell>
          <cell r="C1453">
            <v>3022.36</v>
          </cell>
          <cell r="D1453">
            <v>366.82</v>
          </cell>
          <cell r="F1453">
            <v>3389.18</v>
          </cell>
        </row>
        <row r="1454">
          <cell r="A1454" t="str">
            <v>6.001.204.4123</v>
          </cell>
          <cell r="B1454" t="str">
            <v>Renta de Mob. y Equipo</v>
          </cell>
          <cell r="C1454">
            <v>20391.439999999999</v>
          </cell>
          <cell r="D1454">
            <v>4104.47</v>
          </cell>
          <cell r="F1454">
            <v>24495.91</v>
          </cell>
        </row>
        <row r="1455">
          <cell r="A1455" t="str">
            <v>6.001.204.4127</v>
          </cell>
          <cell r="B1455" t="str">
            <v>Depreciación Mobiliario y Equipo</v>
          </cell>
          <cell r="C1455">
            <v>8893.7000000000007</v>
          </cell>
          <cell r="D1455">
            <v>1150.75</v>
          </cell>
          <cell r="F1455">
            <v>10044.450000000001</v>
          </cell>
        </row>
        <row r="1456">
          <cell r="A1456" t="str">
            <v>6.001.204.4130</v>
          </cell>
          <cell r="B1456" t="str">
            <v>Depreciación Vehículos</v>
          </cell>
          <cell r="C1456">
            <v>15642</v>
          </cell>
          <cell r="D1456">
            <v>1955.25</v>
          </cell>
          <cell r="F1456">
            <v>17597.25</v>
          </cell>
        </row>
        <row r="1457">
          <cell r="A1457" t="str">
            <v>6.001.204.4131</v>
          </cell>
          <cell r="B1457" t="str">
            <v>Depreciación Equipo de Computación</v>
          </cell>
          <cell r="C1457">
            <v>921.56</v>
          </cell>
          <cell r="D1457">
            <v>708.2</v>
          </cell>
          <cell r="F1457">
            <v>1629.76</v>
          </cell>
        </row>
        <row r="1458">
          <cell r="A1458" t="str">
            <v>6.001.205.4003</v>
          </cell>
          <cell r="B1458" t="str">
            <v>Cuota Patronal Igss-Irtra e Intecap</v>
          </cell>
          <cell r="C1458">
            <v>73286.98</v>
          </cell>
          <cell r="D1458">
            <v>10511.36</v>
          </cell>
          <cell r="F1458">
            <v>83798.34</v>
          </cell>
        </row>
        <row r="1459">
          <cell r="A1459" t="str">
            <v>6.001.205.4004</v>
          </cell>
          <cell r="B1459" t="str">
            <v>Vacaciones</v>
          </cell>
          <cell r="C1459">
            <v>831.03</v>
          </cell>
          <cell r="F1459">
            <v>831.03</v>
          </cell>
        </row>
        <row r="1460">
          <cell r="A1460" t="str">
            <v>6.001.205.4005</v>
          </cell>
          <cell r="B1460" t="str">
            <v>Aguinaldos</v>
          </cell>
          <cell r="C1460">
            <v>48202.22</v>
          </cell>
          <cell r="D1460">
            <v>6913.52</v>
          </cell>
          <cell r="F1460">
            <v>55115.74</v>
          </cell>
        </row>
        <row r="1461">
          <cell r="A1461" t="str">
            <v>6.001.205.4006</v>
          </cell>
          <cell r="B1461" t="str">
            <v>Indemnizaciones</v>
          </cell>
          <cell r="C1461">
            <v>48202.22</v>
          </cell>
          <cell r="D1461">
            <v>6913.52</v>
          </cell>
          <cell r="F1461">
            <v>55115.74</v>
          </cell>
        </row>
        <row r="1462">
          <cell r="A1462" t="str">
            <v>6.001.205.4008</v>
          </cell>
          <cell r="B1462" t="str">
            <v>Sueldos</v>
          </cell>
          <cell r="C1462">
            <v>526109.53</v>
          </cell>
          <cell r="D1462">
            <v>71840.34</v>
          </cell>
          <cell r="F1462">
            <v>597949.87</v>
          </cell>
        </row>
        <row r="1463">
          <cell r="A1463" t="str">
            <v>6.001.205.4009</v>
          </cell>
          <cell r="B1463" t="str">
            <v>Bonificaciones</v>
          </cell>
          <cell r="C1463">
            <v>1381.14</v>
          </cell>
          <cell r="F1463">
            <v>1381.14</v>
          </cell>
        </row>
        <row r="1464">
          <cell r="A1464" t="str">
            <v>6.001.205.4010</v>
          </cell>
          <cell r="B1464" t="str">
            <v>Bonificación 78-89</v>
          </cell>
          <cell r="C1464">
            <v>28008.34</v>
          </cell>
          <cell r="D1464">
            <v>3675</v>
          </cell>
          <cell r="F1464">
            <v>31683.34</v>
          </cell>
        </row>
        <row r="1465">
          <cell r="A1465" t="str">
            <v>6.001.205.4011</v>
          </cell>
          <cell r="B1465" t="str">
            <v>Bonificación Dto. 42-92</v>
          </cell>
          <cell r="C1465">
            <v>48202.22</v>
          </cell>
          <cell r="D1465">
            <v>6913.52</v>
          </cell>
          <cell r="F1465">
            <v>55115.74</v>
          </cell>
        </row>
        <row r="1466">
          <cell r="A1466" t="str">
            <v>6.001.205.4012</v>
          </cell>
          <cell r="B1466" t="str">
            <v>Tiempo Extra</v>
          </cell>
          <cell r="C1466">
            <v>51878.29</v>
          </cell>
          <cell r="D1466">
            <v>11122.22</v>
          </cell>
          <cell r="F1466">
            <v>63000.51</v>
          </cell>
        </row>
        <row r="1467">
          <cell r="A1467" t="str">
            <v>6.001.205.4073</v>
          </cell>
          <cell r="B1467" t="str">
            <v>Papelería y Utiles</v>
          </cell>
          <cell r="C1467">
            <v>18577.29</v>
          </cell>
          <cell r="D1467">
            <v>5398.79</v>
          </cell>
          <cell r="F1467">
            <v>23976.080000000002</v>
          </cell>
        </row>
        <row r="1468">
          <cell r="A1468" t="str">
            <v>6.001.205.4074</v>
          </cell>
          <cell r="B1468" t="str">
            <v>Fotocopias</v>
          </cell>
          <cell r="C1468">
            <v>893.34</v>
          </cell>
          <cell r="D1468">
            <v>1528.97</v>
          </cell>
          <cell r="F1468">
            <v>2422.31</v>
          </cell>
        </row>
        <row r="1469">
          <cell r="A1469" t="str">
            <v>6.001.205.4078</v>
          </cell>
          <cell r="B1469" t="str">
            <v>Teléfono-Télex-Fax</v>
          </cell>
          <cell r="C1469">
            <v>13139.52</v>
          </cell>
          <cell r="D1469">
            <v>2267.62</v>
          </cell>
          <cell r="F1469">
            <v>15407.14</v>
          </cell>
        </row>
        <row r="1470">
          <cell r="A1470" t="str">
            <v>6.001.205.4079</v>
          </cell>
          <cell r="B1470" t="str">
            <v>Correos y Telégrafos</v>
          </cell>
          <cell r="C1470">
            <v>9491.42</v>
          </cell>
          <cell r="D1470">
            <v>2678.58</v>
          </cell>
          <cell r="F1470">
            <v>12170</v>
          </cell>
        </row>
        <row r="1471">
          <cell r="A1471" t="str">
            <v>6.001.205.4080</v>
          </cell>
          <cell r="B1471" t="str">
            <v>Agua</v>
          </cell>
          <cell r="C1471">
            <v>3574.23</v>
          </cell>
          <cell r="D1471">
            <v>36.950000000000003</v>
          </cell>
          <cell r="F1471">
            <v>3611.18</v>
          </cell>
        </row>
        <row r="1472">
          <cell r="A1472" t="str">
            <v>6.001.205.4081</v>
          </cell>
          <cell r="B1472" t="str">
            <v>Electricidad</v>
          </cell>
          <cell r="C1472">
            <v>375</v>
          </cell>
          <cell r="F1472">
            <v>375</v>
          </cell>
        </row>
        <row r="1473">
          <cell r="A1473" t="str">
            <v>6.001.205.4091</v>
          </cell>
          <cell r="B1473" t="str">
            <v>Impuestos y Contribuciones</v>
          </cell>
          <cell r="C1473">
            <v>10</v>
          </cell>
          <cell r="F1473">
            <v>10</v>
          </cell>
        </row>
        <row r="1474">
          <cell r="A1474" t="str">
            <v>6.001.205.4092</v>
          </cell>
          <cell r="B1474" t="str">
            <v>Gastos Misceláneos</v>
          </cell>
          <cell r="C1474">
            <v>32049.01</v>
          </cell>
          <cell r="D1474">
            <v>2796.72</v>
          </cell>
          <cell r="F1474">
            <v>34845.730000000003</v>
          </cell>
        </row>
        <row r="1475">
          <cell r="A1475" t="str">
            <v>6.001.205.4095</v>
          </cell>
          <cell r="B1475" t="str">
            <v>Mantenimiento de Equipo Oficina</v>
          </cell>
          <cell r="C1475">
            <v>12541.84</v>
          </cell>
          <cell r="D1475">
            <v>826.7</v>
          </cell>
          <cell r="F1475">
            <v>13368.54</v>
          </cell>
        </row>
        <row r="1476">
          <cell r="A1476" t="str">
            <v>6.001.205.4097</v>
          </cell>
          <cell r="B1476" t="str">
            <v>Mantenimiento de Equipo Cómputos</v>
          </cell>
          <cell r="C1476">
            <v>4808.5</v>
          </cell>
          <cell r="F1476">
            <v>4808.5</v>
          </cell>
        </row>
        <row r="1477">
          <cell r="A1477" t="str">
            <v>6.001.205.4098</v>
          </cell>
          <cell r="B1477" t="str">
            <v>Mantenimiento de Vehículos</v>
          </cell>
          <cell r="C1477">
            <v>20</v>
          </cell>
          <cell r="F1477">
            <v>20</v>
          </cell>
        </row>
        <row r="1478">
          <cell r="A1478" t="str">
            <v>6.001.205.4104</v>
          </cell>
          <cell r="B1478" t="str">
            <v>Gastos de Limpieza y Cafeteria</v>
          </cell>
          <cell r="C1478">
            <v>2799.41</v>
          </cell>
          <cell r="D1478">
            <v>347.95</v>
          </cell>
          <cell r="F1478">
            <v>3147.36</v>
          </cell>
        </row>
        <row r="1479">
          <cell r="A1479" t="str">
            <v>6.001.205.4127</v>
          </cell>
          <cell r="B1479" t="str">
            <v>Depreciación Mobiliario y Equipo</v>
          </cell>
          <cell r="C1479">
            <v>2921.44</v>
          </cell>
          <cell r="D1479">
            <v>365.18</v>
          </cell>
          <cell r="F1479">
            <v>3286.62</v>
          </cell>
        </row>
        <row r="1480">
          <cell r="A1480" t="str">
            <v>6.001.205.4130</v>
          </cell>
          <cell r="B1480" t="str">
            <v>Depreciación Vehículos</v>
          </cell>
          <cell r="C1480">
            <v>8518.56</v>
          </cell>
          <cell r="D1480">
            <v>1064.82</v>
          </cell>
          <cell r="F1480">
            <v>9583.3799999999992</v>
          </cell>
        </row>
        <row r="1481">
          <cell r="A1481" t="str">
            <v>6.001.206.4003</v>
          </cell>
          <cell r="B1481" t="str">
            <v>Cuota Patronal Igss-Irtra e Intecap</v>
          </cell>
          <cell r="C1481">
            <v>928.15</v>
          </cell>
          <cell r="F1481">
            <v>928.15</v>
          </cell>
        </row>
        <row r="1482">
          <cell r="A1482" t="str">
            <v>6.001.206.4005</v>
          </cell>
          <cell r="B1482" t="str">
            <v>Aguinaldos</v>
          </cell>
          <cell r="C1482">
            <v>610.46</v>
          </cell>
          <cell r="F1482">
            <v>610.46</v>
          </cell>
        </row>
        <row r="1483">
          <cell r="A1483" t="str">
            <v>6.001.206.4006</v>
          </cell>
          <cell r="B1483" t="str">
            <v>Indemnizaciones</v>
          </cell>
          <cell r="C1483">
            <v>610.46</v>
          </cell>
          <cell r="F1483">
            <v>610.46</v>
          </cell>
        </row>
        <row r="1484">
          <cell r="A1484" t="str">
            <v>6.001.206.4011</v>
          </cell>
          <cell r="B1484" t="str">
            <v>Bonificación Dto. 42-92</v>
          </cell>
          <cell r="C1484">
            <v>610.46</v>
          </cell>
          <cell r="F1484">
            <v>610.46</v>
          </cell>
        </row>
        <row r="1485">
          <cell r="A1485" t="str">
            <v>6.001.206.4073</v>
          </cell>
          <cell r="B1485" t="str">
            <v>Papelería y Utiles</v>
          </cell>
          <cell r="C1485">
            <v>554.44000000000005</v>
          </cell>
          <cell r="F1485">
            <v>554.44000000000005</v>
          </cell>
        </row>
        <row r="1486">
          <cell r="A1486" t="str">
            <v>6.001.206.4095</v>
          </cell>
          <cell r="B1486" t="str">
            <v>Mantenimiento de Equipo Oficina</v>
          </cell>
          <cell r="C1486">
            <v>1379.47</v>
          </cell>
          <cell r="F1486">
            <v>1379.47</v>
          </cell>
        </row>
        <row r="1487">
          <cell r="A1487" t="str">
            <v>6.001.206.4127</v>
          </cell>
          <cell r="B1487" t="str">
            <v>Depreciación Mobiliario y Equipo</v>
          </cell>
          <cell r="C1487">
            <v>639.51</v>
          </cell>
          <cell r="D1487">
            <v>289.06</v>
          </cell>
          <cell r="F1487">
            <v>928.57</v>
          </cell>
        </row>
        <row r="1488">
          <cell r="A1488" t="str">
            <v>6.001.206.4131</v>
          </cell>
          <cell r="B1488" t="str">
            <v>Depreciación Equipo de Computación</v>
          </cell>
          <cell r="C1488">
            <v>3536.45</v>
          </cell>
          <cell r="D1488">
            <v>884.18</v>
          </cell>
          <cell r="F1488">
            <v>4420.63</v>
          </cell>
        </row>
        <row r="1489">
          <cell r="A1489" t="str">
            <v>6.001.207.4003</v>
          </cell>
          <cell r="B1489" t="str">
            <v>Cuota Patronal Igss-Irtra e Intecap</v>
          </cell>
          <cell r="C1489">
            <v>6447.9</v>
          </cell>
          <cell r="D1489">
            <v>2281.63</v>
          </cell>
          <cell r="F1489">
            <v>8729.5300000000007</v>
          </cell>
        </row>
        <row r="1490">
          <cell r="A1490" t="str">
            <v>6.001.207.4005</v>
          </cell>
          <cell r="B1490" t="str">
            <v>Aguinaldos</v>
          </cell>
          <cell r="C1490">
            <v>4604.66</v>
          </cell>
          <cell r="D1490">
            <v>1500.67</v>
          </cell>
          <cell r="F1490">
            <v>6105.33</v>
          </cell>
        </row>
        <row r="1491">
          <cell r="A1491" t="str">
            <v>6.001.207.4006</v>
          </cell>
          <cell r="B1491" t="str">
            <v>Indemnizaciones</v>
          </cell>
          <cell r="C1491">
            <v>4240.91</v>
          </cell>
          <cell r="D1491">
            <v>1500.67</v>
          </cell>
          <cell r="F1491">
            <v>5741.58</v>
          </cell>
        </row>
        <row r="1492">
          <cell r="A1492" t="str">
            <v>6.001.207.4007</v>
          </cell>
          <cell r="B1492" t="str">
            <v>Uniformes y Otros</v>
          </cell>
          <cell r="C1492">
            <v>1048.93</v>
          </cell>
          <cell r="F1492">
            <v>1048.93</v>
          </cell>
        </row>
        <row r="1493">
          <cell r="A1493" t="str">
            <v>6.001.207.4008</v>
          </cell>
          <cell r="B1493" t="str">
            <v>Sueldos</v>
          </cell>
          <cell r="C1493">
            <v>52936.89</v>
          </cell>
          <cell r="D1493">
            <v>14741.44</v>
          </cell>
          <cell r="F1493">
            <v>67678.33</v>
          </cell>
        </row>
        <row r="1494">
          <cell r="A1494" t="str">
            <v>6.001.207.4009</v>
          </cell>
          <cell r="B1494" t="str">
            <v>Bonificaciones</v>
          </cell>
          <cell r="C1494">
            <v>0</v>
          </cell>
          <cell r="D1494">
            <v>1800</v>
          </cell>
          <cell r="F1494">
            <v>1800</v>
          </cell>
        </row>
        <row r="1495">
          <cell r="A1495" t="str">
            <v>6.001.207.4010</v>
          </cell>
          <cell r="B1495" t="str">
            <v>Bonificación 78-89</v>
          </cell>
          <cell r="C1495">
            <v>4016.66</v>
          </cell>
          <cell r="D1495">
            <v>1250</v>
          </cell>
          <cell r="F1495">
            <v>5266.66</v>
          </cell>
        </row>
        <row r="1496">
          <cell r="A1496" t="str">
            <v>6.001.207.4011</v>
          </cell>
          <cell r="B1496" t="str">
            <v>Bonificación Dto. 42-92</v>
          </cell>
          <cell r="C1496">
            <v>4240.91</v>
          </cell>
          <cell r="D1496">
            <v>1500.67</v>
          </cell>
          <cell r="F1496">
            <v>5741.58</v>
          </cell>
        </row>
        <row r="1497">
          <cell r="A1497" t="str">
            <v>6.001.207.4012</v>
          </cell>
          <cell r="B1497" t="str">
            <v>Tiempo Extra</v>
          </cell>
          <cell r="C1497">
            <v>5459.24</v>
          </cell>
          <cell r="D1497">
            <v>1466.7</v>
          </cell>
          <cell r="F1497">
            <v>6925.94</v>
          </cell>
        </row>
        <row r="1498">
          <cell r="A1498" t="str">
            <v>6.001.207.4013</v>
          </cell>
          <cell r="B1498" t="str">
            <v>Seminarios-Entrenamientos</v>
          </cell>
          <cell r="C1498">
            <v>6000</v>
          </cell>
          <cell r="F1498">
            <v>6000</v>
          </cell>
        </row>
        <row r="1499">
          <cell r="A1499" t="str">
            <v>6.001.207.4073</v>
          </cell>
          <cell r="B1499" t="str">
            <v>Papelería y Utiles</v>
          </cell>
          <cell r="C1499">
            <v>7243.77</v>
          </cell>
          <cell r="D1499">
            <v>789.44</v>
          </cell>
          <cell r="F1499">
            <v>8033.21</v>
          </cell>
        </row>
        <row r="1500">
          <cell r="A1500" t="str">
            <v>6.001.207.4092</v>
          </cell>
          <cell r="B1500" t="str">
            <v>Gastos Misceláneos</v>
          </cell>
          <cell r="C1500">
            <v>38813.64</v>
          </cell>
          <cell r="D1500">
            <v>2584.46</v>
          </cell>
          <cell r="F1500">
            <v>41398.1</v>
          </cell>
        </row>
        <row r="1501">
          <cell r="A1501" t="str">
            <v>6.001.207.4093</v>
          </cell>
          <cell r="B1501" t="str">
            <v>Mantenimiento de Edificios Propios</v>
          </cell>
          <cell r="C1501">
            <v>10792.05</v>
          </cell>
          <cell r="D1501">
            <v>1272.3599999999999</v>
          </cell>
          <cell r="F1501">
            <v>12064.41</v>
          </cell>
        </row>
        <row r="1502">
          <cell r="A1502" t="str">
            <v>6.001.207.4095</v>
          </cell>
          <cell r="B1502" t="str">
            <v>Mantenimiento de Equipo Oficina</v>
          </cell>
          <cell r="C1502">
            <v>7004.91</v>
          </cell>
          <cell r="D1502">
            <v>601.42999999999995</v>
          </cell>
          <cell r="F1502">
            <v>7606.34</v>
          </cell>
        </row>
        <row r="1503">
          <cell r="A1503" t="str">
            <v>6.001.208.4003</v>
          </cell>
          <cell r="B1503" t="str">
            <v>Cuota Patronal Igss-Irtra e Intecap</v>
          </cell>
          <cell r="C1503">
            <v>10007.879999999999</v>
          </cell>
          <cell r="D1503">
            <v>1382.07</v>
          </cell>
          <cell r="F1503">
            <v>11389.95</v>
          </cell>
        </row>
        <row r="1504">
          <cell r="A1504" t="str">
            <v>6.001.208.4005</v>
          </cell>
          <cell r="B1504" t="str">
            <v>Aguinaldos</v>
          </cell>
          <cell r="C1504">
            <v>6582.36</v>
          </cell>
          <cell r="D1504">
            <v>909.01</v>
          </cell>
          <cell r="F1504">
            <v>7491.37</v>
          </cell>
        </row>
        <row r="1505">
          <cell r="A1505" t="str">
            <v>6.001.208.4006</v>
          </cell>
          <cell r="B1505" t="str">
            <v>Indemnizaciones</v>
          </cell>
          <cell r="C1505">
            <v>6582.36</v>
          </cell>
          <cell r="D1505">
            <v>909.01</v>
          </cell>
          <cell r="F1505">
            <v>7491.37</v>
          </cell>
        </row>
        <row r="1506">
          <cell r="A1506" t="str">
            <v>6.001.208.4008</v>
          </cell>
          <cell r="B1506" t="str">
            <v>Sueldos</v>
          </cell>
          <cell r="C1506">
            <v>74377</v>
          </cell>
          <cell r="D1506">
            <v>9751.75</v>
          </cell>
          <cell r="F1506">
            <v>84128.75</v>
          </cell>
        </row>
        <row r="1507">
          <cell r="A1507" t="str">
            <v>6.001.208.4010</v>
          </cell>
          <cell r="B1507" t="str">
            <v>Bonificación 78-89</v>
          </cell>
          <cell r="C1507">
            <v>2000</v>
          </cell>
          <cell r="D1507">
            <v>250</v>
          </cell>
          <cell r="F1507">
            <v>2250</v>
          </cell>
        </row>
        <row r="1508">
          <cell r="A1508" t="str">
            <v>6.001.208.4011</v>
          </cell>
          <cell r="B1508" t="str">
            <v>Bonificación Dto. 42-92</v>
          </cell>
          <cell r="C1508">
            <v>6582.36</v>
          </cell>
          <cell r="D1508">
            <v>909.01</v>
          </cell>
          <cell r="F1508">
            <v>7491.37</v>
          </cell>
        </row>
        <row r="1509">
          <cell r="A1509" t="str">
            <v>6.001.208.4012</v>
          </cell>
          <cell r="B1509" t="str">
            <v>Tiempo Extra</v>
          </cell>
          <cell r="C1509">
            <v>4611.6000000000004</v>
          </cell>
          <cell r="D1509">
            <v>1156.45</v>
          </cell>
          <cell r="F1509">
            <v>5768.05</v>
          </cell>
        </row>
        <row r="1510">
          <cell r="A1510" t="str">
            <v>6.001.208.4073</v>
          </cell>
          <cell r="B1510" t="str">
            <v>Papelería y Utiles</v>
          </cell>
          <cell r="C1510">
            <v>4731.95</v>
          </cell>
          <cell r="F1510">
            <v>4731.95</v>
          </cell>
        </row>
        <row r="1511">
          <cell r="A1511" t="str">
            <v>6.001.208.4078</v>
          </cell>
          <cell r="B1511" t="str">
            <v>Teléfono-Télex-Fax</v>
          </cell>
          <cell r="C1511">
            <v>20100.88</v>
          </cell>
          <cell r="D1511">
            <v>3007.91</v>
          </cell>
          <cell r="F1511">
            <v>23108.79</v>
          </cell>
        </row>
        <row r="1512">
          <cell r="A1512" t="str">
            <v>6.001.208.4080</v>
          </cell>
          <cell r="B1512" t="str">
            <v>Agua</v>
          </cell>
          <cell r="C1512">
            <v>3515.23</v>
          </cell>
          <cell r="D1512">
            <v>36.93</v>
          </cell>
          <cell r="F1512">
            <v>3552.16</v>
          </cell>
        </row>
        <row r="1513">
          <cell r="A1513" t="str">
            <v>6.001.208.4088</v>
          </cell>
          <cell r="B1513" t="str">
            <v>Procesamiento de Datos</v>
          </cell>
          <cell r="C1513">
            <v>25038.880000000001</v>
          </cell>
          <cell r="F1513">
            <v>25038.880000000001</v>
          </cell>
        </row>
        <row r="1514">
          <cell r="A1514" t="str">
            <v>6.001.208.4092</v>
          </cell>
          <cell r="B1514" t="str">
            <v>Gastos Misceláneos</v>
          </cell>
          <cell r="C1514">
            <v>3399.38</v>
          </cell>
          <cell r="F1514">
            <v>3399.38</v>
          </cell>
        </row>
        <row r="1515">
          <cell r="A1515" t="str">
            <v>6.001.208.4095</v>
          </cell>
          <cell r="B1515" t="str">
            <v>Mantenimiento de Equipo Oficina</v>
          </cell>
          <cell r="C1515">
            <v>2021.98</v>
          </cell>
          <cell r="F1515">
            <v>2021.98</v>
          </cell>
        </row>
        <row r="1516">
          <cell r="A1516" t="str">
            <v>6.001.208.4097</v>
          </cell>
          <cell r="B1516" t="str">
            <v>Mantenimiento de Equipo Cómputos</v>
          </cell>
          <cell r="C1516">
            <v>144803.92000000001</v>
          </cell>
          <cell r="D1516">
            <v>8000</v>
          </cell>
          <cell r="F1516">
            <v>152803.92000000001</v>
          </cell>
        </row>
        <row r="1517">
          <cell r="A1517" t="str">
            <v>6.001.208.4104</v>
          </cell>
          <cell r="B1517" t="str">
            <v>Gastos de Limpieza y Cafeteria</v>
          </cell>
          <cell r="C1517">
            <v>2714.64</v>
          </cell>
          <cell r="D1517">
            <v>318.61</v>
          </cell>
          <cell r="F1517">
            <v>3033.25</v>
          </cell>
        </row>
        <row r="1518">
          <cell r="A1518" t="str">
            <v>6.001.208.4127</v>
          </cell>
          <cell r="B1518" t="str">
            <v>Depreciación Mobiliario y Equipo</v>
          </cell>
          <cell r="C1518">
            <v>3024.8</v>
          </cell>
          <cell r="D1518">
            <v>378.1</v>
          </cell>
          <cell r="F1518">
            <v>3402.9</v>
          </cell>
        </row>
        <row r="1519">
          <cell r="A1519" t="str">
            <v>6.001.208.4131</v>
          </cell>
          <cell r="B1519" t="str">
            <v>Depreciación Equipo de Computación</v>
          </cell>
          <cell r="C1519">
            <v>268911.15999999997</v>
          </cell>
          <cell r="D1519">
            <v>15529.8</v>
          </cell>
          <cell r="F1519">
            <v>284440.96000000002</v>
          </cell>
        </row>
        <row r="1520">
          <cell r="A1520" t="str">
            <v>6.001.210.4082</v>
          </cell>
          <cell r="B1520" t="str">
            <v>Alquileres de Inmuebles</v>
          </cell>
          <cell r="C1520">
            <v>277832.55</v>
          </cell>
          <cell r="D1520">
            <v>32808.33</v>
          </cell>
          <cell r="F1520">
            <v>310640.88</v>
          </cell>
        </row>
        <row r="1521">
          <cell r="A1521" t="str">
            <v>6.001.210.4125</v>
          </cell>
          <cell r="B1521" t="str">
            <v>Depreciación Edificios Propios</v>
          </cell>
          <cell r="C1521">
            <v>117758.72</v>
          </cell>
          <cell r="D1521">
            <v>14719.84</v>
          </cell>
          <cell r="F1521">
            <v>132478.56</v>
          </cell>
        </row>
        <row r="1522">
          <cell r="A1522" t="str">
            <v>6.001.210.4127</v>
          </cell>
          <cell r="B1522" t="str">
            <v>Depreciación Mobiliario y Equipo</v>
          </cell>
          <cell r="C1522">
            <v>24285.599999999999</v>
          </cell>
          <cell r="D1522">
            <v>3035.7</v>
          </cell>
          <cell r="F1522">
            <v>27321.3</v>
          </cell>
        </row>
        <row r="1523">
          <cell r="A1523" t="str">
            <v>6.001.210.4128</v>
          </cell>
          <cell r="B1523" t="str">
            <v>Depreciación Maquinaria y Equipo</v>
          </cell>
          <cell r="C1523">
            <v>29534.720000000001</v>
          </cell>
          <cell r="D1523">
            <v>3691.84</v>
          </cell>
          <cell r="F1523">
            <v>33226.559999999998</v>
          </cell>
        </row>
        <row r="1524">
          <cell r="A1524" t="str">
            <v>6.001.210.4130</v>
          </cell>
          <cell r="B1524" t="str">
            <v>Depreciación Vehículos</v>
          </cell>
          <cell r="C1524">
            <v>5823.6</v>
          </cell>
          <cell r="D1524">
            <v>727.95</v>
          </cell>
          <cell r="F1524">
            <v>6551.55</v>
          </cell>
        </row>
        <row r="1525">
          <cell r="A1525" t="str">
            <v>6.001.211.4087</v>
          </cell>
          <cell r="B1525" t="str">
            <v>Primas de Seguro y Fianzas</v>
          </cell>
          <cell r="C1525">
            <v>544616.93000000005</v>
          </cell>
          <cell r="D1525">
            <v>73066.38</v>
          </cell>
          <cell r="E1525">
            <v>89420.72</v>
          </cell>
          <cell r="F1525">
            <v>528262.59</v>
          </cell>
        </row>
        <row r="1526">
          <cell r="A1526" t="str">
            <v>6.001.211.4125</v>
          </cell>
          <cell r="B1526" t="str">
            <v>Depreciación Edificios Propios</v>
          </cell>
          <cell r="C1526">
            <v>205826.96</v>
          </cell>
          <cell r="D1526">
            <v>25728.37</v>
          </cell>
          <cell r="F1526">
            <v>231555.33</v>
          </cell>
        </row>
        <row r="1527">
          <cell r="A1527" t="str">
            <v>6.001.211.4127</v>
          </cell>
          <cell r="B1527" t="str">
            <v>Depreciación Mobiliario y Equipo</v>
          </cell>
          <cell r="C1527">
            <v>7525.84</v>
          </cell>
          <cell r="D1527">
            <v>940.73</v>
          </cell>
          <cell r="F1527">
            <v>8466.57</v>
          </cell>
        </row>
        <row r="1528">
          <cell r="A1528" t="str">
            <v>6.001.211.6006</v>
          </cell>
          <cell r="B1528" t="str">
            <v>Fluctuac Desfav Moneda Extranjera</v>
          </cell>
          <cell r="C1528">
            <v>591.41999999999996</v>
          </cell>
          <cell r="F1528">
            <v>591.41999999999996</v>
          </cell>
        </row>
        <row r="1529">
          <cell r="A1529" t="str">
            <v>6.001.212.4003</v>
          </cell>
          <cell r="B1529" t="str">
            <v>Cuota Patronal Igss-Irtra e Intecap</v>
          </cell>
          <cell r="C1529">
            <v>16229.51</v>
          </cell>
          <cell r="D1529">
            <v>2180.9299999999998</v>
          </cell>
          <cell r="F1529">
            <v>18410.439999999999</v>
          </cell>
        </row>
        <row r="1530">
          <cell r="A1530" t="str">
            <v>6.001.212.4004</v>
          </cell>
          <cell r="B1530" t="str">
            <v>Vacaciones</v>
          </cell>
          <cell r="C1530">
            <v>5157.04</v>
          </cell>
          <cell r="F1530">
            <v>5157.04</v>
          </cell>
        </row>
        <row r="1531">
          <cell r="A1531" t="str">
            <v>6.001.212.4005</v>
          </cell>
          <cell r="B1531" t="str">
            <v>Aguinaldos</v>
          </cell>
          <cell r="C1531">
            <v>10674.45</v>
          </cell>
          <cell r="D1531">
            <v>1434.43</v>
          </cell>
          <cell r="F1531">
            <v>12108.88</v>
          </cell>
        </row>
        <row r="1532">
          <cell r="A1532" t="str">
            <v>6.001.212.4006</v>
          </cell>
          <cell r="B1532" t="str">
            <v>Indemnizaciones</v>
          </cell>
          <cell r="C1532">
            <v>10674.45</v>
          </cell>
          <cell r="D1532">
            <v>1434.43</v>
          </cell>
          <cell r="F1532">
            <v>12108.88</v>
          </cell>
        </row>
        <row r="1533">
          <cell r="A1533" t="str">
            <v>6.001.212.4008</v>
          </cell>
          <cell r="B1533" t="str">
            <v>Sueldos</v>
          </cell>
          <cell r="C1533">
            <v>115641.34</v>
          </cell>
          <cell r="D1533">
            <v>16930.2</v>
          </cell>
          <cell r="F1533">
            <v>132571.54</v>
          </cell>
        </row>
        <row r="1534">
          <cell r="A1534" t="str">
            <v>6.001.212.4009</v>
          </cell>
          <cell r="B1534" t="str">
            <v>Bonificaciones</v>
          </cell>
          <cell r="C1534">
            <v>2100</v>
          </cell>
          <cell r="F1534">
            <v>2100</v>
          </cell>
        </row>
        <row r="1535">
          <cell r="A1535" t="str">
            <v>6.001.212.4010</v>
          </cell>
          <cell r="B1535" t="str">
            <v>Bonificación 78-89</v>
          </cell>
          <cell r="C1535">
            <v>8425</v>
          </cell>
          <cell r="D1535">
            <v>1066.67</v>
          </cell>
          <cell r="F1535">
            <v>9491.67</v>
          </cell>
        </row>
        <row r="1536">
          <cell r="A1536" t="str">
            <v>6.001.212.4011</v>
          </cell>
          <cell r="B1536" t="str">
            <v>Bonificación Dto. 42-92</v>
          </cell>
          <cell r="C1536">
            <v>10674.45</v>
          </cell>
          <cell r="D1536">
            <v>1434.43</v>
          </cell>
          <cell r="F1536">
            <v>12108.88</v>
          </cell>
        </row>
        <row r="1537">
          <cell r="A1537" t="str">
            <v>6.001.212.4012</v>
          </cell>
          <cell r="B1537" t="str">
            <v>Tiempo Extra</v>
          </cell>
          <cell r="C1537">
            <v>5195.5600000000004</v>
          </cell>
          <cell r="D1537">
            <v>283.07</v>
          </cell>
          <cell r="F1537">
            <v>5478.63</v>
          </cell>
        </row>
        <row r="1538">
          <cell r="A1538" t="str">
            <v>6.001.213.4001</v>
          </cell>
          <cell r="B1538" t="str">
            <v>Comisiones de Vendedores</v>
          </cell>
          <cell r="C1538">
            <v>6350</v>
          </cell>
          <cell r="F1538">
            <v>6350</v>
          </cell>
        </row>
        <row r="1539">
          <cell r="A1539" t="str">
            <v>6.001.213.4002</v>
          </cell>
          <cell r="B1539" t="str">
            <v>Comisiones Gerencia</v>
          </cell>
          <cell r="C1539">
            <v>19000</v>
          </cell>
          <cell r="D1539">
            <v>4900</v>
          </cell>
          <cell r="E1539">
            <v>9450</v>
          </cell>
          <cell r="F1539">
            <v>14450</v>
          </cell>
        </row>
        <row r="1540">
          <cell r="A1540" t="str">
            <v>6.001.213.4003</v>
          </cell>
          <cell r="B1540" t="str">
            <v>Cuota Patronal Igss-Irtra e Intecap</v>
          </cell>
          <cell r="C1540">
            <v>8255.07</v>
          </cell>
          <cell r="F1540">
            <v>8255.07</v>
          </cell>
        </row>
        <row r="1541">
          <cell r="A1541" t="str">
            <v>6.001.213.4005</v>
          </cell>
          <cell r="B1541" t="str">
            <v>Aguinaldos</v>
          </cell>
          <cell r="C1541">
            <v>5429.52</v>
          </cell>
          <cell r="F1541">
            <v>5429.52</v>
          </cell>
        </row>
        <row r="1542">
          <cell r="A1542" t="str">
            <v>6.001.213.4006</v>
          </cell>
          <cell r="B1542" t="str">
            <v>Indemnizaciones</v>
          </cell>
          <cell r="C1542">
            <v>5429.52</v>
          </cell>
          <cell r="F1542">
            <v>5429.52</v>
          </cell>
        </row>
        <row r="1543">
          <cell r="A1543" t="str">
            <v>6.001.213.4008</v>
          </cell>
          <cell r="B1543" t="str">
            <v>Sueldos</v>
          </cell>
          <cell r="C1543">
            <v>44955</v>
          </cell>
          <cell r="F1543">
            <v>44955</v>
          </cell>
        </row>
        <row r="1544">
          <cell r="A1544" t="str">
            <v>6.001.213.4010</v>
          </cell>
          <cell r="B1544" t="str">
            <v>Bonificación 78-89</v>
          </cell>
          <cell r="C1544">
            <v>1750</v>
          </cell>
          <cell r="F1544">
            <v>1750</v>
          </cell>
        </row>
        <row r="1545">
          <cell r="A1545" t="str">
            <v>6.001.213.4011</v>
          </cell>
          <cell r="B1545" t="str">
            <v>Bonificación Dto. 42-92</v>
          </cell>
          <cell r="C1545">
            <v>5429.52</v>
          </cell>
          <cell r="F1545">
            <v>5429.52</v>
          </cell>
        </row>
        <row r="1546">
          <cell r="A1546" t="str">
            <v>6.001.213.4012</v>
          </cell>
          <cell r="B1546" t="str">
            <v>Tiempo Extra</v>
          </cell>
          <cell r="C1546">
            <v>99.43</v>
          </cell>
          <cell r="F1546">
            <v>99.43</v>
          </cell>
        </row>
        <row r="1547">
          <cell r="A1547" t="str">
            <v>6.001.213.4013</v>
          </cell>
          <cell r="B1547" t="str">
            <v>Seminarios-Entrenamientos</v>
          </cell>
          <cell r="C1547">
            <v>8000</v>
          </cell>
          <cell r="F1547">
            <v>8000</v>
          </cell>
        </row>
        <row r="1548">
          <cell r="A1548" t="str">
            <v>6.001.213.4072</v>
          </cell>
          <cell r="B1548" t="str">
            <v>Publicidad</v>
          </cell>
          <cell r="C1548">
            <v>1205.3599999999999</v>
          </cell>
          <cell r="F1548">
            <v>1205.3599999999999</v>
          </cell>
        </row>
        <row r="1549">
          <cell r="A1549" t="str">
            <v>6.001.213.4075</v>
          </cell>
          <cell r="B1549" t="str">
            <v>Viáticos</v>
          </cell>
          <cell r="C1549">
            <v>1074.1400000000001</v>
          </cell>
          <cell r="F1549">
            <v>1074.1400000000001</v>
          </cell>
        </row>
        <row r="1550">
          <cell r="A1550" t="str">
            <v>6.001.213.4092</v>
          </cell>
          <cell r="B1550" t="str">
            <v>Gastos Misceláneos</v>
          </cell>
          <cell r="C1550">
            <v>1475.89</v>
          </cell>
          <cell r="F1550">
            <v>1475.89</v>
          </cell>
        </row>
        <row r="1551">
          <cell r="A1551" t="str">
            <v>6.001.213.4095</v>
          </cell>
          <cell r="B1551" t="str">
            <v>Mantenimiento de Equipo Oficina</v>
          </cell>
          <cell r="C1551">
            <v>477.94</v>
          </cell>
          <cell r="F1551">
            <v>477.94</v>
          </cell>
        </row>
        <row r="1552">
          <cell r="A1552" t="str">
            <v>6.002.202.4001</v>
          </cell>
          <cell r="B1552" t="str">
            <v>Comisiones de Vendedores</v>
          </cell>
          <cell r="C1552">
            <v>75096.52</v>
          </cell>
          <cell r="D1552">
            <v>9735.39</v>
          </cell>
          <cell r="F1552">
            <v>84831.91</v>
          </cell>
        </row>
        <row r="1553">
          <cell r="A1553" t="str">
            <v>6.002.202.4003</v>
          </cell>
          <cell r="B1553" t="str">
            <v>Cuota Patronal Igss-Irtra e Intecap</v>
          </cell>
          <cell r="C1553">
            <v>17498.88</v>
          </cell>
          <cell r="D1553">
            <v>2264.09</v>
          </cell>
          <cell r="F1553">
            <v>19762.97</v>
          </cell>
        </row>
        <row r="1554">
          <cell r="A1554" t="str">
            <v>6.002.202.4004</v>
          </cell>
          <cell r="B1554" t="str">
            <v>Vacaciones</v>
          </cell>
          <cell r="C1554">
            <v>4573.95</v>
          </cell>
          <cell r="F1554">
            <v>4573.95</v>
          </cell>
        </row>
        <row r="1555">
          <cell r="A1555" t="str">
            <v>6.002.202.4005</v>
          </cell>
          <cell r="B1555" t="str">
            <v>Aguinaldos</v>
          </cell>
          <cell r="C1555">
            <v>11509.39</v>
          </cell>
          <cell r="D1555">
            <v>1489.14</v>
          </cell>
          <cell r="F1555">
            <v>12998.53</v>
          </cell>
        </row>
        <row r="1556">
          <cell r="A1556" t="str">
            <v>6.002.202.4006</v>
          </cell>
          <cell r="B1556" t="str">
            <v>Indemnizaciones</v>
          </cell>
          <cell r="C1556">
            <v>11509.39</v>
          </cell>
          <cell r="D1556">
            <v>1489.14</v>
          </cell>
          <cell r="F1556">
            <v>12998.53</v>
          </cell>
        </row>
        <row r="1557">
          <cell r="A1557" t="str">
            <v>6.002.202.4008</v>
          </cell>
          <cell r="B1557" t="str">
            <v>Sueldos</v>
          </cell>
          <cell r="C1557">
            <v>57853.56</v>
          </cell>
          <cell r="D1557">
            <v>7632.05</v>
          </cell>
          <cell r="F1557">
            <v>65485.61</v>
          </cell>
        </row>
        <row r="1558">
          <cell r="A1558" t="str">
            <v>6.002.202.4010</v>
          </cell>
          <cell r="B1558" t="str">
            <v>Bonificación 78-89</v>
          </cell>
          <cell r="C1558">
            <v>11308.33</v>
          </cell>
          <cell r="D1558">
            <v>1500</v>
          </cell>
          <cell r="F1558">
            <v>12808.33</v>
          </cell>
        </row>
        <row r="1559">
          <cell r="A1559" t="str">
            <v>6.002.202.4011</v>
          </cell>
          <cell r="B1559" t="str">
            <v>Bonificación Dto. 42-92</v>
          </cell>
          <cell r="C1559">
            <v>11509.39</v>
          </cell>
          <cell r="D1559">
            <v>1489.14</v>
          </cell>
          <cell r="F1559">
            <v>12998.53</v>
          </cell>
        </row>
        <row r="1560">
          <cell r="A1560" t="str">
            <v>6.002.202.4073</v>
          </cell>
          <cell r="B1560" t="str">
            <v>Papelería y Utiles</v>
          </cell>
          <cell r="C1560">
            <v>1176.81</v>
          </cell>
          <cell r="D1560">
            <v>93.09</v>
          </cell>
          <cell r="F1560">
            <v>1269.9000000000001</v>
          </cell>
        </row>
        <row r="1561">
          <cell r="A1561" t="str">
            <v>6.002.202.4078</v>
          </cell>
          <cell r="B1561" t="str">
            <v>Teléfono-Télex-Fax</v>
          </cell>
          <cell r="C1561">
            <v>20607.900000000001</v>
          </cell>
          <cell r="D1561">
            <v>2146.81</v>
          </cell>
          <cell r="F1561">
            <v>22754.71</v>
          </cell>
        </row>
        <row r="1562">
          <cell r="A1562" t="str">
            <v>6.002.202.4092</v>
          </cell>
          <cell r="B1562" t="str">
            <v>Gastos Misceláneos</v>
          </cell>
          <cell r="C1562">
            <v>4364.7</v>
          </cell>
          <cell r="D1562">
            <v>18.75</v>
          </cell>
          <cell r="F1562">
            <v>4383.45</v>
          </cell>
        </row>
        <row r="1563">
          <cell r="A1563" t="str">
            <v>6.002.202.4095</v>
          </cell>
          <cell r="B1563" t="str">
            <v>Mantenimiento de Equipo Oficina</v>
          </cell>
          <cell r="C1563">
            <v>205.36</v>
          </cell>
          <cell r="F1563">
            <v>205.36</v>
          </cell>
        </row>
        <row r="1564">
          <cell r="A1564" t="str">
            <v>6.002.202.4097</v>
          </cell>
          <cell r="B1564" t="str">
            <v>Mantenimiento de Equipo Cómputos</v>
          </cell>
          <cell r="C1564">
            <v>1026.79</v>
          </cell>
          <cell r="F1564">
            <v>1026.79</v>
          </cell>
        </row>
        <row r="1565">
          <cell r="A1565" t="str">
            <v>6.002.202.4104</v>
          </cell>
          <cell r="B1565" t="str">
            <v>Gastos de Limpieza y Cafeteria</v>
          </cell>
          <cell r="C1565">
            <v>1243.1400000000001</v>
          </cell>
          <cell r="D1565">
            <v>253.37</v>
          </cell>
          <cell r="F1565">
            <v>1496.51</v>
          </cell>
        </row>
        <row r="1566">
          <cell r="A1566" t="str">
            <v>6.003.202.4001</v>
          </cell>
          <cell r="B1566" t="str">
            <v>Comisiones de Vendedores</v>
          </cell>
          <cell r="C1566">
            <v>32366.13</v>
          </cell>
          <cell r="D1566">
            <v>4825.71</v>
          </cell>
          <cell r="F1566">
            <v>37191.839999999997</v>
          </cell>
        </row>
        <row r="1567">
          <cell r="A1567" t="str">
            <v>6.003.202.4003</v>
          </cell>
          <cell r="B1567" t="str">
            <v>Cuota Patronal Igss-Irtra e Intecap</v>
          </cell>
          <cell r="C1567">
            <v>9902.23</v>
          </cell>
          <cell r="D1567">
            <v>1313.76</v>
          </cell>
          <cell r="F1567">
            <v>11215.99</v>
          </cell>
        </row>
        <row r="1568">
          <cell r="A1568" t="str">
            <v>6.003.202.4004</v>
          </cell>
          <cell r="B1568" t="str">
            <v>Vacaciones</v>
          </cell>
          <cell r="C1568">
            <v>4042.12</v>
          </cell>
          <cell r="F1568">
            <v>4042.12</v>
          </cell>
        </row>
        <row r="1569">
          <cell r="A1569" t="str">
            <v>6.003.202.4005</v>
          </cell>
          <cell r="B1569" t="str">
            <v>Aguinaldos</v>
          </cell>
          <cell r="C1569">
            <v>6512.9</v>
          </cell>
          <cell r="D1569">
            <v>864.08</v>
          </cell>
          <cell r="F1569">
            <v>7376.98</v>
          </cell>
        </row>
        <row r="1570">
          <cell r="A1570" t="str">
            <v>6.003.202.4006</v>
          </cell>
          <cell r="B1570" t="str">
            <v>Indemnizaciones</v>
          </cell>
          <cell r="C1570">
            <v>6512.9</v>
          </cell>
          <cell r="D1570">
            <v>864.08</v>
          </cell>
          <cell r="F1570">
            <v>7376.98</v>
          </cell>
        </row>
        <row r="1571">
          <cell r="A1571" t="str">
            <v>6.003.202.4008</v>
          </cell>
          <cell r="B1571" t="str">
            <v>Sueldos</v>
          </cell>
          <cell r="C1571">
            <v>41746.69</v>
          </cell>
          <cell r="D1571">
            <v>5543.33</v>
          </cell>
          <cell r="F1571">
            <v>47290.02</v>
          </cell>
        </row>
        <row r="1572">
          <cell r="A1572" t="str">
            <v>6.003.202.4010</v>
          </cell>
          <cell r="B1572" t="str">
            <v>Bonificación 78-89</v>
          </cell>
          <cell r="C1572">
            <v>7658.33</v>
          </cell>
          <cell r="D1572">
            <v>1000</v>
          </cell>
          <cell r="F1572">
            <v>8658.33</v>
          </cell>
        </row>
        <row r="1573">
          <cell r="A1573" t="str">
            <v>6.003.202.4011</v>
          </cell>
          <cell r="B1573" t="str">
            <v>Bonificación Dto. 42-92</v>
          </cell>
          <cell r="C1573">
            <v>6512.9</v>
          </cell>
          <cell r="D1573">
            <v>864.08</v>
          </cell>
          <cell r="F1573">
            <v>7376.98</v>
          </cell>
        </row>
        <row r="1574">
          <cell r="A1574" t="str">
            <v>6.003.202.4073</v>
          </cell>
          <cell r="B1574" t="str">
            <v>Papelería y Utiles</v>
          </cell>
          <cell r="C1574">
            <v>720.21</v>
          </cell>
          <cell r="D1574">
            <v>120.96</v>
          </cell>
          <cell r="F1574">
            <v>841.17</v>
          </cell>
        </row>
        <row r="1575">
          <cell r="A1575" t="str">
            <v>6.003.202.4074</v>
          </cell>
          <cell r="B1575" t="str">
            <v>Fotocopias</v>
          </cell>
          <cell r="C1575">
            <v>22.5</v>
          </cell>
          <cell r="F1575">
            <v>22.5</v>
          </cell>
        </row>
        <row r="1576">
          <cell r="A1576" t="str">
            <v>6.003.202.4078</v>
          </cell>
          <cell r="B1576" t="str">
            <v>Teléfono-Télex-Fax</v>
          </cell>
          <cell r="C1576">
            <v>3301.78</v>
          </cell>
          <cell r="D1576">
            <v>447.32</v>
          </cell>
          <cell r="F1576">
            <v>3749.1</v>
          </cell>
        </row>
        <row r="1577">
          <cell r="A1577" t="str">
            <v>6.003.202.4080</v>
          </cell>
          <cell r="B1577" t="str">
            <v>Agua</v>
          </cell>
          <cell r="C1577">
            <v>610.13</v>
          </cell>
          <cell r="D1577">
            <v>167</v>
          </cell>
          <cell r="F1577">
            <v>777.13</v>
          </cell>
        </row>
        <row r="1578">
          <cell r="A1578" t="str">
            <v>6.003.202.4081</v>
          </cell>
          <cell r="B1578" t="str">
            <v>Electricidad</v>
          </cell>
          <cell r="C1578">
            <v>1801.97</v>
          </cell>
          <cell r="D1578">
            <v>289.52999999999997</v>
          </cell>
          <cell r="F1578">
            <v>2091.5</v>
          </cell>
        </row>
        <row r="1579">
          <cell r="A1579" t="str">
            <v>6.003.202.4082</v>
          </cell>
          <cell r="B1579" t="str">
            <v>Alquileres de Inmuebles</v>
          </cell>
          <cell r="C1579">
            <v>33950</v>
          </cell>
          <cell r="D1579">
            <v>4850</v>
          </cell>
          <cell r="F1579">
            <v>38800</v>
          </cell>
        </row>
        <row r="1580">
          <cell r="A1580" t="str">
            <v>6.003.202.4092</v>
          </cell>
          <cell r="B1580" t="str">
            <v>Gastos Misceláneos</v>
          </cell>
          <cell r="C1580">
            <v>2486.9499999999998</v>
          </cell>
          <cell r="D1580">
            <v>21.7</v>
          </cell>
          <cell r="F1580">
            <v>2508.65</v>
          </cell>
        </row>
        <row r="1581">
          <cell r="A1581" t="str">
            <v>6.003.202.4094</v>
          </cell>
          <cell r="B1581" t="str">
            <v>Mantenimiento de Edificios Ajenos</v>
          </cell>
          <cell r="C1581">
            <v>15199.42</v>
          </cell>
          <cell r="D1581">
            <v>450</v>
          </cell>
          <cell r="F1581">
            <v>15649.42</v>
          </cell>
        </row>
        <row r="1582">
          <cell r="A1582" t="str">
            <v>6.003.202.4095</v>
          </cell>
          <cell r="B1582" t="str">
            <v>Mantenimiento de Equipo Oficina</v>
          </cell>
          <cell r="C1582">
            <v>294.64</v>
          </cell>
          <cell r="F1582">
            <v>294.64</v>
          </cell>
        </row>
        <row r="1583">
          <cell r="A1583" t="str">
            <v>6.003.202.4097</v>
          </cell>
          <cell r="B1583" t="str">
            <v>Mantenimiento de Equipo Cómputos</v>
          </cell>
          <cell r="C1583">
            <v>200.89</v>
          </cell>
          <cell r="F1583">
            <v>200.89</v>
          </cell>
        </row>
        <row r="1584">
          <cell r="A1584" t="str">
            <v>6.003.202.4100</v>
          </cell>
          <cell r="B1584" t="str">
            <v>Seguridad y Vigilancia</v>
          </cell>
          <cell r="C1584">
            <v>16363.6</v>
          </cell>
          <cell r="D1584">
            <v>2045.45</v>
          </cell>
          <cell r="F1584">
            <v>18409.05</v>
          </cell>
        </row>
        <row r="1585">
          <cell r="A1585" t="str">
            <v>6.003.202.4104</v>
          </cell>
          <cell r="B1585" t="str">
            <v>Gastos de Limpieza y Cafeteria</v>
          </cell>
          <cell r="C1585">
            <v>1246.54</v>
          </cell>
          <cell r="D1585">
            <v>277.75</v>
          </cell>
          <cell r="F1585">
            <v>1524.29</v>
          </cell>
        </row>
        <row r="1586">
          <cell r="A1586" t="str">
            <v>6.004.202.4001</v>
          </cell>
          <cell r="B1586" t="str">
            <v>Comisiones de Vendedores</v>
          </cell>
          <cell r="C1586">
            <v>22134.33</v>
          </cell>
          <cell r="D1586">
            <v>2027.61</v>
          </cell>
          <cell r="F1586">
            <v>24161.94</v>
          </cell>
        </row>
        <row r="1587">
          <cell r="A1587" t="str">
            <v>6.004.202.4003</v>
          </cell>
          <cell r="B1587" t="str">
            <v>Cuota Patronal Igss-Irtra e Intecap</v>
          </cell>
          <cell r="C1587">
            <v>7147.62</v>
          </cell>
          <cell r="D1587">
            <v>950.29</v>
          </cell>
          <cell r="F1587">
            <v>8097.91</v>
          </cell>
        </row>
        <row r="1588">
          <cell r="A1588" t="str">
            <v>6.004.202.4004</v>
          </cell>
          <cell r="B1588" t="str">
            <v>Vacaciones</v>
          </cell>
          <cell r="C1588">
            <v>769.54</v>
          </cell>
          <cell r="D1588">
            <v>1857.32</v>
          </cell>
          <cell r="F1588">
            <v>2626.86</v>
          </cell>
        </row>
        <row r="1589">
          <cell r="A1589" t="str">
            <v>6.004.202.4005</v>
          </cell>
          <cell r="B1589" t="str">
            <v>Aguinaldos</v>
          </cell>
          <cell r="C1589">
            <v>4701.1400000000003</v>
          </cell>
          <cell r="D1589">
            <v>625.02</v>
          </cell>
          <cell r="F1589">
            <v>5326.16</v>
          </cell>
        </row>
        <row r="1590">
          <cell r="A1590" t="str">
            <v>6.004.202.4006</v>
          </cell>
          <cell r="B1590" t="str">
            <v>Indemnizaciones</v>
          </cell>
          <cell r="C1590">
            <v>4701.1400000000003</v>
          </cell>
          <cell r="D1590">
            <v>625.02</v>
          </cell>
          <cell r="F1590">
            <v>5326.16</v>
          </cell>
        </row>
        <row r="1591">
          <cell r="A1591" t="str">
            <v>6.004.202.4008</v>
          </cell>
          <cell r="B1591" t="str">
            <v>Sueldos</v>
          </cell>
          <cell r="C1591">
            <v>33509.910000000003</v>
          </cell>
          <cell r="D1591">
            <v>3615.35</v>
          </cell>
          <cell r="F1591">
            <v>37125.26</v>
          </cell>
        </row>
        <row r="1592">
          <cell r="A1592" t="str">
            <v>6.004.202.4010</v>
          </cell>
          <cell r="B1592" t="str">
            <v>Bonificación 78-89</v>
          </cell>
          <cell r="C1592">
            <v>5783.33</v>
          </cell>
          <cell r="D1592">
            <v>616.66999999999996</v>
          </cell>
          <cell r="F1592">
            <v>6400</v>
          </cell>
        </row>
        <row r="1593">
          <cell r="A1593" t="str">
            <v>6.004.202.4011</v>
          </cell>
          <cell r="B1593" t="str">
            <v>Bonificación Dto. 42-92</v>
          </cell>
          <cell r="C1593">
            <v>4701.1400000000003</v>
          </cell>
          <cell r="D1593">
            <v>625.02</v>
          </cell>
          <cell r="F1593">
            <v>5326.16</v>
          </cell>
        </row>
        <row r="1594">
          <cell r="A1594" t="str">
            <v>6.004.202.4073</v>
          </cell>
          <cell r="B1594" t="str">
            <v>Papelería y Utiles</v>
          </cell>
          <cell r="C1594">
            <v>809.02</v>
          </cell>
          <cell r="D1594">
            <v>93.09</v>
          </cell>
          <cell r="F1594">
            <v>902.11</v>
          </cell>
        </row>
        <row r="1595">
          <cell r="A1595" t="str">
            <v>6.004.202.4078</v>
          </cell>
          <cell r="B1595" t="str">
            <v>Teléfono-Télex-Fax</v>
          </cell>
          <cell r="C1595">
            <v>23594.26</v>
          </cell>
          <cell r="D1595">
            <v>2915.82</v>
          </cell>
          <cell r="F1595">
            <v>26510.080000000002</v>
          </cell>
        </row>
        <row r="1596">
          <cell r="A1596" t="str">
            <v>6.004.202.4080</v>
          </cell>
          <cell r="B1596" t="str">
            <v>Agua</v>
          </cell>
          <cell r="C1596">
            <v>1617.54</v>
          </cell>
          <cell r="D1596">
            <v>178.58</v>
          </cell>
          <cell r="F1596">
            <v>1796.12</v>
          </cell>
        </row>
        <row r="1597">
          <cell r="A1597" t="str">
            <v>6.004.202.4081</v>
          </cell>
          <cell r="B1597" t="str">
            <v>Electricidad</v>
          </cell>
          <cell r="C1597">
            <v>2154.1999999999998</v>
          </cell>
          <cell r="D1597">
            <v>161.71</v>
          </cell>
          <cell r="F1597">
            <v>2315.91</v>
          </cell>
        </row>
        <row r="1598">
          <cell r="A1598" t="str">
            <v>6.004.202.4082</v>
          </cell>
          <cell r="B1598" t="str">
            <v>Alquileres de Inmuebles</v>
          </cell>
          <cell r="C1598">
            <v>66032.509999999995</v>
          </cell>
          <cell r="D1598">
            <v>7560.54</v>
          </cell>
          <cell r="F1598">
            <v>73593.05</v>
          </cell>
        </row>
        <row r="1599">
          <cell r="A1599" t="str">
            <v>6.004.202.4092</v>
          </cell>
          <cell r="B1599" t="str">
            <v>Gastos Misceláneos</v>
          </cell>
          <cell r="C1599">
            <v>2301.98</v>
          </cell>
          <cell r="F1599">
            <v>2301.98</v>
          </cell>
        </row>
        <row r="1600">
          <cell r="A1600" t="str">
            <v>6.004.202.4094</v>
          </cell>
          <cell r="B1600" t="str">
            <v>Mantenimiento de Edificios Ajenos</v>
          </cell>
          <cell r="C1600">
            <v>2020.67</v>
          </cell>
          <cell r="D1600">
            <v>219.82</v>
          </cell>
          <cell r="F1600">
            <v>2240.4899999999998</v>
          </cell>
        </row>
        <row r="1601">
          <cell r="A1601" t="str">
            <v>6.004.202.4097</v>
          </cell>
          <cell r="B1601" t="str">
            <v>Mantenimiento de Equipo Cómputos</v>
          </cell>
          <cell r="C1601">
            <v>183.04</v>
          </cell>
          <cell r="F1601">
            <v>183.04</v>
          </cell>
        </row>
        <row r="1602">
          <cell r="A1602" t="str">
            <v>6.004.202.4104</v>
          </cell>
          <cell r="B1602" t="str">
            <v>Gastos de Limpieza y Cafeteria</v>
          </cell>
          <cell r="C1602">
            <v>1088.9100000000001</v>
          </cell>
          <cell r="D1602">
            <v>248.49</v>
          </cell>
          <cell r="F1602">
            <v>1337.4</v>
          </cell>
        </row>
        <row r="1603">
          <cell r="A1603" t="str">
            <v>6.005.201.4001</v>
          </cell>
          <cell r="B1603" t="str">
            <v>Comisiones de Vendedores</v>
          </cell>
          <cell r="C1603">
            <v>723918.2</v>
          </cell>
          <cell r="D1603">
            <v>75950.38</v>
          </cell>
          <cell r="F1603">
            <v>799868.58</v>
          </cell>
        </row>
        <row r="1604">
          <cell r="A1604" t="str">
            <v>6.005.201.4003</v>
          </cell>
          <cell r="B1604" t="str">
            <v>Cuota Patronal Igss-Irtra e Intecap</v>
          </cell>
          <cell r="C1604">
            <v>107043.66</v>
          </cell>
          <cell r="D1604">
            <v>11964.55</v>
          </cell>
          <cell r="F1604">
            <v>119008.21</v>
          </cell>
        </row>
        <row r="1605">
          <cell r="A1605" t="str">
            <v>6.005.201.4004</v>
          </cell>
          <cell r="B1605" t="str">
            <v>Vacaciones</v>
          </cell>
          <cell r="C1605">
            <v>7196.87</v>
          </cell>
          <cell r="D1605">
            <v>1021.43</v>
          </cell>
          <cell r="F1605">
            <v>8218.2999999999993</v>
          </cell>
        </row>
        <row r="1606">
          <cell r="A1606" t="str">
            <v>6.005.201.4005</v>
          </cell>
          <cell r="B1606" t="str">
            <v>Aguinaldos</v>
          </cell>
          <cell r="C1606">
            <v>70404.66</v>
          </cell>
          <cell r="D1606">
            <v>7869.31</v>
          </cell>
          <cell r="F1606">
            <v>78273.97</v>
          </cell>
        </row>
        <row r="1607">
          <cell r="A1607" t="str">
            <v>6.005.201.4006</v>
          </cell>
          <cell r="B1607" t="str">
            <v>Indemnizaciones</v>
          </cell>
          <cell r="C1607">
            <v>70404.66</v>
          </cell>
          <cell r="D1607">
            <v>7869.31</v>
          </cell>
          <cell r="F1607">
            <v>78273.97</v>
          </cell>
        </row>
        <row r="1608">
          <cell r="A1608" t="str">
            <v>6.005.201.4008</v>
          </cell>
          <cell r="B1608" t="str">
            <v>Sueldos</v>
          </cell>
          <cell r="C1608">
            <v>109420</v>
          </cell>
          <cell r="D1608">
            <v>17041.79</v>
          </cell>
          <cell r="F1608">
            <v>126461.79</v>
          </cell>
        </row>
        <row r="1609">
          <cell r="A1609" t="str">
            <v>6.005.201.4009</v>
          </cell>
          <cell r="B1609" t="str">
            <v>Bonificaciones</v>
          </cell>
          <cell r="C1609">
            <v>300</v>
          </cell>
          <cell r="F1609">
            <v>300</v>
          </cell>
        </row>
        <row r="1610">
          <cell r="A1610" t="str">
            <v>6.005.201.4010</v>
          </cell>
          <cell r="B1610" t="str">
            <v>Bonificación 78-89</v>
          </cell>
          <cell r="C1610">
            <v>19483.34</v>
          </cell>
          <cell r="D1610">
            <v>2433.33</v>
          </cell>
          <cell r="F1610">
            <v>21916.67</v>
          </cell>
        </row>
        <row r="1611">
          <cell r="A1611" t="str">
            <v>6.005.201.4011</v>
          </cell>
          <cell r="B1611" t="str">
            <v>Bonificación Dto. 42-92</v>
          </cell>
          <cell r="C1611">
            <v>70404.66</v>
          </cell>
          <cell r="D1611">
            <v>7869.31</v>
          </cell>
          <cell r="F1611">
            <v>78273.97</v>
          </cell>
        </row>
        <row r="1612">
          <cell r="A1612" t="str">
            <v>6.005.201.4012</v>
          </cell>
          <cell r="B1612" t="str">
            <v>Tiempo Extra</v>
          </cell>
          <cell r="C1612">
            <v>5717.2</v>
          </cell>
          <cell r="D1612">
            <v>418.53</v>
          </cell>
          <cell r="F1612">
            <v>6135.73</v>
          </cell>
        </row>
        <row r="1613">
          <cell r="A1613" t="str">
            <v>6.005.201.4052</v>
          </cell>
          <cell r="B1613" t="str">
            <v>Gastos de Entrega (Placas)</v>
          </cell>
          <cell r="C1613">
            <v>714.29</v>
          </cell>
          <cell r="F1613">
            <v>714.29</v>
          </cell>
        </row>
        <row r="1614">
          <cell r="A1614" t="str">
            <v>6.005.201.4056</v>
          </cell>
          <cell r="B1614" t="str">
            <v>Combustibles Autos Nuevos</v>
          </cell>
          <cell r="C1614">
            <v>3709.83</v>
          </cell>
          <cell r="F1614">
            <v>3709.83</v>
          </cell>
        </row>
        <row r="1615">
          <cell r="A1615" t="str">
            <v>6.005.201.4073</v>
          </cell>
          <cell r="B1615" t="str">
            <v>Papelería y Utiles</v>
          </cell>
          <cell r="C1615">
            <v>6373.39</v>
          </cell>
          <cell r="D1615">
            <v>153.47</v>
          </cell>
          <cell r="F1615">
            <v>6526.86</v>
          </cell>
        </row>
        <row r="1616">
          <cell r="A1616" t="str">
            <v>6.005.201.4078</v>
          </cell>
          <cell r="B1616" t="str">
            <v>Teléfono-Télex-Fax</v>
          </cell>
          <cell r="C1616">
            <v>17375</v>
          </cell>
          <cell r="D1616">
            <v>314.27999999999997</v>
          </cell>
          <cell r="F1616">
            <v>17689.28</v>
          </cell>
        </row>
        <row r="1617">
          <cell r="A1617" t="str">
            <v>6.005.201.4081</v>
          </cell>
          <cell r="B1617" t="str">
            <v>Electricidad</v>
          </cell>
          <cell r="C1617">
            <v>26286.93</v>
          </cell>
          <cell r="D1617">
            <v>2878.25</v>
          </cell>
          <cell r="F1617">
            <v>29165.18</v>
          </cell>
        </row>
        <row r="1618">
          <cell r="A1618" t="str">
            <v>6.005.201.4082</v>
          </cell>
          <cell r="B1618" t="str">
            <v>Alquileres de Inmuebles</v>
          </cell>
          <cell r="C1618">
            <v>581210.5</v>
          </cell>
          <cell r="D1618">
            <v>71750.789999999994</v>
          </cell>
          <cell r="F1618">
            <v>652961.29</v>
          </cell>
        </row>
        <row r="1619">
          <cell r="A1619" t="str">
            <v>6.005.201.4092</v>
          </cell>
          <cell r="B1619" t="str">
            <v>Gastos Misceláneos</v>
          </cell>
          <cell r="C1619">
            <v>7921.31</v>
          </cell>
          <cell r="D1619">
            <v>111.33</v>
          </cell>
          <cell r="F1619">
            <v>8032.64</v>
          </cell>
        </row>
        <row r="1620">
          <cell r="A1620" t="str">
            <v>6.005.201.4094</v>
          </cell>
          <cell r="B1620" t="str">
            <v>Mantenimiento de Edificios Ajenos</v>
          </cell>
          <cell r="C1620">
            <v>11427.52</v>
          </cell>
          <cell r="D1620">
            <v>5691.79</v>
          </cell>
          <cell r="F1620">
            <v>17119.310000000001</v>
          </cell>
        </row>
        <row r="1621">
          <cell r="A1621" t="str">
            <v>6.005.201.4095</v>
          </cell>
          <cell r="B1621" t="str">
            <v>Mantenimiento de Equipo Oficina</v>
          </cell>
          <cell r="C1621">
            <v>4716</v>
          </cell>
          <cell r="D1621">
            <v>943.7</v>
          </cell>
          <cell r="F1621">
            <v>5659.7</v>
          </cell>
        </row>
        <row r="1622">
          <cell r="A1622" t="str">
            <v>6.005.201.4097</v>
          </cell>
          <cell r="B1622" t="str">
            <v>Mantenimiento de Equipo Cómputos</v>
          </cell>
          <cell r="C1622">
            <v>492.86</v>
          </cell>
          <cell r="F1622">
            <v>492.86</v>
          </cell>
        </row>
        <row r="1623">
          <cell r="A1623" t="str">
            <v>6.005.201.4100</v>
          </cell>
          <cell r="B1623" t="str">
            <v>Seguridad y Vigilancia</v>
          </cell>
          <cell r="C1623">
            <v>44933.74</v>
          </cell>
          <cell r="D1623">
            <v>3883.93</v>
          </cell>
          <cell r="F1623">
            <v>48817.67</v>
          </cell>
        </row>
        <row r="1624">
          <cell r="A1624" t="str">
            <v>6.005.201.4104</v>
          </cell>
          <cell r="B1624" t="str">
            <v>Gastos de Limpieza y Cafeteria</v>
          </cell>
          <cell r="C1624">
            <v>2946.06</v>
          </cell>
          <cell r="D1624">
            <v>1318.54</v>
          </cell>
          <cell r="F1624">
            <v>4264.6000000000004</v>
          </cell>
        </row>
        <row r="1625">
          <cell r="A1625" t="str">
            <v>6.005.202.4001</v>
          </cell>
          <cell r="B1625" t="str">
            <v>Comisiones de Vendedores</v>
          </cell>
          <cell r="C1625">
            <v>26439.71</v>
          </cell>
          <cell r="D1625">
            <v>3744.11</v>
          </cell>
          <cell r="F1625">
            <v>30183.82</v>
          </cell>
        </row>
        <row r="1626">
          <cell r="A1626" t="str">
            <v>6.005.202.4003</v>
          </cell>
          <cell r="B1626" t="str">
            <v>Cuota Patronal Igss-Irtra e Intecap</v>
          </cell>
          <cell r="C1626">
            <v>7924.11</v>
          </cell>
          <cell r="D1626">
            <v>1056.3800000000001</v>
          </cell>
          <cell r="F1626">
            <v>8980.49</v>
          </cell>
        </row>
        <row r="1627">
          <cell r="A1627" t="str">
            <v>6.005.202.4004</v>
          </cell>
          <cell r="B1627" t="str">
            <v>Vacaciones</v>
          </cell>
          <cell r="C1627">
            <v>2693.73</v>
          </cell>
          <cell r="F1627">
            <v>2693.73</v>
          </cell>
        </row>
        <row r="1628">
          <cell r="A1628" t="str">
            <v>6.005.202.4005</v>
          </cell>
          <cell r="B1628" t="str">
            <v>Aguinaldos</v>
          </cell>
          <cell r="C1628">
            <v>5211.82</v>
          </cell>
          <cell r="D1628">
            <v>694.8</v>
          </cell>
          <cell r="F1628">
            <v>5906.62</v>
          </cell>
        </row>
        <row r="1629">
          <cell r="A1629" t="str">
            <v>6.005.202.4006</v>
          </cell>
          <cell r="B1629" t="str">
            <v>Indemnizaciones</v>
          </cell>
          <cell r="C1629">
            <v>5211.82</v>
          </cell>
          <cell r="D1629">
            <v>694.8</v>
          </cell>
          <cell r="F1629">
            <v>5906.62</v>
          </cell>
        </row>
        <row r="1630">
          <cell r="A1630" t="str">
            <v>6.005.202.4008</v>
          </cell>
          <cell r="B1630" t="str">
            <v>Sueldos</v>
          </cell>
          <cell r="C1630">
            <v>33408.839999999997</v>
          </cell>
          <cell r="D1630">
            <v>4593.5</v>
          </cell>
          <cell r="F1630">
            <v>38002.339999999997</v>
          </cell>
        </row>
        <row r="1631">
          <cell r="A1631" t="str">
            <v>6.005.202.4010</v>
          </cell>
          <cell r="B1631" t="str">
            <v>Bonificación 78-89</v>
          </cell>
          <cell r="C1631">
            <v>5533.34</v>
          </cell>
          <cell r="D1631">
            <v>750</v>
          </cell>
          <cell r="F1631">
            <v>6283.34</v>
          </cell>
        </row>
        <row r="1632">
          <cell r="A1632" t="str">
            <v>6.005.202.4011</v>
          </cell>
          <cell r="B1632" t="str">
            <v>Bonificación Dto. 42-92</v>
          </cell>
          <cell r="C1632">
            <v>5211.82</v>
          </cell>
          <cell r="D1632">
            <v>694.8</v>
          </cell>
          <cell r="F1632">
            <v>5906.62</v>
          </cell>
        </row>
        <row r="1633">
          <cell r="A1633" t="str">
            <v>6.005.202.4073</v>
          </cell>
          <cell r="B1633" t="str">
            <v>Papelería y Utiles</v>
          </cell>
          <cell r="C1633">
            <v>1336.52</v>
          </cell>
          <cell r="D1633">
            <v>93.09</v>
          </cell>
          <cell r="F1633">
            <v>1429.61</v>
          </cell>
        </row>
        <row r="1634">
          <cell r="A1634" t="str">
            <v>6.005.202.4078</v>
          </cell>
          <cell r="B1634" t="str">
            <v>Teléfono-Télex-Fax</v>
          </cell>
          <cell r="C1634">
            <v>30602.26</v>
          </cell>
          <cell r="D1634">
            <v>2778.31</v>
          </cell>
          <cell r="F1634">
            <v>33380.57</v>
          </cell>
        </row>
        <row r="1635">
          <cell r="A1635" t="str">
            <v>6.005.202.4081</v>
          </cell>
          <cell r="B1635" t="str">
            <v>Electricidad</v>
          </cell>
          <cell r="C1635">
            <v>26286.9</v>
          </cell>
          <cell r="D1635">
            <v>2878.25</v>
          </cell>
          <cell r="F1635">
            <v>29165.15</v>
          </cell>
        </row>
        <row r="1636">
          <cell r="A1636" t="str">
            <v>6.005.202.4092</v>
          </cell>
          <cell r="B1636" t="str">
            <v>Gastos Misceláneos</v>
          </cell>
          <cell r="C1636">
            <v>2550.67</v>
          </cell>
          <cell r="F1636">
            <v>2550.67</v>
          </cell>
        </row>
        <row r="1637">
          <cell r="A1637" t="str">
            <v>6.005.202.4093</v>
          </cell>
          <cell r="B1637" t="str">
            <v>Mantenimiento de Edificios Propios</v>
          </cell>
          <cell r="C1637">
            <v>1809.82</v>
          </cell>
          <cell r="F1637">
            <v>1809.82</v>
          </cell>
        </row>
        <row r="1638">
          <cell r="A1638" t="str">
            <v>6.005.202.4094</v>
          </cell>
          <cell r="B1638" t="str">
            <v>Mantenimiento de Edificios Ajenos</v>
          </cell>
          <cell r="C1638">
            <v>3596.5</v>
          </cell>
          <cell r="D1638">
            <v>401.78</v>
          </cell>
          <cell r="F1638">
            <v>3998.28</v>
          </cell>
        </row>
        <row r="1639">
          <cell r="A1639" t="str">
            <v>6.005.202.4100</v>
          </cell>
          <cell r="B1639" t="str">
            <v>Seguridad y Vigilancia</v>
          </cell>
          <cell r="C1639">
            <v>32882.46</v>
          </cell>
          <cell r="D1639">
            <v>3883.93</v>
          </cell>
          <cell r="F1639">
            <v>36766.39</v>
          </cell>
        </row>
        <row r="1640">
          <cell r="A1640" t="str">
            <v>6.005.202.4104</v>
          </cell>
          <cell r="B1640" t="str">
            <v>Gastos de Limpieza y Cafeteria</v>
          </cell>
          <cell r="C1640">
            <v>1470.38</v>
          </cell>
          <cell r="D1640">
            <v>304.27</v>
          </cell>
          <cell r="F1640">
            <v>1774.65</v>
          </cell>
        </row>
        <row r="1641">
          <cell r="A1641" t="str">
            <v>6.005.205.4003</v>
          </cell>
          <cell r="B1641" t="str">
            <v>Cuota Patronal Igss-Irtra e Intecap</v>
          </cell>
          <cell r="C1641">
            <v>1711.49</v>
          </cell>
          <cell r="D1641">
            <v>251.68</v>
          </cell>
          <cell r="F1641">
            <v>1963.17</v>
          </cell>
        </row>
        <row r="1642">
          <cell r="A1642" t="str">
            <v>6.005.205.4005</v>
          </cell>
          <cell r="B1642" t="str">
            <v>Aguinaldos</v>
          </cell>
          <cell r="C1642">
            <v>1125.6600000000001</v>
          </cell>
          <cell r="D1642">
            <v>165.53</v>
          </cell>
          <cell r="F1642">
            <v>1291.19</v>
          </cell>
        </row>
        <row r="1643">
          <cell r="A1643" t="str">
            <v>6.005.205.4006</v>
          </cell>
          <cell r="B1643" t="str">
            <v>Indemnizaciones</v>
          </cell>
          <cell r="C1643">
            <v>1125.6600000000001</v>
          </cell>
          <cell r="D1643">
            <v>165.53</v>
          </cell>
          <cell r="F1643">
            <v>1291.19</v>
          </cell>
        </row>
        <row r="1644">
          <cell r="A1644" t="str">
            <v>6.005.205.4008</v>
          </cell>
          <cell r="B1644" t="str">
            <v>Sueldos</v>
          </cell>
          <cell r="C1644">
            <v>11596</v>
          </cell>
          <cell r="D1644">
            <v>1604</v>
          </cell>
          <cell r="F1644">
            <v>13200</v>
          </cell>
        </row>
        <row r="1645">
          <cell r="A1645" t="str">
            <v>6.005.205.4010</v>
          </cell>
          <cell r="B1645" t="str">
            <v>Bonificación 78-89</v>
          </cell>
          <cell r="C1645">
            <v>2000</v>
          </cell>
          <cell r="D1645">
            <v>250</v>
          </cell>
          <cell r="F1645">
            <v>2250</v>
          </cell>
        </row>
        <row r="1646">
          <cell r="A1646" t="str">
            <v>6.005.205.4011</v>
          </cell>
          <cell r="B1646" t="str">
            <v>Bonificación Dto. 42-92</v>
          </cell>
          <cell r="C1646">
            <v>1125.6600000000001</v>
          </cell>
          <cell r="D1646">
            <v>165.53</v>
          </cell>
          <cell r="F1646">
            <v>1291.19</v>
          </cell>
        </row>
        <row r="1647">
          <cell r="A1647" t="str">
            <v>6.005.205.4012</v>
          </cell>
          <cell r="B1647" t="str">
            <v>Tiempo Extra</v>
          </cell>
          <cell r="C1647">
            <v>1911.95</v>
          </cell>
          <cell r="D1647">
            <v>382.39</v>
          </cell>
          <cell r="F1647">
            <v>2294.34</v>
          </cell>
        </row>
        <row r="1648">
          <cell r="A1648" t="str">
            <v>6.006.201.4001</v>
          </cell>
          <cell r="B1648" t="str">
            <v>Comisiones de Vendedores</v>
          </cell>
          <cell r="C1648">
            <v>666841.01</v>
          </cell>
          <cell r="D1648">
            <v>89554.3</v>
          </cell>
          <cell r="F1648">
            <v>756395.31</v>
          </cell>
        </row>
        <row r="1649">
          <cell r="A1649" t="str">
            <v>6.006.201.4003</v>
          </cell>
          <cell r="B1649" t="str">
            <v>Cuota Patronal Igss-Irtra e Intecap</v>
          </cell>
          <cell r="C1649">
            <v>96214.07</v>
          </cell>
          <cell r="D1649">
            <v>14132.87</v>
          </cell>
          <cell r="F1649">
            <v>110346.94</v>
          </cell>
        </row>
        <row r="1650">
          <cell r="A1650" t="str">
            <v>6.006.201.4004</v>
          </cell>
          <cell r="B1650" t="str">
            <v>Vacaciones</v>
          </cell>
          <cell r="C1650">
            <v>30998.26</v>
          </cell>
          <cell r="D1650">
            <v>8296.01</v>
          </cell>
          <cell r="F1650">
            <v>39294.269999999997</v>
          </cell>
        </row>
        <row r="1651">
          <cell r="A1651" t="str">
            <v>6.006.201.4005</v>
          </cell>
          <cell r="B1651" t="str">
            <v>Aguinaldos</v>
          </cell>
          <cell r="C1651">
            <v>63281.82</v>
          </cell>
          <cell r="D1651">
            <v>9295.4599999999991</v>
          </cell>
          <cell r="F1651">
            <v>72577.279999999999</v>
          </cell>
        </row>
        <row r="1652">
          <cell r="A1652" t="str">
            <v>6.006.201.4006</v>
          </cell>
          <cell r="B1652" t="str">
            <v>Indemnizaciones</v>
          </cell>
          <cell r="C1652">
            <v>63281.82</v>
          </cell>
          <cell r="D1652">
            <v>9295.4599999999991</v>
          </cell>
          <cell r="F1652">
            <v>72577.279999999999</v>
          </cell>
        </row>
        <row r="1653">
          <cell r="A1653" t="str">
            <v>6.006.201.4008</v>
          </cell>
          <cell r="B1653" t="str">
            <v>Sueldos</v>
          </cell>
          <cell r="C1653">
            <v>60862.06</v>
          </cell>
          <cell r="D1653">
            <v>13695.61</v>
          </cell>
          <cell r="F1653">
            <v>74557.67</v>
          </cell>
        </row>
        <row r="1654">
          <cell r="A1654" t="str">
            <v>6.006.201.4009</v>
          </cell>
          <cell r="B1654" t="str">
            <v>Bonificaciones</v>
          </cell>
          <cell r="C1654">
            <v>600</v>
          </cell>
          <cell r="F1654">
            <v>600</v>
          </cell>
        </row>
        <row r="1655">
          <cell r="A1655" t="str">
            <v>6.006.201.4010</v>
          </cell>
          <cell r="B1655" t="str">
            <v>Bonificación 78-89</v>
          </cell>
          <cell r="C1655">
            <v>11425</v>
          </cell>
          <cell r="D1655">
            <v>1491.67</v>
          </cell>
          <cell r="F1655">
            <v>12916.67</v>
          </cell>
        </row>
        <row r="1656">
          <cell r="A1656" t="str">
            <v>6.006.201.4011</v>
          </cell>
          <cell r="B1656" t="str">
            <v>Bonificación Dto. 42-92</v>
          </cell>
          <cell r="C1656">
            <v>63281.82</v>
          </cell>
          <cell r="D1656">
            <v>9295.4599999999991</v>
          </cell>
          <cell r="F1656">
            <v>72577.279999999999</v>
          </cell>
        </row>
        <row r="1657">
          <cell r="A1657" t="str">
            <v>6.006.201.4012</v>
          </cell>
          <cell r="B1657" t="str">
            <v>Tiempo Extra</v>
          </cell>
          <cell r="C1657">
            <v>83.48</v>
          </cell>
          <cell r="F1657">
            <v>83.48</v>
          </cell>
        </row>
        <row r="1658">
          <cell r="A1658" t="str">
            <v>6.006.201.4073</v>
          </cell>
          <cell r="B1658" t="str">
            <v>Papelería y Utiles</v>
          </cell>
          <cell r="C1658">
            <v>1582.79</v>
          </cell>
          <cell r="D1658">
            <v>77.78</v>
          </cell>
          <cell r="F1658">
            <v>1660.57</v>
          </cell>
        </row>
        <row r="1659">
          <cell r="A1659" t="str">
            <v>6.006.201.4078</v>
          </cell>
          <cell r="B1659" t="str">
            <v>Teléfono-Télex-Fax</v>
          </cell>
          <cell r="C1659">
            <v>5923.38</v>
          </cell>
          <cell r="D1659">
            <v>6592.78</v>
          </cell>
          <cell r="F1659">
            <v>12516.16</v>
          </cell>
        </row>
        <row r="1660">
          <cell r="A1660" t="str">
            <v>6.006.201.4080</v>
          </cell>
          <cell r="B1660" t="str">
            <v>Agua</v>
          </cell>
          <cell r="C1660">
            <v>1181.25</v>
          </cell>
          <cell r="F1660">
            <v>1181.25</v>
          </cell>
        </row>
        <row r="1661">
          <cell r="A1661" t="str">
            <v>6.006.201.4082</v>
          </cell>
          <cell r="B1661" t="str">
            <v>Alquileres de Inmuebles</v>
          </cell>
          <cell r="C1661">
            <v>94837.5</v>
          </cell>
          <cell r="D1661">
            <v>11700</v>
          </cell>
          <cell r="F1661">
            <v>106537.5</v>
          </cell>
        </row>
        <row r="1662">
          <cell r="A1662" t="str">
            <v>6.006.201.4092</v>
          </cell>
          <cell r="B1662" t="str">
            <v>Gastos Misceláneos</v>
          </cell>
          <cell r="C1662">
            <v>2001.87</v>
          </cell>
          <cell r="F1662">
            <v>2001.87</v>
          </cell>
        </row>
        <row r="1663">
          <cell r="A1663" t="str">
            <v>6.006.201.4094</v>
          </cell>
          <cell r="B1663" t="str">
            <v>Mantenimiento de Edificios Ajenos</v>
          </cell>
          <cell r="C1663">
            <v>5617.51</v>
          </cell>
          <cell r="D1663">
            <v>799.02</v>
          </cell>
          <cell r="F1663">
            <v>6416.53</v>
          </cell>
        </row>
        <row r="1664">
          <cell r="A1664" t="str">
            <v>6.006.201.4095</v>
          </cell>
          <cell r="B1664" t="str">
            <v>Mantenimiento de Equipo Oficina</v>
          </cell>
          <cell r="C1664">
            <v>584.38</v>
          </cell>
          <cell r="D1664">
            <v>359.25</v>
          </cell>
          <cell r="F1664">
            <v>943.63</v>
          </cell>
        </row>
        <row r="1665">
          <cell r="A1665" t="str">
            <v>6.006.201.4100</v>
          </cell>
          <cell r="B1665" t="str">
            <v>Seguridad y Vigilancia</v>
          </cell>
          <cell r="C1665">
            <v>51659.23</v>
          </cell>
          <cell r="D1665">
            <v>5630.95</v>
          </cell>
          <cell r="F1665">
            <v>57290.18</v>
          </cell>
        </row>
        <row r="1666">
          <cell r="A1666" t="str">
            <v>6.006.201.4104</v>
          </cell>
          <cell r="B1666" t="str">
            <v>Gastos de Limpieza y Cafeteria</v>
          </cell>
          <cell r="C1666">
            <v>2374.81</v>
          </cell>
          <cell r="D1666">
            <v>967.06</v>
          </cell>
          <cell r="F1666">
            <v>3341.87</v>
          </cell>
        </row>
        <row r="1667">
          <cell r="A1667" t="str">
            <v>6.007.201.4001</v>
          </cell>
          <cell r="B1667" t="str">
            <v>Comisiones de Vendedores</v>
          </cell>
          <cell r="C1667">
            <v>1044765.4</v>
          </cell>
          <cell r="D1667">
            <v>111946.52</v>
          </cell>
          <cell r="F1667">
            <v>1156711.92</v>
          </cell>
        </row>
        <row r="1668">
          <cell r="A1668" t="str">
            <v>6.007.201.4003</v>
          </cell>
          <cell r="B1668" t="str">
            <v>Cuota Patronal Igss-Irtra e Intecap</v>
          </cell>
          <cell r="C1668">
            <v>148575.59</v>
          </cell>
          <cell r="D1668">
            <v>17421.63</v>
          </cell>
          <cell r="F1668">
            <v>165997.22</v>
          </cell>
        </row>
        <row r="1669">
          <cell r="A1669" t="str">
            <v>6.007.201.4004</v>
          </cell>
          <cell r="B1669" t="str">
            <v>Vacaciones</v>
          </cell>
          <cell r="C1669">
            <v>42695.06</v>
          </cell>
          <cell r="F1669">
            <v>42695.06</v>
          </cell>
        </row>
        <row r="1670">
          <cell r="A1670" t="str">
            <v>6.007.201.4005</v>
          </cell>
          <cell r="B1670" t="str">
            <v>Aguinaldos</v>
          </cell>
          <cell r="C1670">
            <v>97720.99</v>
          </cell>
          <cell r="D1670">
            <v>11458.54</v>
          </cell>
          <cell r="F1670">
            <v>109179.53</v>
          </cell>
        </row>
        <row r="1671">
          <cell r="A1671" t="str">
            <v>6.007.201.4006</v>
          </cell>
          <cell r="B1671" t="str">
            <v>Indemnizaciones</v>
          </cell>
          <cell r="C1671">
            <v>97720.99</v>
          </cell>
          <cell r="D1671">
            <v>11458.54</v>
          </cell>
          <cell r="F1671">
            <v>109179.53</v>
          </cell>
        </row>
        <row r="1672">
          <cell r="A1672" t="str">
            <v>6.007.201.4008</v>
          </cell>
          <cell r="B1672" t="str">
            <v>Sueldos</v>
          </cell>
          <cell r="C1672">
            <v>90646.080000000002</v>
          </cell>
          <cell r="D1672">
            <v>25121.25</v>
          </cell>
          <cell r="F1672">
            <v>115767.33</v>
          </cell>
        </row>
        <row r="1673">
          <cell r="A1673" t="str">
            <v>6.007.201.4010</v>
          </cell>
          <cell r="B1673" t="str">
            <v>Bonificación 78-89</v>
          </cell>
          <cell r="C1673">
            <v>18425</v>
          </cell>
          <cell r="D1673">
            <v>2500</v>
          </cell>
          <cell r="F1673">
            <v>20925</v>
          </cell>
        </row>
        <row r="1674">
          <cell r="A1674" t="str">
            <v>6.007.201.4011</v>
          </cell>
          <cell r="B1674" t="str">
            <v>Bonificación Dto. 42-92</v>
          </cell>
          <cell r="C1674">
            <v>97720.99</v>
          </cell>
          <cell r="D1674">
            <v>11458.54</v>
          </cell>
          <cell r="F1674">
            <v>109179.53</v>
          </cell>
        </row>
        <row r="1675">
          <cell r="A1675" t="str">
            <v>6.007.201.4012</v>
          </cell>
          <cell r="B1675" t="str">
            <v>Tiempo Extra</v>
          </cell>
          <cell r="C1675">
            <v>2959.56</v>
          </cell>
          <cell r="D1675">
            <v>435.24</v>
          </cell>
          <cell r="F1675">
            <v>3394.8</v>
          </cell>
        </row>
        <row r="1676">
          <cell r="A1676" t="str">
            <v>6.007.201.4052</v>
          </cell>
          <cell r="B1676" t="str">
            <v>Gastos de Entrega (Placas)</v>
          </cell>
          <cell r="C1676">
            <v>714.29</v>
          </cell>
          <cell r="F1676">
            <v>714.29</v>
          </cell>
        </row>
        <row r="1677">
          <cell r="A1677" t="str">
            <v>6.007.201.4054</v>
          </cell>
          <cell r="B1677" t="str">
            <v>Acondicionamiento de Autos</v>
          </cell>
          <cell r="C1677">
            <v>4310.71</v>
          </cell>
          <cell r="F1677">
            <v>4310.71</v>
          </cell>
        </row>
        <row r="1678">
          <cell r="A1678" t="str">
            <v>6.007.201.4073</v>
          </cell>
          <cell r="B1678" t="str">
            <v>Papelería y Utiles</v>
          </cell>
          <cell r="C1678">
            <v>7131.06</v>
          </cell>
          <cell r="D1678">
            <v>566.83000000000004</v>
          </cell>
          <cell r="F1678">
            <v>7697.89</v>
          </cell>
        </row>
        <row r="1679">
          <cell r="A1679" t="str">
            <v>6.007.201.4078</v>
          </cell>
          <cell r="B1679" t="str">
            <v>Teléfono-Télex-Fax</v>
          </cell>
          <cell r="C1679">
            <v>28189.54</v>
          </cell>
          <cell r="D1679">
            <v>3480.73</v>
          </cell>
          <cell r="F1679">
            <v>31670.27</v>
          </cell>
        </row>
        <row r="1680">
          <cell r="A1680" t="str">
            <v>6.007.201.4081</v>
          </cell>
          <cell r="B1680" t="str">
            <v>Electricidad</v>
          </cell>
          <cell r="C1680">
            <v>122457.96</v>
          </cell>
          <cell r="D1680">
            <v>29444.37</v>
          </cell>
          <cell r="E1680">
            <v>11777.75</v>
          </cell>
          <cell r="F1680">
            <v>140124.57999999999</v>
          </cell>
        </row>
        <row r="1681">
          <cell r="A1681" t="str">
            <v>6.007.201.4082</v>
          </cell>
          <cell r="B1681" t="str">
            <v>Alquileres de Inmuebles</v>
          </cell>
          <cell r="C1681">
            <v>484863.24</v>
          </cell>
          <cell r="D1681">
            <v>56406.87</v>
          </cell>
          <cell r="E1681">
            <v>21463.07</v>
          </cell>
          <cell r="F1681">
            <v>519807.04</v>
          </cell>
        </row>
        <row r="1682">
          <cell r="A1682" t="str">
            <v>6.007.201.4092</v>
          </cell>
          <cell r="B1682" t="str">
            <v>Gastos Misceláneos</v>
          </cell>
          <cell r="C1682">
            <v>8593.69</v>
          </cell>
          <cell r="D1682">
            <v>119.11</v>
          </cell>
          <cell r="F1682">
            <v>8712.7999999999993</v>
          </cell>
        </row>
        <row r="1683">
          <cell r="A1683" t="str">
            <v>6.007.201.4093</v>
          </cell>
          <cell r="B1683" t="str">
            <v>Mantenimiento de Edificios Propios</v>
          </cell>
          <cell r="C1683">
            <v>26295.09</v>
          </cell>
          <cell r="D1683">
            <v>1527.23</v>
          </cell>
          <cell r="F1683">
            <v>27822.32</v>
          </cell>
        </row>
        <row r="1684">
          <cell r="A1684" t="str">
            <v>6.007.201.4095</v>
          </cell>
          <cell r="B1684" t="str">
            <v>Mantenimiento de Equipo Oficina</v>
          </cell>
          <cell r="C1684">
            <v>3909.92</v>
          </cell>
          <cell r="D1684">
            <v>335.6</v>
          </cell>
          <cell r="F1684">
            <v>4245.5200000000004</v>
          </cell>
        </row>
        <row r="1685">
          <cell r="A1685" t="str">
            <v>6.007.201.4099</v>
          </cell>
          <cell r="B1685" t="str">
            <v>Amortización Gastos de Organización</v>
          </cell>
          <cell r="C1685">
            <v>9103.36</v>
          </cell>
          <cell r="D1685">
            <v>1137.92</v>
          </cell>
          <cell r="F1685">
            <v>10241.280000000001</v>
          </cell>
        </row>
        <row r="1686">
          <cell r="A1686" t="str">
            <v>6.007.201.4100</v>
          </cell>
          <cell r="B1686" t="str">
            <v>Seguridad y Vigilancia</v>
          </cell>
          <cell r="C1686">
            <v>83823.31</v>
          </cell>
          <cell r="D1686">
            <v>12051.29</v>
          </cell>
          <cell r="F1686">
            <v>95874.6</v>
          </cell>
        </row>
        <row r="1687">
          <cell r="A1687" t="str">
            <v>6.007.201.4104</v>
          </cell>
          <cell r="B1687" t="str">
            <v>Gastos de Limpieza y Cafeteria</v>
          </cell>
          <cell r="C1687">
            <v>4188.9399999999996</v>
          </cell>
          <cell r="D1687">
            <v>1869.11</v>
          </cell>
          <cell r="F1687">
            <v>6058.05</v>
          </cell>
        </row>
        <row r="1688">
          <cell r="A1688" t="str">
            <v>6.007.202.4001</v>
          </cell>
          <cell r="B1688" t="str">
            <v>Comisiones de Vendedores</v>
          </cell>
          <cell r="C1688">
            <v>27989.81</v>
          </cell>
          <cell r="D1688">
            <v>3956.71</v>
          </cell>
          <cell r="F1688">
            <v>31946.52</v>
          </cell>
        </row>
        <row r="1689">
          <cell r="A1689" t="str">
            <v>6.007.202.4003</v>
          </cell>
          <cell r="B1689" t="str">
            <v>Cuota Patronal Igss-Irtra e Intecap</v>
          </cell>
          <cell r="C1689">
            <v>6272.1</v>
          </cell>
          <cell r="D1689">
            <v>844.33</v>
          </cell>
          <cell r="F1689">
            <v>7116.43</v>
          </cell>
        </row>
        <row r="1690">
          <cell r="A1690" t="str">
            <v>6.007.202.4004</v>
          </cell>
          <cell r="B1690" t="str">
            <v>Vacaciones</v>
          </cell>
          <cell r="C1690">
            <v>939.6</v>
          </cell>
          <cell r="F1690">
            <v>939.6</v>
          </cell>
        </row>
        <row r="1691">
          <cell r="A1691" t="str">
            <v>6.007.202.4005</v>
          </cell>
          <cell r="B1691" t="str">
            <v>Aguinaldos</v>
          </cell>
          <cell r="C1691">
            <v>4125.2700000000004</v>
          </cell>
          <cell r="D1691">
            <v>555.33000000000004</v>
          </cell>
          <cell r="F1691">
            <v>4680.6000000000004</v>
          </cell>
        </row>
        <row r="1692">
          <cell r="A1692" t="str">
            <v>6.007.202.4006</v>
          </cell>
          <cell r="B1692" t="str">
            <v>Indemnizaciones</v>
          </cell>
          <cell r="C1692">
            <v>4125.2700000000004</v>
          </cell>
          <cell r="D1692">
            <v>555.33000000000004</v>
          </cell>
          <cell r="F1692">
            <v>4680.6000000000004</v>
          </cell>
        </row>
        <row r="1693">
          <cell r="A1693" t="str">
            <v>6.007.202.4008</v>
          </cell>
          <cell r="B1693" t="str">
            <v>Sueldos</v>
          </cell>
          <cell r="C1693">
            <v>20574.11</v>
          </cell>
          <cell r="D1693">
            <v>2707.33</v>
          </cell>
          <cell r="F1693">
            <v>23281.439999999999</v>
          </cell>
        </row>
        <row r="1694">
          <cell r="A1694" t="str">
            <v>6.007.202.4010</v>
          </cell>
          <cell r="B1694" t="str">
            <v>Bonificación 78-89</v>
          </cell>
          <cell r="C1694">
            <v>3858.33</v>
          </cell>
          <cell r="D1694">
            <v>500</v>
          </cell>
          <cell r="F1694">
            <v>4358.33</v>
          </cell>
        </row>
        <row r="1695">
          <cell r="A1695" t="str">
            <v>6.007.202.4011</v>
          </cell>
          <cell r="B1695" t="str">
            <v>Bonificación Dto. 42-92</v>
          </cell>
          <cell r="C1695">
            <v>4125.2700000000004</v>
          </cell>
          <cell r="D1695">
            <v>555.33000000000004</v>
          </cell>
          <cell r="F1695">
            <v>4680.6000000000004</v>
          </cell>
        </row>
        <row r="1696">
          <cell r="A1696" t="str">
            <v>6.007.202.4073</v>
          </cell>
          <cell r="B1696" t="str">
            <v>Papelería y Utiles</v>
          </cell>
          <cell r="C1696">
            <v>837.56</v>
          </cell>
          <cell r="D1696">
            <v>93.08</v>
          </cell>
          <cell r="F1696">
            <v>930.64</v>
          </cell>
        </row>
        <row r="1697">
          <cell r="A1697" t="str">
            <v>6.007.202.4078</v>
          </cell>
          <cell r="B1697" t="str">
            <v>Teléfono-Télex-Fax</v>
          </cell>
          <cell r="C1697">
            <v>38735.18</v>
          </cell>
          <cell r="D1697">
            <v>6011.71</v>
          </cell>
          <cell r="F1697">
            <v>44746.89</v>
          </cell>
        </row>
        <row r="1698">
          <cell r="A1698" t="str">
            <v>6.007.202.4082</v>
          </cell>
          <cell r="B1698" t="str">
            <v>Alquileres de Inmuebles</v>
          </cell>
          <cell r="C1698">
            <v>190744.58</v>
          </cell>
          <cell r="D1698">
            <v>24209.87</v>
          </cell>
          <cell r="F1698">
            <v>214954.45</v>
          </cell>
        </row>
        <row r="1699">
          <cell r="A1699" t="str">
            <v>6.007.202.4092</v>
          </cell>
          <cell r="B1699" t="str">
            <v>Gastos Misceláneos</v>
          </cell>
          <cell r="C1699">
            <v>2316.77</v>
          </cell>
          <cell r="F1699">
            <v>2316.77</v>
          </cell>
        </row>
        <row r="1700">
          <cell r="A1700" t="str">
            <v>6.007.202.4093</v>
          </cell>
          <cell r="B1700" t="str">
            <v>Mantenimiento de Edificios Propios</v>
          </cell>
          <cell r="C1700">
            <v>7349.69</v>
          </cell>
          <cell r="D1700">
            <v>1002.23</v>
          </cell>
          <cell r="F1700">
            <v>8351.92</v>
          </cell>
        </row>
        <row r="1701">
          <cell r="A1701" t="str">
            <v>6.007.202.4097</v>
          </cell>
          <cell r="B1701" t="str">
            <v>Mantenimiento de Equipo Cómputos</v>
          </cell>
          <cell r="C1701">
            <v>848.21</v>
          </cell>
          <cell r="F1701">
            <v>848.21</v>
          </cell>
        </row>
        <row r="1702">
          <cell r="A1702" t="str">
            <v>6.007.202.4100</v>
          </cell>
          <cell r="B1702" t="str">
            <v>Seguridad y Vigilancia</v>
          </cell>
          <cell r="C1702">
            <v>4900</v>
          </cell>
          <cell r="D1702">
            <v>700</v>
          </cell>
          <cell r="F1702">
            <v>5600</v>
          </cell>
        </row>
        <row r="1703">
          <cell r="A1703" t="str">
            <v>6.007.202.4104</v>
          </cell>
          <cell r="B1703" t="str">
            <v>Gastos de Limpieza y Cafeteria</v>
          </cell>
          <cell r="C1703">
            <v>1339.91</v>
          </cell>
          <cell r="D1703">
            <v>244.92</v>
          </cell>
          <cell r="F1703">
            <v>1584.83</v>
          </cell>
        </row>
        <row r="1704">
          <cell r="A1704" t="str">
            <v>6.007.205.4003</v>
          </cell>
          <cell r="B1704" t="str">
            <v>Cuota Patronal Igss-Irtra e Intecap</v>
          </cell>
          <cell r="C1704">
            <v>2281.4</v>
          </cell>
          <cell r="D1704">
            <v>263.19</v>
          </cell>
          <cell r="F1704">
            <v>2544.59</v>
          </cell>
        </row>
        <row r="1705">
          <cell r="A1705" t="str">
            <v>6.007.205.4005</v>
          </cell>
          <cell r="B1705" t="str">
            <v>Aguinaldos</v>
          </cell>
          <cell r="C1705">
            <v>1500.52</v>
          </cell>
          <cell r="D1705">
            <v>173.1</v>
          </cell>
          <cell r="F1705">
            <v>1673.62</v>
          </cell>
        </row>
        <row r="1706">
          <cell r="A1706" t="str">
            <v>6.007.205.4006</v>
          </cell>
          <cell r="B1706" t="str">
            <v>Indemnizaciones</v>
          </cell>
          <cell r="C1706">
            <v>1500.52</v>
          </cell>
          <cell r="D1706">
            <v>173.1</v>
          </cell>
          <cell r="F1706">
            <v>1673.62</v>
          </cell>
        </row>
        <row r="1707">
          <cell r="A1707" t="str">
            <v>6.007.205.4008</v>
          </cell>
          <cell r="B1707" t="str">
            <v>Sueldos</v>
          </cell>
          <cell r="C1707">
            <v>15695.4</v>
          </cell>
          <cell r="D1707">
            <v>2077.2399999999998</v>
          </cell>
          <cell r="F1707">
            <v>17772.64</v>
          </cell>
        </row>
        <row r="1708">
          <cell r="A1708" t="str">
            <v>6.007.205.4010</v>
          </cell>
          <cell r="B1708" t="str">
            <v>Bonificación 78-89</v>
          </cell>
          <cell r="C1708">
            <v>2000</v>
          </cell>
          <cell r="D1708">
            <v>250</v>
          </cell>
          <cell r="F1708">
            <v>2250</v>
          </cell>
        </row>
        <row r="1709">
          <cell r="A1709" t="str">
            <v>6.007.205.4011</v>
          </cell>
          <cell r="B1709" t="str">
            <v>Bonificación Dto. 42-92</v>
          </cell>
          <cell r="C1709">
            <v>1500.52</v>
          </cell>
          <cell r="D1709">
            <v>173.1</v>
          </cell>
          <cell r="F1709">
            <v>1673.62</v>
          </cell>
        </row>
        <row r="1710">
          <cell r="A1710" t="str">
            <v>6.007.205.4012</v>
          </cell>
          <cell r="B1710" t="str">
            <v>Tiempo Extra</v>
          </cell>
          <cell r="C1710">
            <v>2310.85</v>
          </cell>
          <cell r="F1710">
            <v>2310.85</v>
          </cell>
        </row>
        <row r="1711">
          <cell r="A1711" t="str">
            <v>7.001.211.5000</v>
          </cell>
          <cell r="B1711" t="str">
            <v>Recargos S/Financiamiento Autos</v>
          </cell>
          <cell r="C1711">
            <v>-814.73</v>
          </cell>
          <cell r="F1711">
            <v>-814.73</v>
          </cell>
        </row>
        <row r="1712">
          <cell r="A1712" t="str">
            <v>7.001.211.5004</v>
          </cell>
          <cell r="B1712" t="str">
            <v>Fluctuac Fav Moneda Extranjera</v>
          </cell>
          <cell r="C1712">
            <v>-2093474.07</v>
          </cell>
          <cell r="E1712">
            <v>439506.82</v>
          </cell>
          <cell r="F1712">
            <v>-2532980.89</v>
          </cell>
        </row>
        <row r="1713">
          <cell r="A1713" t="str">
            <v>7.001.211.5005</v>
          </cell>
          <cell r="B1713" t="str">
            <v>Utilidad en Venta Activos Fijos</v>
          </cell>
          <cell r="C1713">
            <v>-1277.95</v>
          </cell>
          <cell r="F1713">
            <v>-1277.95</v>
          </cell>
        </row>
        <row r="1714">
          <cell r="A1714" t="str">
            <v>7.001.211.5009</v>
          </cell>
          <cell r="B1714" t="str">
            <v>Intereses Banc Locales No Afectos</v>
          </cell>
          <cell r="C1714">
            <v>-348844.23</v>
          </cell>
          <cell r="E1714">
            <v>22777.13</v>
          </cell>
          <cell r="F1714">
            <v>-371621.36</v>
          </cell>
        </row>
        <row r="1715">
          <cell r="A1715" t="str">
            <v>7.001.211.5012</v>
          </cell>
          <cell r="B1715" t="str">
            <v>Otros Ingresos No Afectos</v>
          </cell>
          <cell r="C1715">
            <v>-188.89</v>
          </cell>
          <cell r="F1715">
            <v>-188.89</v>
          </cell>
        </row>
        <row r="1716">
          <cell r="A1716" t="str">
            <v>7.001.211.5014</v>
          </cell>
          <cell r="B1716" t="str">
            <v>Otros Ingresos Afectos</v>
          </cell>
          <cell r="C1716">
            <v>-701664.83</v>
          </cell>
          <cell r="D1716">
            <v>292.35000000000002</v>
          </cell>
          <cell r="E1716">
            <v>244986.11</v>
          </cell>
          <cell r="F1716">
            <v>-946358.59</v>
          </cell>
        </row>
        <row r="1717">
          <cell r="A1717" t="str">
            <v>8.001.211.6000</v>
          </cell>
          <cell r="B1717" t="str">
            <v>Intereses S/Ptmos Banc Locales</v>
          </cell>
          <cell r="C1717">
            <v>1153720.53</v>
          </cell>
          <cell r="D1717">
            <v>16538.22</v>
          </cell>
          <cell r="E1717">
            <v>3561.64</v>
          </cell>
          <cell r="F1717">
            <v>1166697.1100000001</v>
          </cell>
        </row>
        <row r="1718">
          <cell r="A1718" t="str">
            <v>8.001.211.6004</v>
          </cell>
          <cell r="B1718" t="str">
            <v>Comisiones Tárjetas de Crédito</v>
          </cell>
          <cell r="C1718">
            <v>75372.710000000006</v>
          </cell>
          <cell r="D1718">
            <v>9017.3700000000008</v>
          </cell>
          <cell r="F1718">
            <v>84390.080000000002</v>
          </cell>
        </row>
        <row r="1719">
          <cell r="A1719" t="str">
            <v>8.001.211.6006</v>
          </cell>
          <cell r="B1719" t="str">
            <v>Fluctuac Desfav Moneda Extranjera</v>
          </cell>
          <cell r="C1719">
            <v>1717061.29</v>
          </cell>
          <cell r="D1719">
            <v>116310.01</v>
          </cell>
          <cell r="E1719">
            <v>107420.77</v>
          </cell>
          <cell r="F1719">
            <v>1725950.53</v>
          </cell>
        </row>
        <row r="1720">
          <cell r="A1720" t="str">
            <v>8.001.211.6007</v>
          </cell>
          <cell r="B1720" t="str">
            <v>Gastos No Deducibles Diversos</v>
          </cell>
          <cell r="C1720">
            <v>1030001.9</v>
          </cell>
          <cell r="D1720">
            <v>104008.09</v>
          </cell>
          <cell r="E1720">
            <v>1127437.6299999999</v>
          </cell>
          <cell r="F1720">
            <v>6572.36</v>
          </cell>
        </row>
        <row r="1721">
          <cell r="A1721" t="str">
            <v>8.001.211.6008</v>
          </cell>
          <cell r="B1721" t="str">
            <v>Gastos Financieros Diversos</v>
          </cell>
          <cell r="C1721">
            <v>1395606.73</v>
          </cell>
          <cell r="D1721">
            <v>137542.1</v>
          </cell>
          <cell r="E1721">
            <v>569.04999999999995</v>
          </cell>
          <cell r="F1721">
            <v>1532579.78</v>
          </cell>
        </row>
        <row r="1722">
          <cell r="A1722" t="str">
            <v>8.001.211.6009</v>
          </cell>
          <cell r="B1722" t="str">
            <v>Otros Gastos Deducibles</v>
          </cell>
          <cell r="C1722">
            <v>67665.649999999994</v>
          </cell>
          <cell r="D1722">
            <v>1146131.07</v>
          </cell>
          <cell r="F1722">
            <v>1213796.72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Agosto"/>
      <sheetName val="RepGast03Ago01"/>
      <sheetName val="RepGast03Ago02"/>
      <sheetName val="RepGast03Ago03"/>
      <sheetName val="RepGast03Ago04"/>
      <sheetName val="RepGast03Ago05"/>
    </sheetNames>
    <sheetDataSet>
      <sheetData sheetId="0"/>
      <sheetData sheetId="1"/>
      <sheetData sheetId="2"/>
      <sheetData sheetId="3">
        <row r="13">
          <cell r="A13">
            <v>80102</v>
          </cell>
          <cell r="B13" t="str">
            <v>Salary-Indirect -</v>
          </cell>
          <cell r="E13">
            <v>0</v>
          </cell>
          <cell r="G13">
            <v>0</v>
          </cell>
          <cell r="H13">
            <v>11973</v>
          </cell>
          <cell r="I13">
            <v>12150</v>
          </cell>
          <cell r="J13">
            <v>12150</v>
          </cell>
          <cell r="K13">
            <v>97200</v>
          </cell>
          <cell r="L13">
            <v>16029</v>
          </cell>
          <cell r="M13">
            <v>16029</v>
          </cell>
          <cell r="N13">
            <v>131598</v>
          </cell>
          <cell r="O13">
            <v>0</v>
          </cell>
          <cell r="Q13">
            <v>0</v>
          </cell>
          <cell r="R13">
            <v>0</v>
          </cell>
        </row>
        <row r="14">
          <cell r="A14">
            <v>80301</v>
          </cell>
          <cell r="B14" t="str">
            <v>Incentive Compensation</v>
          </cell>
          <cell r="C14" t="e">
            <v>#NAME?</v>
          </cell>
          <cell r="E14">
            <v>0</v>
          </cell>
          <cell r="G14">
            <v>0</v>
          </cell>
          <cell r="H14">
            <v>1838</v>
          </cell>
          <cell r="I14">
            <v>2050</v>
          </cell>
          <cell r="J14">
            <v>2050</v>
          </cell>
          <cell r="K14">
            <v>16400</v>
          </cell>
          <cell r="L14">
            <v>0</v>
          </cell>
          <cell r="M14">
            <v>1242</v>
          </cell>
          <cell r="N14">
            <v>7118</v>
          </cell>
          <cell r="O14">
            <v>0</v>
          </cell>
          <cell r="Q14">
            <v>0</v>
          </cell>
          <cell r="R14">
            <v>0</v>
          </cell>
        </row>
        <row r="15">
          <cell r="A15">
            <v>80431</v>
          </cell>
          <cell r="B15" t="str">
            <v>Fringe-Salary-Indirect</v>
          </cell>
          <cell r="C15" t="str">
            <v>-</v>
          </cell>
          <cell r="E15">
            <v>0</v>
          </cell>
          <cell r="G15">
            <v>0</v>
          </cell>
          <cell r="H15">
            <v>2470</v>
          </cell>
          <cell r="I15">
            <v>5062</v>
          </cell>
          <cell r="J15">
            <v>5062</v>
          </cell>
          <cell r="K15">
            <v>47122</v>
          </cell>
          <cell r="L15">
            <v>6577</v>
          </cell>
          <cell r="M15">
            <v>7062</v>
          </cell>
          <cell r="N15">
            <v>62185</v>
          </cell>
          <cell r="O15">
            <v>0</v>
          </cell>
          <cell r="Q15">
            <v>0</v>
          </cell>
          <cell r="R15">
            <v>0</v>
          </cell>
        </row>
        <row r="16">
          <cell r="A16">
            <v>82172</v>
          </cell>
          <cell r="B16" t="str">
            <v>Deductible Dues, Subsc</v>
          </cell>
          <cell r="C16" t="str">
            <v>riptions</v>
          </cell>
          <cell r="E16">
            <v>0</v>
          </cell>
          <cell r="G16">
            <v>0</v>
          </cell>
          <cell r="H16">
            <v>0</v>
          </cell>
          <cell r="I16">
            <v>338</v>
          </cell>
          <cell r="J16">
            <v>0</v>
          </cell>
          <cell r="K16">
            <v>338</v>
          </cell>
          <cell r="L16">
            <v>338</v>
          </cell>
          <cell r="M16">
            <v>0</v>
          </cell>
          <cell r="N16">
            <v>338</v>
          </cell>
          <cell r="O16">
            <v>0</v>
          </cell>
          <cell r="Q16">
            <v>0</v>
          </cell>
          <cell r="R16">
            <v>0</v>
          </cell>
        </row>
        <row r="17">
          <cell r="A17">
            <v>82202</v>
          </cell>
          <cell r="B17" t="str">
            <v>Office Supplies</v>
          </cell>
          <cell r="E17">
            <v>0</v>
          </cell>
          <cell r="G17">
            <v>0</v>
          </cell>
          <cell r="H17">
            <v>212</v>
          </cell>
          <cell r="I17">
            <v>198</v>
          </cell>
          <cell r="J17">
            <v>85</v>
          </cell>
          <cell r="K17">
            <v>1020</v>
          </cell>
          <cell r="L17">
            <v>228</v>
          </cell>
          <cell r="M17">
            <v>105</v>
          </cell>
          <cell r="N17">
            <v>4056</v>
          </cell>
          <cell r="O17">
            <v>0</v>
          </cell>
          <cell r="Q17">
            <v>0</v>
          </cell>
          <cell r="R17">
            <v>0</v>
          </cell>
        </row>
        <row r="18">
          <cell r="A18">
            <v>82231</v>
          </cell>
          <cell r="B18" t="str">
            <v>Telephone &amp; Fax</v>
          </cell>
          <cell r="E18">
            <v>0</v>
          </cell>
          <cell r="G18">
            <v>0</v>
          </cell>
          <cell r="H18">
            <v>2429</v>
          </cell>
          <cell r="I18">
            <v>1714</v>
          </cell>
          <cell r="J18">
            <v>1524</v>
          </cell>
          <cell r="K18">
            <v>10471</v>
          </cell>
          <cell r="L18">
            <v>1714</v>
          </cell>
          <cell r="M18">
            <v>1521</v>
          </cell>
          <cell r="N18">
            <v>8969</v>
          </cell>
          <cell r="O18">
            <v>0</v>
          </cell>
          <cell r="Q18">
            <v>0</v>
          </cell>
          <cell r="R18">
            <v>0</v>
          </cell>
        </row>
        <row r="19">
          <cell r="A19">
            <v>82301</v>
          </cell>
          <cell r="B19" t="str">
            <v>Mail -</v>
          </cell>
          <cell r="E19">
            <v>0</v>
          </cell>
          <cell r="G19">
            <v>0</v>
          </cell>
          <cell r="H19">
            <v>465</v>
          </cell>
          <cell r="I19">
            <v>0</v>
          </cell>
          <cell r="J19">
            <v>0</v>
          </cell>
          <cell r="K19">
            <v>144</v>
          </cell>
          <cell r="L19">
            <v>244</v>
          </cell>
          <cell r="M19">
            <v>215</v>
          </cell>
          <cell r="N19">
            <v>872</v>
          </cell>
          <cell r="O19">
            <v>0</v>
          </cell>
          <cell r="Q19">
            <v>0</v>
          </cell>
          <cell r="R19">
            <v>0</v>
          </cell>
        </row>
        <row r="20">
          <cell r="A20">
            <v>82404</v>
          </cell>
          <cell r="B20" t="str">
            <v>Auto</v>
          </cell>
          <cell r="E20">
            <v>0</v>
          </cell>
          <cell r="G20">
            <v>0</v>
          </cell>
          <cell r="H20">
            <v>1171</v>
          </cell>
          <cell r="I20">
            <v>1200</v>
          </cell>
          <cell r="J20">
            <v>1200</v>
          </cell>
          <cell r="K20">
            <v>9750</v>
          </cell>
          <cell r="L20">
            <v>3781</v>
          </cell>
          <cell r="M20">
            <v>1800</v>
          </cell>
          <cell r="N20">
            <v>27002</v>
          </cell>
          <cell r="O20">
            <v>0</v>
          </cell>
          <cell r="Q20">
            <v>0</v>
          </cell>
          <cell r="R20">
            <v>0</v>
          </cell>
        </row>
        <row r="21">
          <cell r="A21">
            <v>82405</v>
          </cell>
          <cell r="B21" t="str">
            <v>Travel</v>
          </cell>
          <cell r="E21">
            <v>0</v>
          </cell>
          <cell r="G21">
            <v>0</v>
          </cell>
          <cell r="H21">
            <v>23302</v>
          </cell>
          <cell r="I21">
            <v>992</v>
          </cell>
          <cell r="J21">
            <v>0</v>
          </cell>
          <cell r="K21">
            <v>52321</v>
          </cell>
          <cell r="L21">
            <v>0</v>
          </cell>
          <cell r="M21">
            <v>12929</v>
          </cell>
          <cell r="N21">
            <v>50929</v>
          </cell>
          <cell r="O21">
            <v>0</v>
          </cell>
          <cell r="Q21">
            <v>0</v>
          </cell>
          <cell r="R21">
            <v>0</v>
          </cell>
        </row>
        <row r="22">
          <cell r="A22">
            <v>82491</v>
          </cell>
          <cell r="B22" t="str">
            <v>Meals</v>
          </cell>
          <cell r="E22">
            <v>0</v>
          </cell>
          <cell r="G22">
            <v>0</v>
          </cell>
          <cell r="H22">
            <v>2672</v>
          </cell>
          <cell r="I22">
            <v>7</v>
          </cell>
          <cell r="J22">
            <v>66</v>
          </cell>
          <cell r="K22">
            <v>1641</v>
          </cell>
          <cell r="L22">
            <v>7</v>
          </cell>
          <cell r="M22">
            <v>345</v>
          </cell>
          <cell r="N22">
            <v>351</v>
          </cell>
          <cell r="O22">
            <v>0</v>
          </cell>
          <cell r="Q22">
            <v>0</v>
          </cell>
          <cell r="R22">
            <v>0</v>
          </cell>
        </row>
        <row r="23">
          <cell r="A23">
            <v>82521</v>
          </cell>
          <cell r="B23" t="str">
            <v>Entertainment -</v>
          </cell>
          <cell r="E23">
            <v>0</v>
          </cell>
          <cell r="G23">
            <v>0</v>
          </cell>
          <cell r="H23">
            <v>2492</v>
          </cell>
          <cell r="I23">
            <v>1592</v>
          </cell>
          <cell r="J23">
            <v>0</v>
          </cell>
          <cell r="K23">
            <v>9072</v>
          </cell>
          <cell r="L23" t="str">
            <v>2,075-</v>
          </cell>
          <cell r="M23">
            <v>11339</v>
          </cell>
          <cell r="N23">
            <v>14637</v>
          </cell>
          <cell r="O23">
            <v>0</v>
          </cell>
          <cell r="Q23">
            <v>0</v>
          </cell>
          <cell r="R23">
            <v>0</v>
          </cell>
        </row>
        <row r="24">
          <cell r="A24">
            <v>83007</v>
          </cell>
          <cell r="B24" t="str">
            <v>Bank Charges</v>
          </cell>
          <cell r="E24">
            <v>0</v>
          </cell>
          <cell r="G24">
            <v>0</v>
          </cell>
          <cell r="H24">
            <v>120</v>
          </cell>
          <cell r="I24">
            <v>0</v>
          </cell>
          <cell r="J24">
            <v>0</v>
          </cell>
          <cell r="K24">
            <v>119</v>
          </cell>
          <cell r="L24">
            <v>0</v>
          </cell>
          <cell r="M24">
            <v>0</v>
          </cell>
          <cell r="N24">
            <v>238</v>
          </cell>
          <cell r="O24">
            <v>0</v>
          </cell>
          <cell r="Q24">
            <v>0</v>
          </cell>
          <cell r="R24">
            <v>0</v>
          </cell>
        </row>
        <row r="25">
          <cell r="A25">
            <v>83014</v>
          </cell>
          <cell r="B25" t="str">
            <v>Professional Services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2549</v>
          </cell>
          <cell r="M25">
            <v>392</v>
          </cell>
          <cell r="N25">
            <v>3434</v>
          </cell>
          <cell r="O25">
            <v>0</v>
          </cell>
          <cell r="Q25">
            <v>0</v>
          </cell>
          <cell r="R25">
            <v>0</v>
          </cell>
        </row>
        <row r="26">
          <cell r="A26">
            <v>83102</v>
          </cell>
          <cell r="B26" t="str">
            <v>Acarreo y Transporte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1397</v>
          </cell>
          <cell r="L26">
            <v>0</v>
          </cell>
          <cell r="M26">
            <v>0</v>
          </cell>
          <cell r="N26">
            <v>775</v>
          </cell>
          <cell r="O26">
            <v>0</v>
          </cell>
          <cell r="Q26">
            <v>0</v>
          </cell>
          <cell r="R26">
            <v>0</v>
          </cell>
        </row>
        <row r="27">
          <cell r="A27">
            <v>83410</v>
          </cell>
          <cell r="B27" t="str">
            <v>Registros de Productos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77</v>
          </cell>
          <cell r="L27">
            <v>7537</v>
          </cell>
          <cell r="M27">
            <v>0</v>
          </cell>
          <cell r="N27">
            <v>26867</v>
          </cell>
          <cell r="O27">
            <v>0</v>
          </cell>
          <cell r="Q27">
            <v>0</v>
          </cell>
          <cell r="R27">
            <v>0</v>
          </cell>
        </row>
        <row r="28">
          <cell r="A28">
            <v>83610</v>
          </cell>
          <cell r="B28" t="str">
            <v>Conventions, Seminars</v>
          </cell>
          <cell r="E28">
            <v>0</v>
          </cell>
          <cell r="G28">
            <v>0</v>
          </cell>
          <cell r="H28">
            <v>0</v>
          </cell>
          <cell r="I28">
            <v>515</v>
          </cell>
          <cell r="J28">
            <v>1342</v>
          </cell>
          <cell r="K28">
            <v>6656</v>
          </cell>
          <cell r="L28">
            <v>515</v>
          </cell>
          <cell r="M28">
            <v>1342</v>
          </cell>
          <cell r="N28">
            <v>18012</v>
          </cell>
          <cell r="O28">
            <v>0</v>
          </cell>
          <cell r="Q28">
            <v>0</v>
          </cell>
          <cell r="R28">
            <v>0</v>
          </cell>
        </row>
        <row r="29">
          <cell r="A29">
            <v>83652</v>
          </cell>
          <cell r="B29" t="str">
            <v>Marketing Promotional</v>
          </cell>
          <cell r="C29" t="str">
            <v>Exp -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576</v>
          </cell>
          <cell r="L29">
            <v>0</v>
          </cell>
          <cell r="M29">
            <v>0</v>
          </cell>
          <cell r="N29">
            <v>1940</v>
          </cell>
          <cell r="O29">
            <v>0</v>
          </cell>
          <cell r="Q29">
            <v>0</v>
          </cell>
          <cell r="R29">
            <v>0</v>
          </cell>
        </row>
        <row r="30">
          <cell r="A30">
            <v>83704</v>
          </cell>
          <cell r="B30" t="str">
            <v>Advertising Expenses -</v>
          </cell>
          <cell r="C30" t="str">
            <v>EIS</v>
          </cell>
          <cell r="E30">
            <v>0</v>
          </cell>
          <cell r="G30">
            <v>0</v>
          </cell>
          <cell r="H30">
            <v>0</v>
          </cell>
          <cell r="I30">
            <v>2454</v>
          </cell>
          <cell r="J30">
            <v>576</v>
          </cell>
          <cell r="K30">
            <v>4758</v>
          </cell>
          <cell r="L30">
            <v>1878</v>
          </cell>
          <cell r="M30">
            <v>0</v>
          </cell>
          <cell r="N30">
            <v>1878</v>
          </cell>
          <cell r="O30">
            <v>0</v>
          </cell>
          <cell r="Q30">
            <v>0</v>
          </cell>
          <cell r="R30">
            <v>0</v>
          </cell>
        </row>
        <row r="31">
          <cell r="A31">
            <v>83757</v>
          </cell>
          <cell r="B31" t="str">
            <v>Other Samples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4786</v>
          </cell>
          <cell r="L31">
            <v>0</v>
          </cell>
          <cell r="M31">
            <v>0</v>
          </cell>
          <cell r="N31">
            <v>301</v>
          </cell>
          <cell r="O31">
            <v>0</v>
          </cell>
          <cell r="Q31">
            <v>0</v>
          </cell>
          <cell r="R31">
            <v>0</v>
          </cell>
        </row>
        <row r="32">
          <cell r="A32">
            <v>83802</v>
          </cell>
          <cell r="B32" t="str">
            <v>Patrocinios/Grant</v>
          </cell>
          <cell r="E32">
            <v>0</v>
          </cell>
          <cell r="G32">
            <v>0</v>
          </cell>
          <cell r="H32">
            <v>12000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20704</v>
          </cell>
          <cell r="O32">
            <v>0</v>
          </cell>
          <cell r="Q32">
            <v>0</v>
          </cell>
          <cell r="R32">
            <v>0</v>
          </cell>
        </row>
        <row r="33">
          <cell r="A33">
            <v>84108</v>
          </cell>
          <cell r="B33" t="str">
            <v>Insurance and Bonds</v>
          </cell>
          <cell r="E33">
            <v>0</v>
          </cell>
          <cell r="G33">
            <v>0</v>
          </cell>
          <cell r="H33">
            <v>0</v>
          </cell>
          <cell r="I33">
            <v>1019</v>
          </cell>
          <cell r="J33">
            <v>0</v>
          </cell>
          <cell r="K33">
            <v>7759</v>
          </cell>
          <cell r="L33">
            <v>411</v>
          </cell>
          <cell r="M33">
            <v>1453</v>
          </cell>
          <cell r="N33">
            <v>3373</v>
          </cell>
          <cell r="O33">
            <v>0</v>
          </cell>
          <cell r="Q33">
            <v>0</v>
          </cell>
          <cell r="R33">
            <v>0</v>
          </cell>
        </row>
        <row r="34">
          <cell r="A34">
            <v>84206</v>
          </cell>
          <cell r="B34" t="str">
            <v>Local Duties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1194</v>
          </cell>
          <cell r="L34">
            <v>0</v>
          </cell>
          <cell r="M34">
            <v>0</v>
          </cell>
          <cell r="N34">
            <v>203</v>
          </cell>
          <cell r="O34">
            <v>0</v>
          </cell>
          <cell r="Q34">
            <v>0</v>
          </cell>
          <cell r="R34">
            <v>0</v>
          </cell>
        </row>
        <row r="35">
          <cell r="A35">
            <v>84431</v>
          </cell>
          <cell r="B35" t="str">
            <v>Rent</v>
          </cell>
          <cell r="E35">
            <v>0</v>
          </cell>
          <cell r="G35">
            <v>0</v>
          </cell>
          <cell r="H35">
            <v>1785</v>
          </cell>
          <cell r="I35">
            <v>762</v>
          </cell>
          <cell r="J35">
            <v>765</v>
          </cell>
          <cell r="K35">
            <v>3052</v>
          </cell>
          <cell r="L35">
            <v>762</v>
          </cell>
          <cell r="M35">
            <v>765</v>
          </cell>
          <cell r="N35">
            <v>3052</v>
          </cell>
          <cell r="O35">
            <v>0</v>
          </cell>
          <cell r="Q35">
            <v>0</v>
          </cell>
          <cell r="R35">
            <v>0</v>
          </cell>
        </row>
        <row r="36">
          <cell r="A36">
            <v>84780</v>
          </cell>
          <cell r="B36" t="str">
            <v>Maintenance Expenses -</v>
          </cell>
          <cell r="C36" t="str">
            <v>Limpieza</v>
          </cell>
          <cell r="E36">
            <v>0</v>
          </cell>
          <cell r="G36">
            <v>0</v>
          </cell>
          <cell r="H36">
            <v>0</v>
          </cell>
          <cell r="I36">
            <v>650</v>
          </cell>
          <cell r="J36">
            <v>1031</v>
          </cell>
          <cell r="K36">
            <v>4538</v>
          </cell>
          <cell r="L36">
            <v>703</v>
          </cell>
          <cell r="M36">
            <v>1107</v>
          </cell>
          <cell r="N36">
            <v>5015</v>
          </cell>
          <cell r="O36">
            <v>0</v>
          </cell>
          <cell r="Q36">
            <v>0</v>
          </cell>
          <cell r="R36">
            <v>0</v>
          </cell>
        </row>
        <row r="37">
          <cell r="A37">
            <v>85141</v>
          </cell>
          <cell r="B37" t="str">
            <v>Depreciation - Office</v>
          </cell>
          <cell r="C37" t="str">
            <v>Equip.</v>
          </cell>
          <cell r="E37">
            <v>0</v>
          </cell>
          <cell r="G37">
            <v>0</v>
          </cell>
          <cell r="H37">
            <v>472</v>
          </cell>
          <cell r="I37">
            <v>2501</v>
          </cell>
          <cell r="J37">
            <v>3853</v>
          </cell>
          <cell r="K37">
            <v>21363</v>
          </cell>
          <cell r="L37">
            <v>747</v>
          </cell>
          <cell r="M37">
            <v>2099</v>
          </cell>
          <cell r="N37">
            <v>7328</v>
          </cell>
          <cell r="O37">
            <v>0</v>
          </cell>
          <cell r="Q37">
            <v>0</v>
          </cell>
          <cell r="R37">
            <v>0</v>
          </cell>
        </row>
      </sheetData>
      <sheetData sheetId="4">
        <row r="13">
          <cell r="A13">
            <v>80102</v>
          </cell>
          <cell r="B13" t="str">
            <v>Salary-Indirect -</v>
          </cell>
          <cell r="D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4500</v>
          </cell>
          <cell r="M13">
            <v>4500</v>
          </cell>
          <cell r="N13">
            <v>34286</v>
          </cell>
          <cell r="O13">
            <v>4750</v>
          </cell>
          <cell r="P13">
            <v>4750</v>
          </cell>
          <cell r="Q13">
            <v>38000</v>
          </cell>
        </row>
        <row r="14">
          <cell r="A14">
            <v>80301</v>
          </cell>
          <cell r="B14" t="str">
            <v>Incentive Compensation-Indire</v>
          </cell>
          <cell r="D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1242</v>
          </cell>
          <cell r="N14">
            <v>3164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80431</v>
          </cell>
          <cell r="B15" t="str">
            <v>Fringe-Salary-Indirect -</v>
          </cell>
          <cell r="D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2074</v>
          </cell>
          <cell r="M15">
            <v>2559</v>
          </cell>
          <cell r="N15">
            <v>21424</v>
          </cell>
          <cell r="O15">
            <v>2171</v>
          </cell>
          <cell r="P15">
            <v>2171</v>
          </cell>
          <cell r="Q15">
            <v>21585</v>
          </cell>
        </row>
        <row r="16">
          <cell r="A16">
            <v>82172</v>
          </cell>
          <cell r="B16" t="str">
            <v>Deductible Dues, Subscriptions</v>
          </cell>
          <cell r="D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338</v>
          </cell>
          <cell r="M16">
            <v>0</v>
          </cell>
          <cell r="N16">
            <v>338</v>
          </cell>
          <cell r="O16">
            <v>338</v>
          </cell>
          <cell r="P16">
            <v>0</v>
          </cell>
          <cell r="Q16">
            <v>338</v>
          </cell>
        </row>
        <row r="17">
          <cell r="A17">
            <v>82202</v>
          </cell>
          <cell r="B17" t="str">
            <v>Office Supplies</v>
          </cell>
          <cell r="D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119</v>
          </cell>
          <cell r="M17">
            <v>51</v>
          </cell>
          <cell r="N17">
            <v>1778</v>
          </cell>
          <cell r="O17">
            <v>119</v>
          </cell>
          <cell r="P17">
            <v>265</v>
          </cell>
          <cell r="Q17">
            <v>6021</v>
          </cell>
        </row>
        <row r="18">
          <cell r="A18">
            <v>82231</v>
          </cell>
          <cell r="B18" t="str">
            <v>Telephone &amp; Fax</v>
          </cell>
          <cell r="D18">
            <v>0</v>
          </cell>
          <cell r="F18">
            <v>0</v>
          </cell>
          <cell r="H18" t="str">
            <v>340-</v>
          </cell>
          <cell r="I18">
            <v>0</v>
          </cell>
          <cell r="J18">
            <v>0</v>
          </cell>
          <cell r="K18">
            <v>340</v>
          </cell>
          <cell r="L18">
            <v>1132</v>
          </cell>
          <cell r="M18">
            <v>798</v>
          </cell>
          <cell r="N18">
            <v>6283</v>
          </cell>
          <cell r="O18">
            <v>982</v>
          </cell>
          <cell r="P18">
            <v>798</v>
          </cell>
          <cell r="Q18">
            <v>6326</v>
          </cell>
        </row>
        <row r="19">
          <cell r="A19">
            <v>82301</v>
          </cell>
          <cell r="B19" t="str">
            <v>Mail -</v>
          </cell>
          <cell r="D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217</v>
          </cell>
          <cell r="O19">
            <v>377</v>
          </cell>
          <cell r="P19">
            <v>0</v>
          </cell>
          <cell r="Q19">
            <v>960</v>
          </cell>
        </row>
        <row r="20">
          <cell r="A20">
            <v>82404</v>
          </cell>
          <cell r="B20" t="str">
            <v>Auto</v>
          </cell>
          <cell r="D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2239</v>
          </cell>
          <cell r="M20">
            <v>1700</v>
          </cell>
          <cell r="N20">
            <v>12376</v>
          </cell>
          <cell r="O20">
            <v>1200</v>
          </cell>
          <cell r="P20">
            <v>1200</v>
          </cell>
          <cell r="Q20">
            <v>9600</v>
          </cell>
        </row>
        <row r="21">
          <cell r="A21">
            <v>82405</v>
          </cell>
          <cell r="B21" t="str">
            <v>Travel</v>
          </cell>
          <cell r="D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143</v>
          </cell>
          <cell r="O21">
            <v>0</v>
          </cell>
          <cell r="P21">
            <v>856</v>
          </cell>
          <cell r="Q21">
            <v>7254</v>
          </cell>
        </row>
        <row r="22">
          <cell r="A22">
            <v>82491</v>
          </cell>
          <cell r="B22" t="str">
            <v>Meals</v>
          </cell>
          <cell r="D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7</v>
          </cell>
          <cell r="M22">
            <v>66</v>
          </cell>
          <cell r="N22">
            <v>72</v>
          </cell>
          <cell r="O22">
            <v>107</v>
          </cell>
          <cell r="P22">
            <v>66</v>
          </cell>
          <cell r="Q22">
            <v>372</v>
          </cell>
        </row>
        <row r="23">
          <cell r="A23">
            <v>82521</v>
          </cell>
          <cell r="B23" t="str">
            <v>Entertainment -</v>
          </cell>
          <cell r="D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94</v>
          </cell>
          <cell r="O23">
            <v>0</v>
          </cell>
          <cell r="P23">
            <v>0</v>
          </cell>
          <cell r="Q23">
            <v>549</v>
          </cell>
        </row>
        <row r="24">
          <cell r="A24">
            <v>82602</v>
          </cell>
          <cell r="B24" t="str">
            <v>Vehicle Lease Expense -</v>
          </cell>
          <cell r="D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165</v>
          </cell>
          <cell r="P24">
            <v>265</v>
          </cell>
          <cell r="Q24">
            <v>429</v>
          </cell>
        </row>
        <row r="25">
          <cell r="A25">
            <v>83004</v>
          </cell>
          <cell r="B25" t="str">
            <v>Consulting Fees - EIS</v>
          </cell>
          <cell r="D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2040</v>
          </cell>
          <cell r="Q25">
            <v>2040</v>
          </cell>
        </row>
        <row r="26">
          <cell r="A26">
            <v>83014</v>
          </cell>
          <cell r="B26" t="str">
            <v>Professional Services</v>
          </cell>
          <cell r="D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6349</v>
          </cell>
          <cell r="P26">
            <v>16482</v>
          </cell>
          <cell r="Q26">
            <v>25957</v>
          </cell>
        </row>
        <row r="27">
          <cell r="A27">
            <v>83102</v>
          </cell>
          <cell r="B27" t="str">
            <v>Acarreo y Transporte</v>
          </cell>
          <cell r="D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172</v>
          </cell>
          <cell r="O27">
            <v>0</v>
          </cell>
          <cell r="P27">
            <v>0</v>
          </cell>
          <cell r="Q27">
            <v>292</v>
          </cell>
        </row>
        <row r="28">
          <cell r="A28">
            <v>83410</v>
          </cell>
          <cell r="B28" t="str">
            <v>Registros de Productos</v>
          </cell>
          <cell r="D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211</v>
          </cell>
          <cell r="P28">
            <v>0</v>
          </cell>
          <cell r="Q28">
            <v>211</v>
          </cell>
        </row>
        <row r="29">
          <cell r="A29">
            <v>83610</v>
          </cell>
          <cell r="B29" t="str">
            <v>Conventions, Seminars</v>
          </cell>
          <cell r="D29">
            <v>0</v>
          </cell>
          <cell r="F29">
            <v>0</v>
          </cell>
          <cell r="H29">
            <v>0</v>
          </cell>
          <cell r="I29">
            <v>515</v>
          </cell>
          <cell r="J29">
            <v>0</v>
          </cell>
          <cell r="K29">
            <v>515</v>
          </cell>
          <cell r="L29">
            <v>515</v>
          </cell>
          <cell r="M29">
            <v>0</v>
          </cell>
          <cell r="N29">
            <v>5314</v>
          </cell>
          <cell r="O29">
            <v>515</v>
          </cell>
          <cell r="P29">
            <v>1342</v>
          </cell>
          <cell r="Q29">
            <v>6656</v>
          </cell>
        </row>
        <row r="30">
          <cell r="A30">
            <v>83652</v>
          </cell>
          <cell r="B30" t="str">
            <v>Marketing Promotional Exp -</v>
          </cell>
          <cell r="D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158</v>
          </cell>
          <cell r="O30">
            <v>0</v>
          </cell>
          <cell r="P30">
            <v>0</v>
          </cell>
          <cell r="Q30">
            <v>267</v>
          </cell>
        </row>
        <row r="31">
          <cell r="A31">
            <v>83704</v>
          </cell>
          <cell r="B31" t="str">
            <v>Advertising Expenses - EIS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158</v>
          </cell>
          <cell r="M31">
            <v>158</v>
          </cell>
          <cell r="N31">
            <v>791</v>
          </cell>
          <cell r="O31">
            <v>2145</v>
          </cell>
          <cell r="P31">
            <v>267</v>
          </cell>
          <cell r="Q31">
            <v>3214</v>
          </cell>
        </row>
        <row r="32">
          <cell r="A32">
            <v>83752</v>
          </cell>
          <cell r="B32" t="str">
            <v>Renal</v>
          </cell>
          <cell r="D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14522</v>
          </cell>
          <cell r="P32">
            <v>0</v>
          </cell>
          <cell r="Q32">
            <v>14522</v>
          </cell>
        </row>
        <row r="33">
          <cell r="A33">
            <v>83754</v>
          </cell>
          <cell r="B33" t="str">
            <v>Fenwal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199</v>
          </cell>
          <cell r="P33">
            <v>0</v>
          </cell>
          <cell r="Q33">
            <v>199</v>
          </cell>
        </row>
        <row r="34">
          <cell r="A34">
            <v>83757</v>
          </cell>
          <cell r="B34" t="str">
            <v>Other Samples</v>
          </cell>
          <cell r="D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14470</v>
          </cell>
        </row>
        <row r="35">
          <cell r="A35">
            <v>83802</v>
          </cell>
          <cell r="B35" t="str">
            <v>Patrocinios/Grant</v>
          </cell>
          <cell r="D35">
            <v>0</v>
          </cell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5,485-</v>
          </cell>
          <cell r="O35">
            <v>9528</v>
          </cell>
          <cell r="P35">
            <v>0</v>
          </cell>
          <cell r="Q35">
            <v>9528</v>
          </cell>
        </row>
        <row r="36">
          <cell r="A36">
            <v>84108</v>
          </cell>
          <cell r="B36" t="str">
            <v>Insurance and Bonds</v>
          </cell>
          <cell r="D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306</v>
          </cell>
          <cell r="N36">
            <v>306</v>
          </cell>
          <cell r="O36">
            <v>1529</v>
          </cell>
          <cell r="P36">
            <v>0</v>
          </cell>
          <cell r="Q36">
            <v>4309</v>
          </cell>
        </row>
        <row r="37">
          <cell r="A37">
            <v>84206</v>
          </cell>
          <cell r="B37" t="str">
            <v>Local Duties</v>
          </cell>
          <cell r="D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134</v>
          </cell>
          <cell r="O37">
            <v>0</v>
          </cell>
          <cell r="P37">
            <v>0</v>
          </cell>
          <cell r="Q37">
            <v>541</v>
          </cell>
        </row>
        <row r="38">
          <cell r="A38">
            <v>84431</v>
          </cell>
          <cell r="B38" t="str">
            <v>Rent</v>
          </cell>
          <cell r="D38">
            <v>0</v>
          </cell>
          <cell r="F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381</v>
          </cell>
          <cell r="M38">
            <v>383</v>
          </cell>
          <cell r="N38">
            <v>1526</v>
          </cell>
          <cell r="O38">
            <v>381</v>
          </cell>
          <cell r="P38">
            <v>383</v>
          </cell>
          <cell r="Q38">
            <v>1526</v>
          </cell>
        </row>
        <row r="39">
          <cell r="A39">
            <v>84780</v>
          </cell>
          <cell r="B39" t="str">
            <v>Maintenance Expenses -Limpieza</v>
          </cell>
          <cell r="D39">
            <v>0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409</v>
          </cell>
          <cell r="M39">
            <v>629</v>
          </cell>
          <cell r="N39">
            <v>2911</v>
          </cell>
          <cell r="O39">
            <v>409</v>
          </cell>
          <cell r="P39">
            <v>629</v>
          </cell>
          <cell r="Q39">
            <v>4865</v>
          </cell>
        </row>
        <row r="40">
          <cell r="A40">
            <v>85141</v>
          </cell>
          <cell r="B40" t="str">
            <v>Depreciation - Office Equip.</v>
          </cell>
          <cell r="D40">
            <v>0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446</v>
          </cell>
          <cell r="N40">
            <v>446</v>
          </cell>
          <cell r="O40">
            <v>149</v>
          </cell>
          <cell r="P40">
            <v>595</v>
          </cell>
          <cell r="Q40">
            <v>1639</v>
          </cell>
        </row>
      </sheetData>
      <sheetData sheetId="5">
        <row r="13">
          <cell r="A13">
            <v>80102</v>
          </cell>
          <cell r="B13" t="str">
            <v>Salary-Indirect -</v>
          </cell>
          <cell r="D13">
            <v>22533</v>
          </cell>
          <cell r="E13">
            <v>22533</v>
          </cell>
          <cell r="F13">
            <v>180264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N13">
            <v>53920</v>
          </cell>
          <cell r="O13">
            <v>53920</v>
          </cell>
          <cell r="P13">
            <v>431360</v>
          </cell>
        </row>
        <row r="14">
          <cell r="A14">
            <v>80301</v>
          </cell>
          <cell r="B14" t="str">
            <v>Incentive Compensation-Ind</v>
          </cell>
          <cell r="C14" t="str">
            <v>ire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8940</v>
          </cell>
          <cell r="O14">
            <v>8940</v>
          </cell>
          <cell r="P14">
            <v>71520</v>
          </cell>
        </row>
        <row r="15">
          <cell r="A15">
            <v>80431</v>
          </cell>
          <cell r="B15" t="str">
            <v>Fringe-Salary-Indirect -</v>
          </cell>
          <cell r="D15">
            <v>9749</v>
          </cell>
          <cell r="E15">
            <v>9749</v>
          </cell>
          <cell r="F15">
            <v>90672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21377</v>
          </cell>
          <cell r="O15">
            <v>21377</v>
          </cell>
          <cell r="P15">
            <v>170748</v>
          </cell>
        </row>
        <row r="16">
          <cell r="A16">
            <v>82172</v>
          </cell>
          <cell r="B16" t="str">
            <v>Deductible Dues, Subscript</v>
          </cell>
          <cell r="C16" t="str">
            <v>ions</v>
          </cell>
          <cell r="D16">
            <v>1015</v>
          </cell>
          <cell r="E16">
            <v>0</v>
          </cell>
          <cell r="F16">
            <v>1015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82202</v>
          </cell>
          <cell r="B17" t="str">
            <v>Office Supplies</v>
          </cell>
          <cell r="D17">
            <v>316</v>
          </cell>
          <cell r="E17">
            <v>136</v>
          </cell>
          <cell r="F17">
            <v>18022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>
            <v>82231</v>
          </cell>
          <cell r="B18" t="str">
            <v>Telephone &amp; Fax</v>
          </cell>
          <cell r="D18">
            <v>3087</v>
          </cell>
          <cell r="E18">
            <v>2767</v>
          </cell>
          <cell r="F18">
            <v>16832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5342</v>
          </cell>
          <cell r="O18">
            <v>2983</v>
          </cell>
          <cell r="P18">
            <v>35152</v>
          </cell>
        </row>
        <row r="19">
          <cell r="A19">
            <v>82301</v>
          </cell>
          <cell r="B19" t="str">
            <v>Mail -</v>
          </cell>
          <cell r="D19">
            <v>377</v>
          </cell>
          <cell r="E19">
            <v>415</v>
          </cell>
          <cell r="F19">
            <v>1133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120</v>
          </cell>
        </row>
        <row r="20">
          <cell r="A20">
            <v>82351</v>
          </cell>
          <cell r="B20" t="str">
            <v>Operating Leasing &amp; Rental</v>
          </cell>
          <cell r="C20" t="e">
            <v>#NAME?</v>
          </cell>
          <cell r="D20">
            <v>0</v>
          </cell>
          <cell r="E20">
            <v>0</v>
          </cell>
          <cell r="F20">
            <v>402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>
            <v>82404</v>
          </cell>
          <cell r="B21" t="str">
            <v>Auto</v>
          </cell>
          <cell r="D21">
            <v>3600</v>
          </cell>
          <cell r="E21">
            <v>3604</v>
          </cell>
          <cell r="F21">
            <v>28243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2500</v>
          </cell>
          <cell r="O21">
            <v>2500</v>
          </cell>
          <cell r="P21">
            <v>33967</v>
          </cell>
        </row>
        <row r="22">
          <cell r="A22">
            <v>82405</v>
          </cell>
          <cell r="B22" t="str">
            <v>Travel</v>
          </cell>
          <cell r="D22">
            <v>8628</v>
          </cell>
          <cell r="E22">
            <v>6027</v>
          </cell>
          <cell r="F22">
            <v>51289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14877</v>
          </cell>
          <cell r="O22">
            <v>6062</v>
          </cell>
          <cell r="P22">
            <v>85771</v>
          </cell>
        </row>
        <row r="23">
          <cell r="A23">
            <v>82491</v>
          </cell>
          <cell r="B23" t="str">
            <v>Meals</v>
          </cell>
          <cell r="D23">
            <v>34</v>
          </cell>
          <cell r="E23">
            <v>978</v>
          </cell>
          <cell r="F23">
            <v>7401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83</v>
          </cell>
        </row>
        <row r="24">
          <cell r="A24">
            <v>82521</v>
          </cell>
          <cell r="B24" t="str">
            <v>Entertainment -</v>
          </cell>
          <cell r="D24">
            <v>0</v>
          </cell>
          <cell r="E24">
            <v>0</v>
          </cell>
          <cell r="F24">
            <v>824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1722</v>
          </cell>
          <cell r="O24">
            <v>0</v>
          </cell>
          <cell r="P24">
            <v>17696</v>
          </cell>
        </row>
        <row r="25">
          <cell r="A25">
            <v>82602</v>
          </cell>
          <cell r="B25" t="str">
            <v>Vehicle Lease Expense -</v>
          </cell>
          <cell r="D25">
            <v>0</v>
          </cell>
          <cell r="E25">
            <v>104</v>
          </cell>
          <cell r="F25">
            <v>196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>
            <v>83007</v>
          </cell>
          <cell r="B26" t="str">
            <v>Bank Charges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25</v>
          </cell>
          <cell r="O26">
            <v>25</v>
          </cell>
          <cell r="P26">
            <v>318</v>
          </cell>
        </row>
        <row r="27">
          <cell r="A27">
            <v>83610</v>
          </cell>
          <cell r="B27" t="str">
            <v>Conventions, Seminars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515</v>
          </cell>
          <cell r="O27">
            <v>1342</v>
          </cell>
          <cell r="P27">
            <v>7394</v>
          </cell>
        </row>
        <row r="28">
          <cell r="A28">
            <v>83704</v>
          </cell>
          <cell r="B28" t="str">
            <v>Advertising Expenses - EIS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1883</v>
          </cell>
          <cell r="O28">
            <v>0</v>
          </cell>
          <cell r="P28">
            <v>1883</v>
          </cell>
        </row>
        <row r="29">
          <cell r="A29">
            <v>83757</v>
          </cell>
          <cell r="B29" t="str">
            <v>Other Samples</v>
          </cell>
          <cell r="D29">
            <v>0</v>
          </cell>
          <cell r="E29">
            <v>0</v>
          </cell>
          <cell r="F29">
            <v>297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>
            <v>84108</v>
          </cell>
          <cell r="B30" t="str">
            <v>Insurance and Bonds</v>
          </cell>
          <cell r="D30">
            <v>342</v>
          </cell>
          <cell r="E30">
            <v>0</v>
          </cell>
          <cell r="F30">
            <v>1499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>
            <v>84206</v>
          </cell>
          <cell r="B31" t="str">
            <v>Local Duties</v>
          </cell>
          <cell r="D31">
            <v>0</v>
          </cell>
          <cell r="E31">
            <v>0</v>
          </cell>
          <cell r="F31">
            <v>912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2736</v>
          </cell>
        </row>
        <row r="32">
          <cell r="A32">
            <v>84431</v>
          </cell>
          <cell r="B32" t="str">
            <v>Rent</v>
          </cell>
          <cell r="D32">
            <v>1826</v>
          </cell>
          <cell r="E32">
            <v>1833</v>
          </cell>
          <cell r="F32">
            <v>8919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>
            <v>84780</v>
          </cell>
          <cell r="B33" t="str">
            <v>Maintenance Expenses -Limp</v>
          </cell>
          <cell r="C33" t="str">
            <v>ieza</v>
          </cell>
          <cell r="D33">
            <v>1396</v>
          </cell>
          <cell r="E33">
            <v>2413</v>
          </cell>
          <cell r="F33">
            <v>128492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62</v>
          </cell>
        </row>
        <row r="34">
          <cell r="A34">
            <v>85051</v>
          </cell>
          <cell r="B34" t="str">
            <v>Gasto de entrenamiento</v>
          </cell>
          <cell r="D34">
            <v>0</v>
          </cell>
          <cell r="E34">
            <v>0</v>
          </cell>
          <cell r="F34">
            <v>4769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>
            <v>85141</v>
          </cell>
          <cell r="B35" t="str">
            <v>Depreciation - Office Equi</v>
          </cell>
          <cell r="C35" t="str">
            <v>p.</v>
          </cell>
          <cell r="D35">
            <v>947</v>
          </cell>
          <cell r="E35">
            <v>3191</v>
          </cell>
          <cell r="F35">
            <v>9820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3283</v>
          </cell>
          <cell r="O35">
            <v>3283</v>
          </cell>
          <cell r="P35">
            <v>26264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4 VENTA Y COST"/>
    </sheetNames>
    <sheetDataSet>
      <sheetData sheetId="0" refreshError="1">
        <row r="1">
          <cell r="A1" t="str">
            <v>BAXTER DE GUATEMALA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2002"/>
      <sheetName val="Costos2002 Metodo 60"/>
      <sheetName val="Hoja1"/>
      <sheetName val="RepGast03Ago05"/>
      <sheetName val="RepGast03Ago04"/>
      <sheetName val="RepGast03Ago03"/>
    </sheetNames>
    <sheetDataSet>
      <sheetData sheetId="0" refreshError="1">
        <row r="2">
          <cell r="A2" t="str">
            <v>ABL7203</v>
          </cell>
          <cell r="B2">
            <v>1179.703</v>
          </cell>
        </row>
        <row r="3">
          <cell r="A3" t="str">
            <v>ARA2309</v>
          </cell>
          <cell r="B3">
            <v>106.66630000000001</v>
          </cell>
        </row>
        <row r="4">
          <cell r="A4" t="str">
            <v>ARA2311</v>
          </cell>
          <cell r="B4">
            <v>120.8935</v>
          </cell>
        </row>
        <row r="5">
          <cell r="A5" t="str">
            <v>ARA4014</v>
          </cell>
          <cell r="B5">
            <v>9885.8407000000007</v>
          </cell>
        </row>
        <row r="6">
          <cell r="A6" t="str">
            <v>ARA4033</v>
          </cell>
          <cell r="B6">
            <v>12729.3284</v>
          </cell>
        </row>
        <row r="7">
          <cell r="A7" t="str">
            <v>ARB0060</v>
          </cell>
          <cell r="B7">
            <v>535.09960000000001</v>
          </cell>
        </row>
        <row r="8">
          <cell r="A8" t="str">
            <v>ARB0062</v>
          </cell>
          <cell r="B8">
            <v>601.37009999999998</v>
          </cell>
        </row>
        <row r="9">
          <cell r="A9" t="str">
            <v>ARB0063</v>
          </cell>
          <cell r="B9">
            <v>572.99469999999997</v>
          </cell>
        </row>
        <row r="10">
          <cell r="A10" t="str">
            <v>ARB0064</v>
          </cell>
          <cell r="B10">
            <v>897.57529999999997</v>
          </cell>
        </row>
        <row r="11">
          <cell r="A11" t="str">
            <v>ARB0081</v>
          </cell>
          <cell r="B11">
            <v>520.54560000000004</v>
          </cell>
        </row>
        <row r="12">
          <cell r="A12" t="str">
            <v>ARB0162</v>
          </cell>
          <cell r="B12">
            <v>627.35350000000005</v>
          </cell>
        </row>
        <row r="13">
          <cell r="A13" t="str">
            <v>ARB0163</v>
          </cell>
          <cell r="B13">
            <v>623.42619999999999</v>
          </cell>
        </row>
        <row r="14">
          <cell r="A14" t="str">
            <v>ARB0164</v>
          </cell>
          <cell r="B14">
            <v>997.36490000000003</v>
          </cell>
        </row>
        <row r="15">
          <cell r="A15" t="str">
            <v>ARB0250</v>
          </cell>
          <cell r="B15">
            <v>700.53099999999995</v>
          </cell>
        </row>
        <row r="16">
          <cell r="A16" t="str">
            <v>ARB0253</v>
          </cell>
          <cell r="B16">
            <v>1211.1859999999999</v>
          </cell>
        </row>
        <row r="17">
          <cell r="A17" t="str">
            <v>ARB0264</v>
          </cell>
          <cell r="B17">
            <v>1461.8001999999999</v>
          </cell>
        </row>
        <row r="18">
          <cell r="A18" t="str">
            <v>ARB0302</v>
          </cell>
          <cell r="B18">
            <v>644.43029999999999</v>
          </cell>
        </row>
        <row r="19">
          <cell r="A19" t="str">
            <v>ARB0303</v>
          </cell>
          <cell r="B19">
            <v>653.45979999999997</v>
          </cell>
        </row>
        <row r="20">
          <cell r="A20" t="str">
            <v>ARB0304</v>
          </cell>
          <cell r="B20">
            <v>1006.9536000000001</v>
          </cell>
        </row>
        <row r="21">
          <cell r="A21" t="str">
            <v>ARB0791</v>
          </cell>
          <cell r="B21">
            <v>5235.0340999999999</v>
          </cell>
        </row>
        <row r="22">
          <cell r="A22" t="str">
            <v>ARB0807</v>
          </cell>
          <cell r="B22">
            <v>4570.4071000000004</v>
          </cell>
        </row>
        <row r="23">
          <cell r="A23" t="str">
            <v>ARB0808</v>
          </cell>
          <cell r="B23">
            <v>5934.8861999999999</v>
          </cell>
        </row>
        <row r="24">
          <cell r="A24" t="str">
            <v>ARB0832</v>
          </cell>
          <cell r="B24">
            <v>7786.067</v>
          </cell>
        </row>
        <row r="25">
          <cell r="A25" t="str">
            <v>ARB0842</v>
          </cell>
          <cell r="B25">
            <v>8100.4781999999996</v>
          </cell>
        </row>
        <row r="26">
          <cell r="A26" t="str">
            <v>ARB1062</v>
          </cell>
          <cell r="B26">
            <v>602.13610000000006</v>
          </cell>
        </row>
        <row r="27">
          <cell r="A27" t="str">
            <v>ARB1063</v>
          </cell>
          <cell r="B27">
            <v>575.46109999999999</v>
          </cell>
        </row>
        <row r="28">
          <cell r="A28" t="str">
            <v>ARB1064</v>
          </cell>
          <cell r="B28">
            <v>902.50229999999999</v>
          </cell>
        </row>
        <row r="29">
          <cell r="A29" t="str">
            <v>ARB1072</v>
          </cell>
          <cell r="B29">
            <v>602.00620000000004</v>
          </cell>
        </row>
        <row r="30">
          <cell r="A30" t="str">
            <v>ARB1073</v>
          </cell>
          <cell r="B30">
            <v>574.24980000000005</v>
          </cell>
        </row>
        <row r="31">
          <cell r="A31" t="str">
            <v>ARB1082</v>
          </cell>
          <cell r="B31">
            <v>601.83640000000003</v>
          </cell>
        </row>
        <row r="32">
          <cell r="A32" t="str">
            <v>ARB1083</v>
          </cell>
          <cell r="B32">
            <v>573.90039999999999</v>
          </cell>
        </row>
        <row r="33">
          <cell r="A33" t="str">
            <v>ARB1301</v>
          </cell>
          <cell r="B33">
            <v>514.82659999999998</v>
          </cell>
        </row>
        <row r="34">
          <cell r="A34" t="str">
            <v>ARB1302</v>
          </cell>
          <cell r="B34">
            <v>522.76149999999996</v>
          </cell>
        </row>
        <row r="35">
          <cell r="A35" t="str">
            <v>ARB1322</v>
          </cell>
          <cell r="B35">
            <v>576.65660000000003</v>
          </cell>
        </row>
        <row r="36">
          <cell r="A36" t="str">
            <v>ARB1323</v>
          </cell>
          <cell r="B36">
            <v>549.48159999999996</v>
          </cell>
        </row>
        <row r="37">
          <cell r="A37" t="str">
            <v>ARB1324</v>
          </cell>
          <cell r="B37">
            <v>781.32399999999996</v>
          </cell>
        </row>
        <row r="38">
          <cell r="A38" t="str">
            <v>ARB2303</v>
          </cell>
          <cell r="B38">
            <v>584.10799999999995</v>
          </cell>
        </row>
        <row r="39">
          <cell r="A39" t="str">
            <v>ARB2322</v>
          </cell>
          <cell r="B39">
            <v>583.76340000000005</v>
          </cell>
        </row>
        <row r="40">
          <cell r="A40" t="str">
            <v>ARB2323</v>
          </cell>
          <cell r="B40">
            <v>563.50909999999999</v>
          </cell>
        </row>
        <row r="41">
          <cell r="A41" t="str">
            <v>ARB2324</v>
          </cell>
          <cell r="B41">
            <v>808.86120000000005</v>
          </cell>
        </row>
        <row r="42">
          <cell r="A42" t="str">
            <v>ARB4043</v>
          </cell>
          <cell r="B42">
            <v>14380.2006</v>
          </cell>
        </row>
        <row r="43">
          <cell r="A43" t="str">
            <v>ARB4826</v>
          </cell>
          <cell r="B43">
            <v>5015.7533000000003</v>
          </cell>
        </row>
        <row r="44">
          <cell r="A44" t="str">
            <v>ARB4962</v>
          </cell>
          <cell r="B44">
            <v>3180.0756999999999</v>
          </cell>
        </row>
        <row r="45">
          <cell r="A45" t="str">
            <v>ARB4964</v>
          </cell>
          <cell r="B45">
            <v>3240.5038</v>
          </cell>
        </row>
        <row r="46">
          <cell r="A46" t="str">
            <v>ARB4971</v>
          </cell>
          <cell r="B46">
            <v>3346.2689999999998</v>
          </cell>
        </row>
        <row r="47">
          <cell r="A47" t="str">
            <v>ARB5107</v>
          </cell>
          <cell r="B47">
            <v>1722.0769</v>
          </cell>
        </row>
        <row r="48">
          <cell r="A48" t="str">
            <v>ARB5117</v>
          </cell>
          <cell r="B48">
            <v>1762.2494999999999</v>
          </cell>
        </row>
        <row r="49">
          <cell r="A49" t="str">
            <v>ARB5161</v>
          </cell>
          <cell r="B49">
            <v>1193.1524999999999</v>
          </cell>
        </row>
        <row r="50">
          <cell r="A50" t="str">
            <v>ARB5163</v>
          </cell>
          <cell r="B50">
            <v>1259.395</v>
          </cell>
        </row>
        <row r="51">
          <cell r="A51" t="str">
            <v>ARB5167</v>
          </cell>
          <cell r="B51">
            <v>2047.3017</v>
          </cell>
        </row>
        <row r="52">
          <cell r="A52" t="str">
            <v>ARB5168</v>
          </cell>
          <cell r="B52">
            <v>2216.6569</v>
          </cell>
        </row>
        <row r="53">
          <cell r="A53" t="str">
            <v>ARB5177</v>
          </cell>
          <cell r="B53">
            <v>2087.4609999999998</v>
          </cell>
        </row>
        <row r="54">
          <cell r="A54" t="str">
            <v>ARB5178</v>
          </cell>
          <cell r="B54">
            <v>2266.7838000000002</v>
          </cell>
        </row>
        <row r="55">
          <cell r="A55" t="str">
            <v>ARB5181</v>
          </cell>
          <cell r="B55">
            <v>1231.8532</v>
          </cell>
        </row>
        <row r="56">
          <cell r="A56" t="str">
            <v>ARB5187</v>
          </cell>
          <cell r="B56">
            <v>2168.4200999999998</v>
          </cell>
        </row>
        <row r="57">
          <cell r="A57" t="str">
            <v>ARB5188</v>
          </cell>
          <cell r="B57">
            <v>2365.1936000000001</v>
          </cell>
        </row>
        <row r="58">
          <cell r="A58" t="str">
            <v>ARB5193</v>
          </cell>
          <cell r="B58">
            <v>5014.2419</v>
          </cell>
        </row>
        <row r="59">
          <cell r="A59" t="str">
            <v>ARB5194</v>
          </cell>
          <cell r="B59">
            <v>5115.3468000000003</v>
          </cell>
        </row>
        <row r="60">
          <cell r="A60" t="str">
            <v>ARB5195</v>
          </cell>
          <cell r="B60">
            <v>5302.9997000000003</v>
          </cell>
        </row>
        <row r="61">
          <cell r="A61" t="str">
            <v>ARB5202</v>
          </cell>
          <cell r="B61">
            <v>5115.3450999999995</v>
          </cell>
        </row>
        <row r="62">
          <cell r="A62" t="str">
            <v>ARB5203</v>
          </cell>
          <cell r="B62">
            <v>5302.9979000000003</v>
          </cell>
        </row>
        <row r="63">
          <cell r="A63" t="str">
            <v>ARB6153</v>
          </cell>
          <cell r="B63">
            <v>17049.9584</v>
          </cell>
        </row>
        <row r="64">
          <cell r="A64" t="str">
            <v>ARB6404</v>
          </cell>
          <cell r="B64">
            <v>22887.856800000001</v>
          </cell>
        </row>
        <row r="65">
          <cell r="A65" t="str">
            <v>ARB6413</v>
          </cell>
          <cell r="B65">
            <v>15097.6566</v>
          </cell>
        </row>
        <row r="66">
          <cell r="A66" t="str">
            <v>ARB6414</v>
          </cell>
          <cell r="B66">
            <v>27106.9895</v>
          </cell>
        </row>
        <row r="67">
          <cell r="A67" t="str">
            <v>ARB6437</v>
          </cell>
          <cell r="B67">
            <v>12028.545</v>
          </cell>
        </row>
        <row r="68">
          <cell r="A68" t="str">
            <v>ARB6506</v>
          </cell>
          <cell r="B68">
            <v>8532.1497999999992</v>
          </cell>
        </row>
        <row r="69">
          <cell r="A69" t="str">
            <v>ARB7003</v>
          </cell>
          <cell r="B69">
            <v>1275.4882</v>
          </cell>
        </row>
        <row r="70">
          <cell r="A70" t="str">
            <v>ARB7013</v>
          </cell>
          <cell r="B70">
            <v>9019.1028000000006</v>
          </cell>
        </row>
        <row r="71">
          <cell r="A71" t="str">
            <v>ARB7023</v>
          </cell>
          <cell r="B71">
            <v>645.41970000000003</v>
          </cell>
        </row>
        <row r="72">
          <cell r="A72" t="str">
            <v>ARB7024</v>
          </cell>
          <cell r="B72">
            <v>966.26880000000006</v>
          </cell>
        </row>
        <row r="73">
          <cell r="A73" t="str">
            <v>ARB7033</v>
          </cell>
          <cell r="B73">
            <v>597.65859999999998</v>
          </cell>
        </row>
        <row r="74">
          <cell r="A74" t="str">
            <v>ARB7034</v>
          </cell>
          <cell r="B74">
            <v>870.44190000000003</v>
          </cell>
        </row>
        <row r="75">
          <cell r="A75" t="str">
            <v>ARB7317</v>
          </cell>
          <cell r="B75">
            <v>3154.1315</v>
          </cell>
        </row>
        <row r="76">
          <cell r="A76" t="str">
            <v>ARB7487</v>
          </cell>
          <cell r="B76">
            <v>2082.3656000000001</v>
          </cell>
        </row>
        <row r="77">
          <cell r="A77" t="str">
            <v>ARB7506</v>
          </cell>
          <cell r="B77">
            <v>7828.3328000000001</v>
          </cell>
        </row>
        <row r="78">
          <cell r="A78" t="str">
            <v>ARB7925</v>
          </cell>
          <cell r="B78">
            <v>2087.3238000000001</v>
          </cell>
        </row>
        <row r="79">
          <cell r="A79" t="str">
            <v>ARB8029</v>
          </cell>
          <cell r="B79">
            <v>3604.0835000000002</v>
          </cell>
        </row>
        <row r="80">
          <cell r="A80" t="str">
            <v>ARB8084</v>
          </cell>
          <cell r="B80">
            <v>1437.13</v>
          </cell>
        </row>
        <row r="81">
          <cell r="A81" t="str">
            <v>ARB8087</v>
          </cell>
          <cell r="B81">
            <v>1761.9809</v>
          </cell>
        </row>
        <row r="82">
          <cell r="A82" t="str">
            <v>ARB8112</v>
          </cell>
          <cell r="B82">
            <v>2060.4933000000001</v>
          </cell>
        </row>
        <row r="83">
          <cell r="A83" t="str">
            <v>ARB8114</v>
          </cell>
          <cell r="B83">
            <v>2390.5014999999999</v>
          </cell>
        </row>
        <row r="84">
          <cell r="A84" t="str">
            <v>ARB8134</v>
          </cell>
          <cell r="B84">
            <v>5465.3154000000004</v>
          </cell>
        </row>
        <row r="85">
          <cell r="A85" t="str">
            <v>ARB8152</v>
          </cell>
          <cell r="B85">
            <v>1819.2411</v>
          </cell>
        </row>
        <row r="86">
          <cell r="A86" t="str">
            <v>ARB8187</v>
          </cell>
          <cell r="B86">
            <v>2520.8651</v>
          </cell>
        </row>
        <row r="87">
          <cell r="A87" t="str">
            <v>ARB8195</v>
          </cell>
          <cell r="B87">
            <v>4523.0272999999997</v>
          </cell>
        </row>
        <row r="88">
          <cell r="A88" t="str">
            <v>ARB8603</v>
          </cell>
          <cell r="B88">
            <v>600.36019999999996</v>
          </cell>
        </row>
        <row r="89">
          <cell r="A89" t="str">
            <v>ARB8604</v>
          </cell>
          <cell r="B89">
            <v>896.80190000000005</v>
          </cell>
        </row>
        <row r="90">
          <cell r="A90" t="str">
            <v>ARB8607</v>
          </cell>
          <cell r="B90">
            <v>2200.8739999999998</v>
          </cell>
        </row>
        <row r="91">
          <cell r="A91" t="str">
            <v>ARB9710</v>
          </cell>
          <cell r="B91">
            <v>5095.9812000000002</v>
          </cell>
        </row>
        <row r="92">
          <cell r="A92" t="str">
            <v>ARB9711</v>
          </cell>
          <cell r="B92">
            <v>5215.4297999999999</v>
          </cell>
        </row>
        <row r="93">
          <cell r="A93" t="str">
            <v>ARB9712</v>
          </cell>
          <cell r="B93">
            <v>5434.9052000000001</v>
          </cell>
        </row>
        <row r="94">
          <cell r="A94" t="str">
            <v>ARB9717</v>
          </cell>
          <cell r="B94">
            <v>2047.3027999999999</v>
          </cell>
        </row>
        <row r="95">
          <cell r="A95" t="str">
            <v>ARB9727</v>
          </cell>
          <cell r="B95">
            <v>2087.4535999999998</v>
          </cell>
        </row>
        <row r="96">
          <cell r="A96" t="str">
            <v>ARB9747</v>
          </cell>
          <cell r="B96">
            <v>2168.4126999999999</v>
          </cell>
        </row>
        <row r="97">
          <cell r="A97" t="str">
            <v>ARB9806</v>
          </cell>
          <cell r="B97">
            <v>2672.9757</v>
          </cell>
        </row>
        <row r="98">
          <cell r="A98" t="str">
            <v>ARB9808</v>
          </cell>
          <cell r="B98">
            <v>2899.3503000000001</v>
          </cell>
        </row>
        <row r="99">
          <cell r="A99" t="str">
            <v>ARB9816</v>
          </cell>
          <cell r="B99">
            <v>2713.1469000000002</v>
          </cell>
        </row>
        <row r="100">
          <cell r="A100" t="str">
            <v>ARB9818</v>
          </cell>
          <cell r="B100">
            <v>2950.5698000000002</v>
          </cell>
        </row>
        <row r="101">
          <cell r="A101" t="str">
            <v>ARB9826</v>
          </cell>
          <cell r="B101">
            <v>2783.4555</v>
          </cell>
        </row>
        <row r="102">
          <cell r="A102" t="str">
            <v>ARB9828</v>
          </cell>
          <cell r="B102">
            <v>3038.9674</v>
          </cell>
        </row>
        <row r="103">
          <cell r="A103" t="str">
            <v>ARB9866</v>
          </cell>
          <cell r="B103">
            <v>1983.3416</v>
          </cell>
        </row>
        <row r="104">
          <cell r="A104" t="str">
            <v>ARB9868</v>
          </cell>
          <cell r="B104">
            <v>2247.1547</v>
          </cell>
        </row>
        <row r="105">
          <cell r="A105" t="str">
            <v>ARB9876</v>
          </cell>
          <cell r="B105">
            <v>2022.9690000000001</v>
          </cell>
        </row>
        <row r="106">
          <cell r="A106" t="str">
            <v>ARB9878</v>
          </cell>
          <cell r="B106">
            <v>2296.7627000000002</v>
          </cell>
        </row>
        <row r="107">
          <cell r="A107" t="str">
            <v>ARB9896</v>
          </cell>
          <cell r="B107">
            <v>2092.2085999999999</v>
          </cell>
        </row>
        <row r="108">
          <cell r="A108" t="str">
            <v>ARB9898</v>
          </cell>
          <cell r="B108">
            <v>2383.44</v>
          </cell>
        </row>
        <row r="109">
          <cell r="A109" t="str">
            <v>ARC0050</v>
          </cell>
          <cell r="B109">
            <v>698.33219999999994</v>
          </cell>
        </row>
        <row r="110">
          <cell r="A110" t="str">
            <v>ARC0050P</v>
          </cell>
          <cell r="B110">
            <v>558.1327</v>
          </cell>
        </row>
        <row r="111">
          <cell r="A111" t="str">
            <v>ARC0473P</v>
          </cell>
          <cell r="B111">
            <v>570.63130000000001</v>
          </cell>
        </row>
        <row r="112">
          <cell r="A112" t="str">
            <v>ARC1003P</v>
          </cell>
          <cell r="B112">
            <v>642.44349999999997</v>
          </cell>
        </row>
        <row r="113">
          <cell r="A113" t="str">
            <v>ARC1004P</v>
          </cell>
          <cell r="B113">
            <v>651.18989999999997</v>
          </cell>
        </row>
        <row r="114">
          <cell r="A114" t="str">
            <v>ARC1006P</v>
          </cell>
          <cell r="B114">
            <v>657.3963</v>
          </cell>
        </row>
        <row r="115">
          <cell r="A115" t="str">
            <v>ARC1008</v>
          </cell>
          <cell r="B115">
            <v>883.05290000000002</v>
          </cell>
        </row>
        <row r="116">
          <cell r="A116" t="str">
            <v>ARC1964</v>
          </cell>
          <cell r="B116">
            <v>1110.1342</v>
          </cell>
        </row>
        <row r="117">
          <cell r="A117" t="str">
            <v>ARC1964P</v>
          </cell>
          <cell r="B117">
            <v>1174.3820000000001</v>
          </cell>
        </row>
        <row r="118">
          <cell r="A118" t="str">
            <v>ARC2005S</v>
          </cell>
          <cell r="B118">
            <v>1319.6527000000001</v>
          </cell>
        </row>
        <row r="119">
          <cell r="A119" t="str">
            <v>ARC2005SP</v>
          </cell>
          <cell r="B119">
            <v>1297.5996</v>
          </cell>
        </row>
        <row r="120">
          <cell r="A120" t="str">
            <v>ARC2006</v>
          </cell>
          <cell r="B120">
            <v>974.66629999999998</v>
          </cell>
        </row>
        <row r="121">
          <cell r="A121" t="str">
            <v>ARC2006P</v>
          </cell>
          <cell r="B121">
            <v>963.54160000000002</v>
          </cell>
        </row>
        <row r="122">
          <cell r="A122" t="str">
            <v>ARC2220</v>
          </cell>
          <cell r="B122">
            <v>3490.4340999999999</v>
          </cell>
        </row>
        <row r="123">
          <cell r="A123" t="str">
            <v>ARC2421</v>
          </cell>
          <cell r="B123">
            <v>1815.5687</v>
          </cell>
        </row>
        <row r="124">
          <cell r="A124" t="str">
            <v>ARC2421P</v>
          </cell>
          <cell r="B124">
            <v>1955.1049</v>
          </cell>
        </row>
        <row r="125">
          <cell r="A125" t="str">
            <v>ARC4002</v>
          </cell>
          <cell r="B125">
            <v>1792.8786</v>
          </cell>
        </row>
        <row r="126">
          <cell r="A126" t="str">
            <v>ARC4005</v>
          </cell>
          <cell r="B126">
            <v>2884.7069000000001</v>
          </cell>
        </row>
        <row r="127">
          <cell r="A127" t="str">
            <v>ARC4006</v>
          </cell>
          <cell r="B127">
            <v>1472.732</v>
          </cell>
        </row>
        <row r="128">
          <cell r="A128" t="str">
            <v>ARC4006F</v>
          </cell>
          <cell r="B128">
            <v>1335.7556</v>
          </cell>
        </row>
        <row r="129">
          <cell r="A129" t="str">
            <v>ARC5404</v>
          </cell>
          <cell r="B129">
            <v>833.28980000000001</v>
          </cell>
        </row>
        <row r="130">
          <cell r="A130" t="str">
            <v>ARC5404P</v>
          </cell>
          <cell r="B130">
            <v>899.27589999999998</v>
          </cell>
        </row>
        <row r="131">
          <cell r="A131" t="str">
            <v>ARC5884P</v>
          </cell>
          <cell r="B131">
            <v>414.3329</v>
          </cell>
        </row>
        <row r="132">
          <cell r="A132" t="str">
            <v>ARC7417</v>
          </cell>
          <cell r="B132">
            <v>362.70519999999999</v>
          </cell>
        </row>
        <row r="133">
          <cell r="A133" t="str">
            <v>ARC7417P</v>
          </cell>
          <cell r="B133">
            <v>428.81569999999999</v>
          </cell>
        </row>
        <row r="134">
          <cell r="A134" t="str">
            <v>ARC7501</v>
          </cell>
          <cell r="B134">
            <v>2751.6237000000001</v>
          </cell>
        </row>
        <row r="135">
          <cell r="A135" t="str">
            <v>ARC7501P</v>
          </cell>
          <cell r="B135">
            <v>2814.2611000000002</v>
          </cell>
        </row>
        <row r="136">
          <cell r="A136" t="str">
            <v>ARC7502</v>
          </cell>
          <cell r="B136">
            <v>1155.8000999999999</v>
          </cell>
        </row>
        <row r="137">
          <cell r="A137" t="str">
            <v>ARC7503</v>
          </cell>
          <cell r="B137">
            <v>1532.1012000000001</v>
          </cell>
        </row>
        <row r="138">
          <cell r="A138" t="str">
            <v>ARC7511</v>
          </cell>
          <cell r="B138">
            <v>2874.7067000000002</v>
          </cell>
        </row>
        <row r="139">
          <cell r="A139" t="str">
            <v>ARC7511P</v>
          </cell>
          <cell r="B139">
            <v>2235.2818000000002</v>
          </cell>
        </row>
        <row r="140">
          <cell r="A140" t="str">
            <v>ARD0001</v>
          </cell>
          <cell r="B140">
            <v>880.12300000000005</v>
          </cell>
        </row>
        <row r="141">
          <cell r="A141" t="str">
            <v>ARD0002</v>
          </cell>
          <cell r="B141">
            <v>1220.4471000000001</v>
          </cell>
        </row>
        <row r="142">
          <cell r="A142" t="str">
            <v>ARD0004</v>
          </cell>
          <cell r="B142">
            <v>1989.2021999999999</v>
          </cell>
        </row>
        <row r="143">
          <cell r="A143" t="str">
            <v>ARD2142</v>
          </cell>
          <cell r="B143">
            <v>297.80829999999997</v>
          </cell>
        </row>
        <row r="144">
          <cell r="A144" t="str">
            <v>ARD2926R</v>
          </cell>
          <cell r="B144">
            <v>1849.9873</v>
          </cell>
        </row>
        <row r="145">
          <cell r="A145" t="str">
            <v>ARD5632</v>
          </cell>
          <cell r="B145">
            <v>1841.2732000000001</v>
          </cell>
        </row>
        <row r="146">
          <cell r="A146" t="str">
            <v>ARD5633</v>
          </cell>
          <cell r="B146">
            <v>3198.4989</v>
          </cell>
        </row>
        <row r="147">
          <cell r="A147" t="str">
            <v>ARD8026</v>
          </cell>
          <cell r="B147">
            <v>2104.1133</v>
          </cell>
        </row>
        <row r="148">
          <cell r="A148" t="str">
            <v>ARD8026A</v>
          </cell>
          <cell r="B148">
            <v>1991.1351</v>
          </cell>
        </row>
        <row r="149">
          <cell r="A149" t="str">
            <v>ARK0001</v>
          </cell>
          <cell r="B149">
            <v>378.37209999999999</v>
          </cell>
        </row>
        <row r="150">
          <cell r="A150" t="str">
            <v>ARL3203</v>
          </cell>
          <cell r="B150">
            <v>1357.2542000000001</v>
          </cell>
        </row>
        <row r="151">
          <cell r="A151" t="str">
            <v>ARL3213</v>
          </cell>
          <cell r="B151">
            <v>1325.0802000000001</v>
          </cell>
        </row>
        <row r="152">
          <cell r="A152" t="str">
            <v>ARL3303</v>
          </cell>
          <cell r="B152">
            <v>1161.1670999999999</v>
          </cell>
        </row>
        <row r="153">
          <cell r="A153" t="str">
            <v>ARL3313</v>
          </cell>
          <cell r="B153">
            <v>1068.0342000000001</v>
          </cell>
        </row>
        <row r="154">
          <cell r="A154" t="str">
            <v>ARL3323</v>
          </cell>
          <cell r="B154">
            <v>1043.7356</v>
          </cell>
        </row>
        <row r="155">
          <cell r="A155" t="str">
            <v>ARL3333</v>
          </cell>
          <cell r="B155">
            <v>1119.4992</v>
          </cell>
        </row>
        <row r="156">
          <cell r="A156" t="str">
            <v>ARL3343</v>
          </cell>
          <cell r="B156">
            <v>1026.3964000000001</v>
          </cell>
        </row>
        <row r="157">
          <cell r="A157" t="str">
            <v>ARL3353</v>
          </cell>
          <cell r="B157">
            <v>993.89329999999995</v>
          </cell>
        </row>
        <row r="158">
          <cell r="A158" t="str">
            <v>ARL3363</v>
          </cell>
          <cell r="B158">
            <v>1042.98</v>
          </cell>
        </row>
        <row r="159">
          <cell r="A159" t="str">
            <v>ARL3373</v>
          </cell>
          <cell r="B159">
            <v>1071.7455</v>
          </cell>
        </row>
        <row r="160">
          <cell r="A160" t="str">
            <v>ARL3383</v>
          </cell>
          <cell r="B160">
            <v>1417.4547</v>
          </cell>
        </row>
        <row r="161">
          <cell r="A161" t="str">
            <v>ARL3393</v>
          </cell>
          <cell r="B161">
            <v>1382.7283</v>
          </cell>
        </row>
        <row r="162">
          <cell r="A162" t="str">
            <v>ARL8030</v>
          </cell>
          <cell r="B162">
            <v>1865.9949999999999</v>
          </cell>
        </row>
        <row r="163">
          <cell r="A163" t="str">
            <v>ARM1278P</v>
          </cell>
          <cell r="B163">
            <v>385.35969999999998</v>
          </cell>
        </row>
        <row r="164">
          <cell r="A164" t="str">
            <v>ARM4226</v>
          </cell>
          <cell r="B164">
            <v>504.90989999999999</v>
          </cell>
        </row>
        <row r="165">
          <cell r="A165" t="str">
            <v>ARM4226D</v>
          </cell>
          <cell r="B165">
            <v>566.06769999999995</v>
          </cell>
        </row>
        <row r="166">
          <cell r="A166" t="str">
            <v>ARM4226P</v>
          </cell>
          <cell r="B166">
            <v>687.74890000000005</v>
          </cell>
        </row>
        <row r="167">
          <cell r="A167" t="str">
            <v>ARM4234</v>
          </cell>
          <cell r="B167">
            <v>1481.6378</v>
          </cell>
        </row>
        <row r="168">
          <cell r="A168" t="str">
            <v>ARM4234P</v>
          </cell>
          <cell r="B168">
            <v>1385.6639</v>
          </cell>
        </row>
        <row r="169">
          <cell r="A169" t="str">
            <v>ARM4311</v>
          </cell>
          <cell r="B169">
            <v>1329.2546</v>
          </cell>
        </row>
        <row r="170">
          <cell r="A170" t="str">
            <v>ARM4311E</v>
          </cell>
          <cell r="B170">
            <v>1389.0908999999999</v>
          </cell>
        </row>
        <row r="171">
          <cell r="A171" t="str">
            <v>ARM4466</v>
          </cell>
          <cell r="B171">
            <v>322.1986</v>
          </cell>
        </row>
        <row r="172">
          <cell r="A172" t="str">
            <v>ARM4466P</v>
          </cell>
          <cell r="B172">
            <v>357.87079999999997</v>
          </cell>
        </row>
        <row r="173">
          <cell r="A173" t="str">
            <v>ARQ0005</v>
          </cell>
          <cell r="B173">
            <v>314.73610000000002</v>
          </cell>
        </row>
        <row r="174">
          <cell r="A174" t="str">
            <v>ARQ0006</v>
          </cell>
          <cell r="B174">
            <v>413.89760000000001</v>
          </cell>
        </row>
        <row r="175">
          <cell r="A175" t="str">
            <v>ARQ0007</v>
          </cell>
          <cell r="B175">
            <v>439.32920000000001</v>
          </cell>
        </row>
        <row r="176">
          <cell r="A176" t="str">
            <v>ARW0012</v>
          </cell>
          <cell r="B176">
            <v>927.96220000000005</v>
          </cell>
        </row>
        <row r="177">
          <cell r="A177" t="str">
            <v>BRA1429</v>
          </cell>
          <cell r="B177">
            <v>11563.135200000001</v>
          </cell>
        </row>
        <row r="178">
          <cell r="A178" t="str">
            <v>BRA3329</v>
          </cell>
          <cell r="B178">
            <v>16974.613600000001</v>
          </cell>
        </row>
        <row r="179">
          <cell r="A179" t="str">
            <v>BRA5729</v>
          </cell>
          <cell r="B179">
            <v>7663.6553000000004</v>
          </cell>
        </row>
        <row r="180">
          <cell r="A180" t="str">
            <v>BRA6333</v>
          </cell>
          <cell r="B180">
            <v>18131.675899999998</v>
          </cell>
        </row>
        <row r="181">
          <cell r="A181" t="str">
            <v>BRA6433</v>
          </cell>
          <cell r="B181">
            <v>298.48230000000001</v>
          </cell>
        </row>
        <row r="182">
          <cell r="A182" t="str">
            <v>BRA6483</v>
          </cell>
          <cell r="B182">
            <v>12380.336799999999</v>
          </cell>
        </row>
        <row r="183">
          <cell r="A183" t="str">
            <v>BRA6553</v>
          </cell>
          <cell r="B183">
            <v>15278.3243</v>
          </cell>
        </row>
        <row r="184">
          <cell r="A184" t="str">
            <v>BRA6613</v>
          </cell>
          <cell r="B184">
            <v>12854.5056</v>
          </cell>
        </row>
        <row r="185">
          <cell r="A185" t="str">
            <v>BRA6623</v>
          </cell>
          <cell r="B185">
            <v>17104.123599999999</v>
          </cell>
        </row>
        <row r="186">
          <cell r="A186" t="str">
            <v>BRB0063</v>
          </cell>
          <cell r="B186">
            <v>572.99469999999997</v>
          </cell>
        </row>
        <row r="187">
          <cell r="A187" t="str">
            <v>BRB0064</v>
          </cell>
          <cell r="B187">
            <v>897.57529999999997</v>
          </cell>
        </row>
        <row r="188">
          <cell r="A188" t="str">
            <v>BRB0163</v>
          </cell>
          <cell r="B188">
            <v>623.42619999999999</v>
          </cell>
        </row>
        <row r="189">
          <cell r="A189" t="str">
            <v>BRB0303</v>
          </cell>
          <cell r="B189">
            <v>653.45979999999997</v>
          </cell>
        </row>
        <row r="190">
          <cell r="A190" t="str">
            <v>BRB1063</v>
          </cell>
          <cell r="B190">
            <v>575.46109999999999</v>
          </cell>
        </row>
        <row r="191">
          <cell r="A191" t="str">
            <v>BRB1323</v>
          </cell>
          <cell r="B191">
            <v>525.02700000000004</v>
          </cell>
        </row>
        <row r="192">
          <cell r="A192" t="str">
            <v>BRB1324</v>
          </cell>
          <cell r="B192">
            <v>801.96180000000004</v>
          </cell>
        </row>
        <row r="193">
          <cell r="A193" t="str">
            <v>BRB2303</v>
          </cell>
          <cell r="B193">
            <v>584.10799999999995</v>
          </cell>
        </row>
        <row r="194">
          <cell r="A194" t="str">
            <v>BRB2323</v>
          </cell>
          <cell r="B194">
            <v>538.81470000000002</v>
          </cell>
        </row>
        <row r="195">
          <cell r="A195" t="str">
            <v>BRB2324</v>
          </cell>
          <cell r="B195">
            <v>829.49900000000002</v>
          </cell>
        </row>
        <row r="196">
          <cell r="A196" t="str">
            <v>BRB3401</v>
          </cell>
          <cell r="B196">
            <v>563.16459999999995</v>
          </cell>
        </row>
        <row r="197">
          <cell r="A197" t="str">
            <v>BRB3404</v>
          </cell>
          <cell r="B197">
            <v>614.99590000000001</v>
          </cell>
        </row>
        <row r="198">
          <cell r="A198" t="str">
            <v>BRB6483</v>
          </cell>
          <cell r="B198">
            <v>12612.995500000001</v>
          </cell>
        </row>
        <row r="199">
          <cell r="A199" t="str">
            <v>BRB6553</v>
          </cell>
          <cell r="B199">
            <v>11917.8244</v>
          </cell>
        </row>
        <row r="200">
          <cell r="A200" t="str">
            <v>BRB6613</v>
          </cell>
          <cell r="B200">
            <v>12418.3572</v>
          </cell>
        </row>
        <row r="201">
          <cell r="A201" t="str">
            <v>BRB6623</v>
          </cell>
          <cell r="B201">
            <v>16367.3622</v>
          </cell>
        </row>
        <row r="202">
          <cell r="A202" t="str">
            <v>BRB7701</v>
          </cell>
          <cell r="B202">
            <v>51467.746500000001</v>
          </cell>
        </row>
        <row r="203">
          <cell r="A203" t="str">
            <v>BRB7704</v>
          </cell>
          <cell r="B203">
            <v>51467.746500000001</v>
          </cell>
        </row>
        <row r="204">
          <cell r="A204" t="str">
            <v>BRB7710</v>
          </cell>
          <cell r="B204">
            <v>41909.362000000001</v>
          </cell>
        </row>
        <row r="205">
          <cell r="A205" t="str">
            <v>BRB7711</v>
          </cell>
          <cell r="B205">
            <v>41909.362000000001</v>
          </cell>
        </row>
        <row r="206">
          <cell r="A206" t="str">
            <v>BRB7713</v>
          </cell>
          <cell r="B206">
            <v>48218.922599999998</v>
          </cell>
        </row>
        <row r="207">
          <cell r="A207" t="str">
            <v>BRB7716</v>
          </cell>
          <cell r="B207">
            <v>42721.836000000003</v>
          </cell>
        </row>
        <row r="208">
          <cell r="A208" t="str">
            <v>BRB7721</v>
          </cell>
          <cell r="B208">
            <v>48305.4185</v>
          </cell>
        </row>
        <row r="209">
          <cell r="A209" t="str">
            <v>BRB7722</v>
          </cell>
          <cell r="B209">
            <v>48218.922599999998</v>
          </cell>
        </row>
        <row r="210">
          <cell r="A210" t="str">
            <v>BRB7723</v>
          </cell>
          <cell r="B210">
            <v>42721.836000000003</v>
          </cell>
        </row>
        <row r="211">
          <cell r="A211" t="str">
            <v>BRB8005</v>
          </cell>
          <cell r="B211">
            <v>1771.8921</v>
          </cell>
        </row>
        <row r="212">
          <cell r="A212" t="str">
            <v>BRD0021</v>
          </cell>
          <cell r="B212">
            <v>1746.6669999999999</v>
          </cell>
        </row>
        <row r="213">
          <cell r="A213" t="str">
            <v>BRD0202</v>
          </cell>
          <cell r="B213">
            <v>2150.8508000000002</v>
          </cell>
        </row>
        <row r="214">
          <cell r="A214" t="str">
            <v>BRM6502B</v>
          </cell>
          <cell r="B214">
            <v>4648.7825999999995</v>
          </cell>
        </row>
        <row r="215">
          <cell r="A215" t="str">
            <v>BRM6502G</v>
          </cell>
          <cell r="B215">
            <v>4145.5627000000004</v>
          </cell>
        </row>
        <row r="216">
          <cell r="A216" t="str">
            <v>BRM6503G</v>
          </cell>
          <cell r="B216">
            <v>7885.52</v>
          </cell>
        </row>
        <row r="217">
          <cell r="A217" t="str">
            <v>BRM6504G</v>
          </cell>
          <cell r="B217">
            <v>2534.0718999999999</v>
          </cell>
        </row>
        <row r="218">
          <cell r="A218" t="str">
            <v>BRM6505G</v>
          </cell>
          <cell r="B218">
            <v>4002.0744</v>
          </cell>
        </row>
        <row r="219">
          <cell r="A219" t="str">
            <v>BRM7155</v>
          </cell>
          <cell r="B219">
            <v>6973.4488000000001</v>
          </cell>
        </row>
        <row r="220">
          <cell r="A220" t="str">
            <v>BRM7156</v>
          </cell>
          <cell r="B220">
            <v>6980.1907000000001</v>
          </cell>
        </row>
        <row r="221">
          <cell r="A221" t="str">
            <v>BRM7156B</v>
          </cell>
          <cell r="B221">
            <v>6977.9854999999998</v>
          </cell>
        </row>
        <row r="222">
          <cell r="A222" t="str">
            <v>BRM7198</v>
          </cell>
          <cell r="B222">
            <v>7088.5546000000004</v>
          </cell>
        </row>
        <row r="223">
          <cell r="A223" t="str">
            <v>BRM7198B</v>
          </cell>
          <cell r="B223">
            <v>7086.3494000000001</v>
          </cell>
        </row>
        <row r="224">
          <cell r="A224" t="str">
            <v>BRM7198G</v>
          </cell>
          <cell r="B224">
            <v>7319.5855000000001</v>
          </cell>
        </row>
        <row r="225">
          <cell r="A225" t="str">
            <v>BRM7216</v>
          </cell>
          <cell r="B225">
            <v>3852.6091000000001</v>
          </cell>
        </row>
        <row r="226">
          <cell r="A226" t="str">
            <v>BRM7216B</v>
          </cell>
          <cell r="B226">
            <v>4393.3505999999998</v>
          </cell>
        </row>
        <row r="227">
          <cell r="A227" t="str">
            <v>BRM7264</v>
          </cell>
          <cell r="B227">
            <v>4433.1513000000004</v>
          </cell>
        </row>
        <row r="228">
          <cell r="A228" t="str">
            <v>BRM7709</v>
          </cell>
          <cell r="B228">
            <v>2497.5866000000001</v>
          </cell>
        </row>
        <row r="229">
          <cell r="A229" t="str">
            <v>BRM7709B</v>
          </cell>
          <cell r="B229">
            <v>2240.5940000000001</v>
          </cell>
        </row>
        <row r="230">
          <cell r="A230" t="str">
            <v>BRR2001</v>
          </cell>
          <cell r="B230">
            <v>1834.0972999999999</v>
          </cell>
        </row>
        <row r="231">
          <cell r="A231" t="str">
            <v>CRB0060</v>
          </cell>
          <cell r="B231">
            <v>590.08939999999996</v>
          </cell>
        </row>
        <row r="232">
          <cell r="A232" t="str">
            <v>CRB0062</v>
          </cell>
          <cell r="B232">
            <v>648.33479999999997</v>
          </cell>
        </row>
        <row r="233">
          <cell r="A233" t="str">
            <v>CRB0063</v>
          </cell>
          <cell r="B233">
            <v>619.98770000000002</v>
          </cell>
        </row>
        <row r="234">
          <cell r="A234" t="str">
            <v>CRB0064</v>
          </cell>
          <cell r="B234">
            <v>950.49530000000004</v>
          </cell>
        </row>
        <row r="235">
          <cell r="A235" t="str">
            <v>CRB0163</v>
          </cell>
          <cell r="B235">
            <v>670.41920000000005</v>
          </cell>
        </row>
        <row r="236">
          <cell r="A236" t="str">
            <v>CRB0253</v>
          </cell>
          <cell r="B236">
            <v>1258.1790000000001</v>
          </cell>
        </row>
        <row r="237">
          <cell r="A237" t="str">
            <v>CRB1063</v>
          </cell>
          <cell r="B237">
            <v>575.46109999999999</v>
          </cell>
        </row>
        <row r="238">
          <cell r="A238" t="str">
            <v>CRB1064</v>
          </cell>
          <cell r="B238">
            <v>955.42229999999995</v>
          </cell>
        </row>
        <row r="239">
          <cell r="A239" t="str">
            <v>CRB1301</v>
          </cell>
          <cell r="B239">
            <v>569.79319999999996</v>
          </cell>
        </row>
        <row r="240">
          <cell r="A240" t="str">
            <v>CRB1302</v>
          </cell>
          <cell r="B240">
            <v>580.02070000000003</v>
          </cell>
        </row>
        <row r="241">
          <cell r="A241" t="str">
            <v>CRB1322</v>
          </cell>
          <cell r="B241">
            <v>623.62090000000001</v>
          </cell>
        </row>
        <row r="242">
          <cell r="A242" t="str">
            <v>CRB1323</v>
          </cell>
          <cell r="B242">
            <v>572.0231</v>
          </cell>
        </row>
        <row r="243">
          <cell r="A243" t="str">
            <v>CRB1324</v>
          </cell>
          <cell r="B243">
            <v>854.66859999999997</v>
          </cell>
        </row>
        <row r="244">
          <cell r="A244" t="str">
            <v>CRB2323</v>
          </cell>
          <cell r="B244">
            <v>580.77269999999999</v>
          </cell>
        </row>
        <row r="245">
          <cell r="A245" t="str">
            <v>CRB2324</v>
          </cell>
          <cell r="B245">
            <v>882.20579999999995</v>
          </cell>
        </row>
        <row r="246">
          <cell r="A246" t="str">
            <v>CRB5161</v>
          </cell>
          <cell r="B246">
            <v>1193.1583000000001</v>
          </cell>
        </row>
        <row r="247">
          <cell r="A247" t="str">
            <v>CRB5167</v>
          </cell>
          <cell r="B247">
            <v>2047.3017</v>
          </cell>
        </row>
        <row r="248">
          <cell r="A248" t="str">
            <v>CRB5177</v>
          </cell>
          <cell r="B248">
            <v>2087.4609999999998</v>
          </cell>
        </row>
        <row r="249">
          <cell r="A249" t="str">
            <v>CRB5187</v>
          </cell>
          <cell r="B249">
            <v>2168.4200999999998</v>
          </cell>
        </row>
        <row r="250">
          <cell r="A250" t="str">
            <v>CRB5193</v>
          </cell>
          <cell r="B250">
            <v>5050.0181000000002</v>
          </cell>
        </row>
        <row r="251">
          <cell r="A251" t="str">
            <v>CRB5194</v>
          </cell>
          <cell r="B251">
            <v>5149.5456999999997</v>
          </cell>
        </row>
        <row r="252">
          <cell r="A252" t="str">
            <v>CRB5195</v>
          </cell>
          <cell r="B252">
            <v>5339.098</v>
          </cell>
        </row>
        <row r="253">
          <cell r="A253" t="str">
            <v>CRB6437</v>
          </cell>
          <cell r="B253">
            <v>11825.3282</v>
          </cell>
        </row>
        <row r="254">
          <cell r="A254" t="str">
            <v>CRB7317</v>
          </cell>
          <cell r="B254">
            <v>3185.8906999999999</v>
          </cell>
        </row>
        <row r="255">
          <cell r="A255" t="str">
            <v>CRB7925</v>
          </cell>
          <cell r="B255">
            <v>2098.4769999999999</v>
          </cell>
        </row>
        <row r="256">
          <cell r="A256" t="str">
            <v>CRB9806</v>
          </cell>
          <cell r="B256">
            <v>2714.9839999999999</v>
          </cell>
        </row>
        <row r="257">
          <cell r="A257" t="str">
            <v>CRB9808</v>
          </cell>
          <cell r="B257">
            <v>2941.3587000000002</v>
          </cell>
        </row>
        <row r="258">
          <cell r="A258" t="str">
            <v>CRB9816</v>
          </cell>
          <cell r="B258">
            <v>2755.1554000000001</v>
          </cell>
        </row>
        <row r="259">
          <cell r="A259" t="str">
            <v>CRB9818</v>
          </cell>
          <cell r="B259">
            <v>2992.5781999999999</v>
          </cell>
        </row>
        <row r="260">
          <cell r="A260" t="str">
            <v>CRB9826</v>
          </cell>
          <cell r="B260">
            <v>2825.4639000000002</v>
          </cell>
        </row>
        <row r="261">
          <cell r="A261" t="str">
            <v>CRB9828</v>
          </cell>
          <cell r="B261">
            <v>3080.4998000000001</v>
          </cell>
        </row>
        <row r="262">
          <cell r="A262" t="str">
            <v>CRD0001</v>
          </cell>
          <cell r="B262">
            <v>880.91129999999998</v>
          </cell>
        </row>
        <row r="263">
          <cell r="A263" t="str">
            <v>CRD5633</v>
          </cell>
          <cell r="B263">
            <v>3245.4919</v>
          </cell>
        </row>
        <row r="264">
          <cell r="A264" t="str">
            <v>DRB0163</v>
          </cell>
          <cell r="B264">
            <v>623.42619999999999</v>
          </cell>
        </row>
        <row r="265">
          <cell r="A265" t="str">
            <v>DRB5178</v>
          </cell>
          <cell r="B265">
            <v>2266.7912999999999</v>
          </cell>
        </row>
        <row r="266">
          <cell r="A266" t="str">
            <v>DRB5193</v>
          </cell>
          <cell r="B266">
            <v>5014.2419</v>
          </cell>
        </row>
        <row r="267">
          <cell r="A267" t="str">
            <v>DRB5194</v>
          </cell>
          <cell r="B267">
            <v>5115.3468000000003</v>
          </cell>
        </row>
        <row r="268">
          <cell r="A268" t="str">
            <v>DRB5195</v>
          </cell>
          <cell r="B268">
            <v>5302.9997000000003</v>
          </cell>
        </row>
        <row r="269">
          <cell r="A269" t="str">
            <v>D2926</v>
          </cell>
          <cell r="B269">
            <v>280.32690000000002</v>
          </cell>
        </row>
        <row r="270">
          <cell r="A270" t="str">
            <v>HRB3401</v>
          </cell>
          <cell r="B270">
            <v>563.15070000000003</v>
          </cell>
        </row>
        <row r="271">
          <cell r="A271" t="str">
            <v>JRB3401</v>
          </cell>
          <cell r="B271">
            <v>563.16459999999995</v>
          </cell>
        </row>
        <row r="272">
          <cell r="A272" t="str">
            <v>KRA8504</v>
          </cell>
          <cell r="B272">
            <v>274.80290000000002</v>
          </cell>
        </row>
        <row r="273">
          <cell r="A273" t="str">
            <v>KRA8505</v>
          </cell>
          <cell r="B273">
            <v>215.83349999999999</v>
          </cell>
        </row>
        <row r="274">
          <cell r="A274" t="str">
            <v>KRA8506</v>
          </cell>
          <cell r="B274">
            <v>419.32659999999998</v>
          </cell>
        </row>
        <row r="275">
          <cell r="A275" t="str">
            <v>KRA8507</v>
          </cell>
          <cell r="B275">
            <v>427.15769999999998</v>
          </cell>
        </row>
        <row r="276">
          <cell r="A276" t="str">
            <v>KRA8508</v>
          </cell>
          <cell r="B276">
            <v>469.33760000000001</v>
          </cell>
        </row>
        <row r="277">
          <cell r="A277" t="str">
            <v>KRA8509</v>
          </cell>
          <cell r="B277">
            <v>414.50369999999998</v>
          </cell>
        </row>
        <row r="278">
          <cell r="A278" t="str">
            <v>KRA8510</v>
          </cell>
          <cell r="B278">
            <v>419.38010000000003</v>
          </cell>
        </row>
        <row r="279">
          <cell r="A279" t="str">
            <v>KRB0063</v>
          </cell>
          <cell r="B279">
            <v>572.99469999999997</v>
          </cell>
        </row>
        <row r="280">
          <cell r="A280" t="str">
            <v>KRB1063</v>
          </cell>
          <cell r="B280">
            <v>575.46109999999999</v>
          </cell>
        </row>
        <row r="281">
          <cell r="A281" t="str">
            <v>KRB1323</v>
          </cell>
          <cell r="B281">
            <v>525.03009999999995</v>
          </cell>
        </row>
        <row r="282">
          <cell r="A282" t="str">
            <v>KRB2323</v>
          </cell>
          <cell r="B282">
            <v>538.81470000000002</v>
          </cell>
        </row>
        <row r="283">
          <cell r="A283" t="str">
            <v>KRB8502</v>
          </cell>
          <cell r="B283">
            <v>738.02819999999997</v>
          </cell>
        </row>
        <row r="284">
          <cell r="A284" t="str">
            <v>MRC0001</v>
          </cell>
          <cell r="B284">
            <v>480.6696</v>
          </cell>
        </row>
        <row r="285">
          <cell r="A285" t="str">
            <v>MRC0001P</v>
          </cell>
          <cell r="B285">
            <v>520.61490000000003</v>
          </cell>
        </row>
        <row r="286">
          <cell r="A286" t="str">
            <v>MRC0002</v>
          </cell>
          <cell r="B286">
            <v>631.75919999999996</v>
          </cell>
        </row>
        <row r="287">
          <cell r="A287" t="str">
            <v>MRC0002P</v>
          </cell>
          <cell r="B287">
            <v>671.79700000000003</v>
          </cell>
        </row>
        <row r="288">
          <cell r="A288" t="str">
            <v>MRC0005</v>
          </cell>
          <cell r="B288">
            <v>869.13030000000003</v>
          </cell>
        </row>
        <row r="289">
          <cell r="A289" t="str">
            <v>MRC0005P</v>
          </cell>
          <cell r="B289">
            <v>887.53459999999995</v>
          </cell>
        </row>
        <row r="290">
          <cell r="A290" t="str">
            <v>MRC0005S</v>
          </cell>
          <cell r="B290">
            <v>970.00229999999999</v>
          </cell>
        </row>
        <row r="291">
          <cell r="A291" t="str">
            <v>MRC0005SP</v>
          </cell>
          <cell r="B291">
            <v>1442.6989000000001</v>
          </cell>
        </row>
        <row r="292">
          <cell r="A292" t="str">
            <v>MRC0012</v>
          </cell>
          <cell r="B292">
            <v>546.30420000000004</v>
          </cell>
        </row>
        <row r="293">
          <cell r="A293" t="str">
            <v>MRC0012P</v>
          </cell>
          <cell r="B293">
            <v>571.80079999999998</v>
          </cell>
        </row>
        <row r="294">
          <cell r="A294" t="str">
            <v>MRC0050</v>
          </cell>
          <cell r="B294">
            <v>734.79610000000002</v>
          </cell>
        </row>
        <row r="295">
          <cell r="A295" t="str">
            <v>MRC1007P</v>
          </cell>
          <cell r="B295">
            <v>1574.1215</v>
          </cell>
        </row>
        <row r="296">
          <cell r="A296" t="str">
            <v>MRC1007SP</v>
          </cell>
          <cell r="B296">
            <v>1414.3859</v>
          </cell>
        </row>
        <row r="297">
          <cell r="A297" t="str">
            <v>MRC2006P</v>
          </cell>
          <cell r="B297">
            <v>962.00040000000001</v>
          </cell>
        </row>
        <row r="298">
          <cell r="A298" t="str">
            <v>MRC2104</v>
          </cell>
          <cell r="B298">
            <v>1189.7646999999999</v>
          </cell>
        </row>
        <row r="299">
          <cell r="A299" t="str">
            <v>MRC2104P</v>
          </cell>
          <cell r="B299">
            <v>1273.4991</v>
          </cell>
        </row>
        <row r="300">
          <cell r="A300" t="str">
            <v>MRC2106</v>
          </cell>
          <cell r="B300">
            <v>1251.0787</v>
          </cell>
        </row>
        <row r="301">
          <cell r="A301" t="str">
            <v>MRC2106P</v>
          </cell>
          <cell r="B301">
            <v>1334.2734</v>
          </cell>
        </row>
        <row r="302">
          <cell r="A302" t="str">
            <v>MRC2182</v>
          </cell>
          <cell r="B302">
            <v>1904.1405</v>
          </cell>
        </row>
        <row r="303">
          <cell r="A303" t="str">
            <v>MRC2182P</v>
          </cell>
          <cell r="B303">
            <v>1986.4836</v>
          </cell>
        </row>
        <row r="304">
          <cell r="A304" t="str">
            <v>MRC5005S</v>
          </cell>
          <cell r="B304">
            <v>1711.7156</v>
          </cell>
        </row>
        <row r="305">
          <cell r="A305" t="str">
            <v>MRC5005SP</v>
          </cell>
          <cell r="B305">
            <v>1750.7786000000001</v>
          </cell>
        </row>
        <row r="306">
          <cell r="A306" t="str">
            <v>MRC5401</v>
          </cell>
          <cell r="B306">
            <v>265.01990000000001</v>
          </cell>
        </row>
        <row r="307">
          <cell r="A307" t="str">
            <v>MRC5403</v>
          </cell>
          <cell r="B307">
            <v>684.22339999999997</v>
          </cell>
        </row>
        <row r="308">
          <cell r="A308" t="str">
            <v>MRC5404P</v>
          </cell>
          <cell r="B308">
            <v>897.73469999999998</v>
          </cell>
        </row>
        <row r="309">
          <cell r="A309" t="str">
            <v>MRC5405P</v>
          </cell>
          <cell r="B309">
            <v>1145.3822</v>
          </cell>
        </row>
        <row r="310">
          <cell r="A310" t="str">
            <v>MRC5407P</v>
          </cell>
          <cell r="B310">
            <v>512.66660000000002</v>
          </cell>
        </row>
        <row r="311">
          <cell r="A311" t="str">
            <v>MRC5884P</v>
          </cell>
          <cell r="B311">
            <v>417.1103</v>
          </cell>
        </row>
        <row r="312">
          <cell r="A312" t="str">
            <v>MRC7505P</v>
          </cell>
          <cell r="B312">
            <v>122.5624</v>
          </cell>
        </row>
        <row r="313">
          <cell r="A313" t="str">
            <v>MRC9604P</v>
          </cell>
          <cell r="B313">
            <v>2334.3335999999999</v>
          </cell>
        </row>
        <row r="314">
          <cell r="A314" t="str">
            <v>MRD2923</v>
          </cell>
          <cell r="B314">
            <v>1624.1539</v>
          </cell>
        </row>
        <row r="315">
          <cell r="A315" t="str">
            <v>MRD2926</v>
          </cell>
          <cell r="B315">
            <v>2008.7242000000001</v>
          </cell>
        </row>
        <row r="316">
          <cell r="A316" t="str">
            <v>MRD2926M</v>
          </cell>
          <cell r="B316">
            <v>2306.0972999999999</v>
          </cell>
        </row>
        <row r="317">
          <cell r="A317" t="str">
            <v>MRM2600</v>
          </cell>
          <cell r="B317">
            <v>5989.5841</v>
          </cell>
        </row>
        <row r="318">
          <cell r="A318" t="str">
            <v>MRM2602</v>
          </cell>
          <cell r="B318">
            <v>6412.1729999999998</v>
          </cell>
        </row>
        <row r="319">
          <cell r="A319" t="str">
            <v>MRM2603</v>
          </cell>
          <cell r="B319">
            <v>5110.9197000000004</v>
          </cell>
        </row>
        <row r="320">
          <cell r="A320" t="str">
            <v>MRM2604</v>
          </cell>
          <cell r="B320">
            <v>5376.2725</v>
          </cell>
        </row>
        <row r="321">
          <cell r="A321" t="str">
            <v>MRM2605</v>
          </cell>
          <cell r="B321">
            <v>5947.1113999999998</v>
          </cell>
        </row>
        <row r="322">
          <cell r="A322" t="str">
            <v>MRM2606</v>
          </cell>
          <cell r="B322">
            <v>5509.7577000000001</v>
          </cell>
        </row>
        <row r="323">
          <cell r="A323" t="str">
            <v>MRM4093</v>
          </cell>
          <cell r="B323">
            <v>5966.3512000000001</v>
          </cell>
        </row>
        <row r="324">
          <cell r="A324" t="str">
            <v>MRM4262</v>
          </cell>
          <cell r="B324">
            <v>3518.9045000000001</v>
          </cell>
        </row>
        <row r="325">
          <cell r="A325" t="str">
            <v>MRM4283</v>
          </cell>
          <cell r="B325">
            <v>3616.5868</v>
          </cell>
        </row>
        <row r="326">
          <cell r="A326" t="str">
            <v>MRM4366</v>
          </cell>
          <cell r="B326">
            <v>1830.0385000000001</v>
          </cell>
        </row>
        <row r="327">
          <cell r="A327" t="str">
            <v>MRM4464</v>
          </cell>
          <cell r="B327">
            <v>1447.7963999999999</v>
          </cell>
        </row>
        <row r="328">
          <cell r="A328" t="str">
            <v>MRM4469</v>
          </cell>
          <cell r="B328">
            <v>10253.5527</v>
          </cell>
        </row>
        <row r="329">
          <cell r="A329" t="str">
            <v>MRM4491</v>
          </cell>
          <cell r="B329">
            <v>2526.0176000000001</v>
          </cell>
        </row>
        <row r="330">
          <cell r="A330" t="str">
            <v>PRC4128P</v>
          </cell>
          <cell r="B330">
            <v>1067.808</v>
          </cell>
        </row>
        <row r="331">
          <cell r="A331" t="str">
            <v>PRC4134P</v>
          </cell>
          <cell r="B331">
            <v>2758.2492000000002</v>
          </cell>
        </row>
        <row r="332">
          <cell r="A332" t="str">
            <v>SRA8504</v>
          </cell>
          <cell r="B332">
            <v>252.3595</v>
          </cell>
        </row>
        <row r="333">
          <cell r="A333" t="str">
            <v>SRA8505</v>
          </cell>
          <cell r="B333">
            <v>201.3869</v>
          </cell>
        </row>
        <row r="334">
          <cell r="A334" t="str">
            <v>SRA8506</v>
          </cell>
          <cell r="B334">
            <v>371.5333</v>
          </cell>
        </row>
        <row r="335">
          <cell r="A335" t="str">
            <v>SRA8507</v>
          </cell>
          <cell r="B335">
            <v>379.06150000000002</v>
          </cell>
        </row>
        <row r="336">
          <cell r="A336" t="str">
            <v>SRA8508</v>
          </cell>
          <cell r="B336">
            <v>421.97030000000001</v>
          </cell>
        </row>
        <row r="337">
          <cell r="A337" t="str">
            <v>SRB0060</v>
          </cell>
          <cell r="B337">
            <v>535.09960000000001</v>
          </cell>
        </row>
        <row r="338">
          <cell r="A338" t="str">
            <v>SRB0062</v>
          </cell>
          <cell r="B338">
            <v>601.37009999999998</v>
          </cell>
        </row>
        <row r="339">
          <cell r="A339" t="str">
            <v>SRB0063</v>
          </cell>
          <cell r="B339">
            <v>572.99469999999997</v>
          </cell>
        </row>
        <row r="340">
          <cell r="A340" t="str">
            <v>SRB0162</v>
          </cell>
          <cell r="B340">
            <v>627.35350000000005</v>
          </cell>
        </row>
        <row r="341">
          <cell r="A341" t="str">
            <v>SRB0163</v>
          </cell>
          <cell r="B341">
            <v>623.42619999999999</v>
          </cell>
        </row>
        <row r="342">
          <cell r="A342" t="str">
            <v>SRB0164</v>
          </cell>
          <cell r="B342">
            <v>997.36490000000003</v>
          </cell>
        </row>
        <row r="343">
          <cell r="A343" t="str">
            <v>SRB0253</v>
          </cell>
          <cell r="B343">
            <v>1211.1859999999999</v>
          </cell>
        </row>
        <row r="344">
          <cell r="A344" t="str">
            <v>SRB0303</v>
          </cell>
          <cell r="B344">
            <v>653.45979999999997</v>
          </cell>
        </row>
        <row r="345">
          <cell r="A345" t="str">
            <v>SRB1062</v>
          </cell>
          <cell r="B345">
            <v>602.13610000000006</v>
          </cell>
        </row>
        <row r="346">
          <cell r="A346" t="str">
            <v>SRB1063</v>
          </cell>
          <cell r="B346">
            <v>575.46109999999999</v>
          </cell>
        </row>
        <row r="347">
          <cell r="A347" t="str">
            <v>SRB1064</v>
          </cell>
          <cell r="B347">
            <v>902.50229999999999</v>
          </cell>
        </row>
        <row r="348">
          <cell r="A348" t="str">
            <v>SRB1302</v>
          </cell>
          <cell r="B348">
            <v>525.03089999999997</v>
          </cell>
        </row>
        <row r="349">
          <cell r="A349" t="str">
            <v>SRB1322</v>
          </cell>
          <cell r="B349">
            <v>576.65620000000001</v>
          </cell>
        </row>
        <row r="350">
          <cell r="A350" t="str">
            <v>SRB1323</v>
          </cell>
          <cell r="B350">
            <v>561.56600000000003</v>
          </cell>
        </row>
        <row r="351">
          <cell r="A351" t="str">
            <v>SRB1324</v>
          </cell>
          <cell r="B351">
            <v>801.74860000000001</v>
          </cell>
        </row>
        <row r="352">
          <cell r="A352" t="str">
            <v>SRB2303</v>
          </cell>
          <cell r="B352">
            <v>584.10799999999995</v>
          </cell>
        </row>
        <row r="353">
          <cell r="A353" t="str">
            <v>SRB2322</v>
          </cell>
          <cell r="B353">
            <v>583.76340000000005</v>
          </cell>
        </row>
        <row r="354">
          <cell r="A354" t="str">
            <v>SRB2323</v>
          </cell>
          <cell r="B354">
            <v>575.87350000000004</v>
          </cell>
        </row>
        <row r="355">
          <cell r="A355" t="str">
            <v>SRB2324</v>
          </cell>
          <cell r="B355">
            <v>829.28579999999999</v>
          </cell>
        </row>
        <row r="356">
          <cell r="A356" t="str">
            <v>SRB3401</v>
          </cell>
          <cell r="B356">
            <v>563.16459999999995</v>
          </cell>
        </row>
        <row r="357">
          <cell r="A357" t="str">
            <v>SRB5167</v>
          </cell>
          <cell r="B357">
            <v>2047.3017</v>
          </cell>
        </row>
        <row r="358">
          <cell r="A358" t="str">
            <v>SRB5177</v>
          </cell>
          <cell r="B358">
            <v>2087.4609999999998</v>
          </cell>
        </row>
        <row r="359">
          <cell r="A359" t="str">
            <v>SRB5187</v>
          </cell>
          <cell r="B359">
            <v>2168.4200999999998</v>
          </cell>
        </row>
        <row r="360">
          <cell r="A360" t="str">
            <v>SRB7925</v>
          </cell>
          <cell r="B360">
            <v>794.99170000000004</v>
          </cell>
        </row>
        <row r="361">
          <cell r="A361" t="str">
            <v>SRD5633</v>
          </cell>
          <cell r="B361">
            <v>3198.4989</v>
          </cell>
        </row>
        <row r="362">
          <cell r="A362" t="str">
            <v>VRB0162</v>
          </cell>
          <cell r="B362">
            <v>627.35350000000005</v>
          </cell>
        </row>
        <row r="363">
          <cell r="A363" t="str">
            <v>VRB0253</v>
          </cell>
          <cell r="B363">
            <v>1211.1859999999999</v>
          </cell>
        </row>
        <row r="364">
          <cell r="A364" t="str">
            <v>VRB1073</v>
          </cell>
          <cell r="B364">
            <v>574.17139999999995</v>
          </cell>
        </row>
        <row r="365">
          <cell r="A365" t="str">
            <v>VRB1083</v>
          </cell>
          <cell r="B365">
            <v>573.90039999999999</v>
          </cell>
        </row>
        <row r="366">
          <cell r="A366" t="str">
            <v>VRB1301</v>
          </cell>
          <cell r="B366">
            <v>497.62180000000001</v>
          </cell>
        </row>
        <row r="367">
          <cell r="A367" t="str">
            <v>VRB2303</v>
          </cell>
          <cell r="B367">
            <v>584.04960000000005</v>
          </cell>
        </row>
        <row r="368">
          <cell r="A368" t="str">
            <v>VRB2322</v>
          </cell>
          <cell r="B368">
            <v>583.76340000000005</v>
          </cell>
        </row>
        <row r="369">
          <cell r="A369" t="str">
            <v>VRB3401</v>
          </cell>
          <cell r="B369">
            <v>563.16459999999995</v>
          </cell>
        </row>
        <row r="370">
          <cell r="A370" t="str">
            <v>VRB5177</v>
          </cell>
          <cell r="B370">
            <v>2087.4609999999998</v>
          </cell>
        </row>
        <row r="371">
          <cell r="A371" t="str">
            <v>VRB5178</v>
          </cell>
          <cell r="B371">
            <v>2266.7838000000002</v>
          </cell>
        </row>
        <row r="372">
          <cell r="A372" t="str">
            <v>VRB5181</v>
          </cell>
          <cell r="B372">
            <v>1231.8525</v>
          </cell>
        </row>
        <row r="373">
          <cell r="A373" t="str">
            <v>VRB5187</v>
          </cell>
          <cell r="B373">
            <v>2168.4200999999998</v>
          </cell>
        </row>
        <row r="374">
          <cell r="A374" t="str">
            <v>VRB5188</v>
          </cell>
          <cell r="B374">
            <v>2365.1936000000001</v>
          </cell>
        </row>
        <row r="375">
          <cell r="A375" t="str">
            <v>VRB5193</v>
          </cell>
          <cell r="B375">
            <v>5014.2419</v>
          </cell>
        </row>
        <row r="376">
          <cell r="A376" t="str">
            <v>VRB5194</v>
          </cell>
          <cell r="B376">
            <v>5115.3468000000003</v>
          </cell>
        </row>
        <row r="377">
          <cell r="A377" t="str">
            <v>VRB5195</v>
          </cell>
          <cell r="B377">
            <v>5302.9997000000003</v>
          </cell>
        </row>
        <row r="378">
          <cell r="A378" t="str">
            <v>VRB5202</v>
          </cell>
          <cell r="B378">
            <v>5115.3450999999995</v>
          </cell>
        </row>
        <row r="379">
          <cell r="A379" t="str">
            <v>VRB7925</v>
          </cell>
          <cell r="B379">
            <v>2098.4769999999999</v>
          </cell>
        </row>
        <row r="380">
          <cell r="A380" t="str">
            <v>VRB9717</v>
          </cell>
          <cell r="B380">
            <v>2047.3027999999999</v>
          </cell>
        </row>
        <row r="381">
          <cell r="A381" t="str">
            <v>VRB9727</v>
          </cell>
          <cell r="B381">
            <v>2087.4535999999998</v>
          </cell>
        </row>
        <row r="382">
          <cell r="A382" t="str">
            <v>VRB9747</v>
          </cell>
          <cell r="B382">
            <v>2168.4126999999999</v>
          </cell>
        </row>
        <row r="383">
          <cell r="A383" t="str">
            <v>VRD5633</v>
          </cell>
          <cell r="B383">
            <v>3198.4989</v>
          </cell>
        </row>
        <row r="384">
          <cell r="A384" t="str">
            <v>030302103J</v>
          </cell>
          <cell r="B384">
            <v>4.4279000000000002</v>
          </cell>
        </row>
        <row r="385">
          <cell r="A385" t="str">
            <v>031307077J</v>
          </cell>
          <cell r="B385">
            <v>7.6120999999999999</v>
          </cell>
        </row>
        <row r="386">
          <cell r="A386" t="str">
            <v>060033ISS</v>
          </cell>
          <cell r="B386">
            <v>66982.462199999994</v>
          </cell>
        </row>
        <row r="387">
          <cell r="A387" t="str">
            <v>060618ISS</v>
          </cell>
          <cell r="B387">
            <v>454.14049999999997</v>
          </cell>
        </row>
        <row r="388">
          <cell r="A388" t="str">
            <v>060619ISS</v>
          </cell>
          <cell r="B388">
            <v>451.63869999999997</v>
          </cell>
        </row>
        <row r="389">
          <cell r="A389" t="str">
            <v>060620ISS</v>
          </cell>
          <cell r="B389">
            <v>450.67079999999999</v>
          </cell>
        </row>
        <row r="390">
          <cell r="A390" t="str">
            <v>1A0694</v>
          </cell>
          <cell r="B390">
            <v>7903.7838000000002</v>
          </cell>
        </row>
        <row r="391">
          <cell r="A391" t="str">
            <v>1A0696</v>
          </cell>
          <cell r="B391">
            <v>7957.9916999999996</v>
          </cell>
        </row>
        <row r="392">
          <cell r="A392" t="str">
            <v>14102L</v>
          </cell>
          <cell r="B392">
            <v>5125.6211999999996</v>
          </cell>
        </row>
        <row r="393">
          <cell r="A393" t="str">
            <v>14403L</v>
          </cell>
          <cell r="B393">
            <v>7724.5910000000003</v>
          </cell>
        </row>
        <row r="394">
          <cell r="A394" t="str">
            <v>2L3301</v>
          </cell>
          <cell r="B394">
            <v>7597.7692999999999</v>
          </cell>
        </row>
        <row r="395">
          <cell r="A395" t="str">
            <v>2L6056</v>
          </cell>
          <cell r="B395">
            <v>1986.393</v>
          </cell>
        </row>
        <row r="396">
          <cell r="A396" t="str">
            <v>2L6062</v>
          </cell>
          <cell r="B396">
            <v>2117.1239</v>
          </cell>
        </row>
        <row r="397">
          <cell r="A397" t="str">
            <v>2L6090</v>
          </cell>
          <cell r="B397">
            <v>31493.707299999998</v>
          </cell>
        </row>
        <row r="398">
          <cell r="A398" t="str">
            <v>2L6091</v>
          </cell>
          <cell r="B398">
            <v>21690.907899999998</v>
          </cell>
        </row>
        <row r="399">
          <cell r="A399" t="str">
            <v>2L6204</v>
          </cell>
          <cell r="B399">
            <v>2343.3051</v>
          </cell>
        </row>
        <row r="400">
          <cell r="A400" t="str">
            <v>2L6210</v>
          </cell>
          <cell r="B400">
            <v>2018.5234</v>
          </cell>
        </row>
        <row r="401">
          <cell r="A401" t="str">
            <v>2L6220</v>
          </cell>
          <cell r="B401">
            <v>2382.6858000000002</v>
          </cell>
        </row>
        <row r="402">
          <cell r="A402" t="str">
            <v>2L6229</v>
          </cell>
          <cell r="B402">
            <v>1296.4704999999999</v>
          </cell>
        </row>
        <row r="403">
          <cell r="A403" t="str">
            <v>2L6230</v>
          </cell>
          <cell r="B403">
            <v>2498.8281999999999</v>
          </cell>
        </row>
        <row r="404">
          <cell r="A404" t="str">
            <v>2L6245</v>
          </cell>
          <cell r="B404">
            <v>1298.1632999999999</v>
          </cell>
        </row>
        <row r="405">
          <cell r="A405" t="str">
            <v>2L6249</v>
          </cell>
          <cell r="B405">
            <v>2227.6885000000002</v>
          </cell>
        </row>
        <row r="406">
          <cell r="A406" t="str">
            <v>2L6252</v>
          </cell>
          <cell r="B406">
            <v>6143.5162</v>
          </cell>
        </row>
        <row r="407">
          <cell r="A407" t="str">
            <v>2L6253</v>
          </cell>
          <cell r="B407">
            <v>3149.5819999999999</v>
          </cell>
        </row>
        <row r="408">
          <cell r="A408" t="str">
            <v>2L6260</v>
          </cell>
          <cell r="B408">
            <v>5588.9399000000003</v>
          </cell>
        </row>
        <row r="409">
          <cell r="A409" t="str">
            <v>2L6269</v>
          </cell>
          <cell r="B409">
            <v>2941.8755000000001</v>
          </cell>
        </row>
        <row r="410">
          <cell r="A410" t="str">
            <v>2L6270</v>
          </cell>
          <cell r="B410">
            <v>4125.6846999999998</v>
          </cell>
        </row>
        <row r="411">
          <cell r="A411" t="str">
            <v>2L6272</v>
          </cell>
          <cell r="B411">
            <v>4126.5712000000003</v>
          </cell>
        </row>
        <row r="412">
          <cell r="A412" t="str">
            <v>2L6275</v>
          </cell>
          <cell r="B412">
            <v>2297.8753000000002</v>
          </cell>
        </row>
        <row r="413">
          <cell r="A413" t="str">
            <v>2L6280</v>
          </cell>
          <cell r="B413">
            <v>8837.3847000000005</v>
          </cell>
        </row>
        <row r="414">
          <cell r="A414" t="str">
            <v>2L6283</v>
          </cell>
          <cell r="B414">
            <v>26191.111400000002</v>
          </cell>
        </row>
        <row r="415">
          <cell r="A415" t="str">
            <v>2L6350</v>
          </cell>
          <cell r="B415">
            <v>10992.632900000001</v>
          </cell>
        </row>
        <row r="416">
          <cell r="A416" t="str">
            <v>2L6351</v>
          </cell>
          <cell r="B416">
            <v>7751.6948000000002</v>
          </cell>
        </row>
        <row r="417">
          <cell r="A417" t="str">
            <v>2L6352</v>
          </cell>
          <cell r="B417">
            <v>10545.041499999999</v>
          </cell>
        </row>
        <row r="418">
          <cell r="A418" t="str">
            <v>2L6353</v>
          </cell>
          <cell r="B418">
            <v>5591.2437</v>
          </cell>
        </row>
        <row r="419">
          <cell r="A419" t="str">
            <v>2L6354</v>
          </cell>
          <cell r="B419">
            <v>14061.101199999999</v>
          </cell>
        </row>
        <row r="420">
          <cell r="A420" t="str">
            <v>2L6356</v>
          </cell>
          <cell r="B420">
            <v>12314.609</v>
          </cell>
        </row>
        <row r="421">
          <cell r="A421" t="str">
            <v>2L6357</v>
          </cell>
          <cell r="B421">
            <v>7796.1832999999997</v>
          </cell>
        </row>
        <row r="422">
          <cell r="A422" t="str">
            <v>2L6362</v>
          </cell>
          <cell r="B422">
            <v>4867.0492000000004</v>
          </cell>
        </row>
        <row r="423">
          <cell r="A423" t="str">
            <v>2L6364</v>
          </cell>
          <cell r="B423">
            <v>7985.2824000000001</v>
          </cell>
        </row>
        <row r="424">
          <cell r="A424" t="str">
            <v>2L6370</v>
          </cell>
          <cell r="B424">
            <v>7905.8378000000002</v>
          </cell>
        </row>
        <row r="425">
          <cell r="A425" t="str">
            <v>2L6376</v>
          </cell>
          <cell r="B425">
            <v>11686.5178</v>
          </cell>
        </row>
        <row r="426">
          <cell r="A426" t="str">
            <v>2L6377</v>
          </cell>
          <cell r="B426">
            <v>7427.4417999999996</v>
          </cell>
        </row>
        <row r="427">
          <cell r="A427" t="str">
            <v>2L6378</v>
          </cell>
          <cell r="B427">
            <v>10238.271199999999</v>
          </cell>
        </row>
        <row r="428">
          <cell r="A428" t="str">
            <v>2L6480</v>
          </cell>
          <cell r="B428">
            <v>2609.9519</v>
          </cell>
        </row>
        <row r="429">
          <cell r="A429" t="str">
            <v>2L7100</v>
          </cell>
          <cell r="B429">
            <v>1985.2331999999999</v>
          </cell>
        </row>
        <row r="430">
          <cell r="A430" t="str">
            <v>2L7101</v>
          </cell>
          <cell r="B430">
            <v>1488.6894</v>
          </cell>
        </row>
        <row r="431">
          <cell r="A431" t="str">
            <v>2L7102</v>
          </cell>
          <cell r="B431">
            <v>1996.2515000000001</v>
          </cell>
        </row>
        <row r="432">
          <cell r="A432" t="str">
            <v>2L8190</v>
          </cell>
          <cell r="B432">
            <v>6925.8347000000003</v>
          </cell>
        </row>
        <row r="433">
          <cell r="A433" t="str">
            <v>2L8194</v>
          </cell>
          <cell r="B433">
            <v>23389.234899999999</v>
          </cell>
        </row>
        <row r="434">
          <cell r="A434" t="str">
            <v>231001004J</v>
          </cell>
          <cell r="B434">
            <v>40.042000000000002</v>
          </cell>
        </row>
        <row r="435">
          <cell r="A435" t="str">
            <v>232301320</v>
          </cell>
          <cell r="B435">
            <v>253.97970000000001</v>
          </cell>
        </row>
        <row r="436">
          <cell r="A436" t="str">
            <v>232301321</v>
          </cell>
          <cell r="B436">
            <v>253.97970000000001</v>
          </cell>
        </row>
        <row r="437">
          <cell r="A437" t="str">
            <v>232301332</v>
          </cell>
          <cell r="B437">
            <v>253.97970000000001</v>
          </cell>
        </row>
        <row r="438">
          <cell r="A438" t="str">
            <v>2801L</v>
          </cell>
          <cell r="B438">
            <v>4064.9431</v>
          </cell>
        </row>
        <row r="439">
          <cell r="A439" t="str">
            <v>2910L</v>
          </cell>
          <cell r="B439">
            <v>9728.9568999999992</v>
          </cell>
        </row>
        <row r="440">
          <cell r="A440" t="str">
            <v>4205L</v>
          </cell>
          <cell r="B440">
            <v>7369.5610999999999</v>
          </cell>
        </row>
        <row r="441">
          <cell r="A441" t="str">
            <v>8605P</v>
          </cell>
          <cell r="B441">
            <v>2366.6120000000001</v>
          </cell>
        </row>
        <row r="442">
          <cell r="A442" t="str">
            <v>8615P</v>
          </cell>
          <cell r="B442">
            <v>3650.9185000000002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 GENERAL BORRADOR"/>
      <sheetName val="CAJA GENERAL "/>
      <sheetName val="CAJA GENERAL  (2)"/>
      <sheetName val="CAJA CHICA"/>
      <sheetName val="CAJA CHICA (2)"/>
      <sheetName val="BAM ABR13"/>
      <sheetName val="Estado de Cuenta BAM"/>
      <sheetName val="BAM MAY13"/>
      <sheetName val="BAC ABR13"/>
      <sheetName val="Estado de Cuenta BAC"/>
      <sheetName val="BAC MAY13"/>
      <sheetName val="DEUDOR"/>
      <sheetName val="DEUDOR (2)"/>
      <sheetName val="CANJE"/>
      <sheetName val="CANJE (2)"/>
      <sheetName val="ANT. S-SUELDOS (2)"/>
      <sheetName val="EXENCION DEL IVA"/>
      <sheetName val="ANT. x LIQUIDAR"/>
      <sheetName val="ANT. x LIQUIDAR (2)"/>
      <sheetName val="PPEQ-CRISTALERIA"/>
      <sheetName val="PPEQ-CRISTALERIA (2)"/>
      <sheetName val="PPEQ-M&amp;E COCINA"/>
      <sheetName val="PPEQ-M&amp;E COCINA (2)"/>
      <sheetName val="PPEQ-M&amp;E RESTAURANTE"/>
      <sheetName val="PPEQ-M&amp;E RESTAURANTE (2)"/>
      <sheetName val="PPEQ-AUDIO"/>
      <sheetName val="PPEQ-AUDIO (2)"/>
      <sheetName val="PPEQ-SEGURIDAD"/>
      <sheetName val="PPEQ-SEGURIDAD (2)"/>
      <sheetName val="PPEQ-COMPUTO"/>
      <sheetName val="PPEQ-COMPUTO (2)"/>
      <sheetName val="PPEQ-M&amp;E OFICINA"/>
      <sheetName val="PPEQ-M&amp;E OFICINA (2)"/>
      <sheetName val="PPEQ-INSTALACIONES"/>
      <sheetName val="PPEQ-INSTALACIONES (2)"/>
      <sheetName val="DEPOSITOS EN GARANTIA"/>
      <sheetName val="DEPOSITOS EN GARANTIA (2)"/>
      <sheetName val="PROVEEDORES"/>
      <sheetName val="PROVEEDORES (2)"/>
      <sheetName val="PROVEEDORES (3)"/>
      <sheetName val="CANJES"/>
      <sheetName val="CANJES (2)"/>
      <sheetName val="JOSE FERNANDEZ"/>
      <sheetName val="JOSE FERNANDEZ (2)"/>
      <sheetName val="PAOLA ECHEVERRIA"/>
      <sheetName val="PAOLA ECHEVERRIA (2)"/>
      <sheetName val="TARJETA DE CREDITO"/>
      <sheetName val="TARJETA DE CREDITO (2)"/>
      <sheetName val="SUELDOS x PAGAR"/>
      <sheetName val="SUELDOS x PAGAR (2)"/>
      <sheetName val="PROPINAS x PAGAR"/>
      <sheetName val="PROPINAS x PAGAR (2)"/>
      <sheetName val="PRESTACIONES LABORALES"/>
      <sheetName val="PRESTACIONES LABORALES (2)"/>
      <sheetName val="RETENCIONES ISR x PAGAR"/>
      <sheetName val="RETENCIONES ISR x PAGAR (2)"/>
      <sheetName val="INGRESOS x APLICAR"/>
      <sheetName val="INGRESOS x APLICAR (2)"/>
      <sheetName val="PRESTAMO JOSE FERNANDEZ"/>
      <sheetName val="PRESTAMO JOSE FERNANDEZ (2)"/>
      <sheetName val="PRESTAMO INVOGA"/>
      <sheetName val="PRESTAMO INVOGA (2)"/>
      <sheetName val="EXTRAFINANCIAMIENTO BAM"/>
      <sheetName val="EXTRAFINANCIAMIENTO BAM (2)"/>
      <sheetName val="FUTURAS CAPITALIZACIONES"/>
      <sheetName val="FUTURAS CAPITALIZACIONE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1 (2)"/>
      <sheetName val="Ingresos"/>
      <sheetName val="Ingresos (2)"/>
      <sheetName val="Ingresos (3)"/>
      <sheetName val="Hoja2"/>
      <sheetName val="Hoja3"/>
      <sheetName val="ERA H5"/>
    </sheetNames>
    <sheetDataSet>
      <sheetData sheetId="0" refreshError="1"/>
      <sheetData sheetId="1" refreshError="1"/>
      <sheetData sheetId="2" refreshError="1">
        <row r="1">
          <cell r="A1" t="str">
            <v>DROGUERIA DISTRIBUIDORA INTERNACIONAL, S.A.</v>
          </cell>
        </row>
        <row r="2">
          <cell r="A2" t="str">
            <v>REVISIÓN DE INGRESOS</v>
          </cell>
        </row>
        <row r="3">
          <cell r="A3" t="str">
            <v>CORTE DE INGRESOS DEL DIA 05 DE MARZO 2,004</v>
          </cell>
        </row>
        <row r="5">
          <cell r="G5" t="str">
            <v>Días transcurridos</v>
          </cell>
        </row>
        <row r="6">
          <cell r="A6" t="str">
            <v xml:space="preserve">Recibo </v>
          </cell>
          <cell r="B6" t="str">
            <v>Fecha</v>
          </cell>
          <cell r="C6" t="str">
            <v>Fecha</v>
          </cell>
          <cell r="D6" t="str">
            <v>Fecha</v>
          </cell>
          <cell r="F6" t="str">
            <v>Valor</v>
          </cell>
          <cell r="G6" t="str">
            <v>Fecha</v>
          </cell>
          <cell r="H6" t="str">
            <v>Fecha</v>
          </cell>
          <cell r="I6" t="str">
            <v>Fecha</v>
          </cell>
          <cell r="J6" t="str">
            <v>Deficiencia</v>
          </cell>
        </row>
        <row r="7">
          <cell r="A7" t="str">
            <v>No.</v>
          </cell>
          <cell r="B7" t="str">
            <v>Recibo</v>
          </cell>
          <cell r="C7" t="str">
            <v>Corte de Caja</v>
          </cell>
          <cell r="D7" t="str">
            <v>Deposito</v>
          </cell>
          <cell r="E7" t="str">
            <v>Forma de Pago</v>
          </cell>
          <cell r="F7" t="str">
            <v>Recibo</v>
          </cell>
          <cell r="G7" t="str">
            <v>Recibo/Corte de C</v>
          </cell>
          <cell r="H7" t="str">
            <v>Recibo/Deposito</v>
          </cell>
          <cell r="I7" t="str">
            <v>Corte/Deposito</v>
          </cell>
        </row>
        <row r="8">
          <cell r="A8">
            <v>11805</v>
          </cell>
          <cell r="B8">
            <v>38042</v>
          </cell>
          <cell r="C8">
            <v>38051</v>
          </cell>
          <cell r="D8">
            <v>38052</v>
          </cell>
          <cell r="E8" t="str">
            <v>Efectivo</v>
          </cell>
          <cell r="F8">
            <v>450.06</v>
          </cell>
          <cell r="G8">
            <v>9</v>
          </cell>
          <cell r="H8">
            <v>10</v>
          </cell>
          <cell r="I8">
            <v>1</v>
          </cell>
        </row>
        <row r="9">
          <cell r="A9">
            <v>11865</v>
          </cell>
          <cell r="B9">
            <v>38048</v>
          </cell>
          <cell r="C9">
            <v>38051</v>
          </cell>
          <cell r="D9">
            <v>38052</v>
          </cell>
          <cell r="E9" t="str">
            <v>Efectivo</v>
          </cell>
          <cell r="F9">
            <v>354.54</v>
          </cell>
          <cell r="G9">
            <v>3</v>
          </cell>
          <cell r="H9">
            <v>4</v>
          </cell>
          <cell r="I9">
            <v>1</v>
          </cell>
        </row>
        <row r="10">
          <cell r="A10">
            <v>11866</v>
          </cell>
          <cell r="B10">
            <v>38048</v>
          </cell>
          <cell r="C10">
            <v>38051</v>
          </cell>
          <cell r="D10">
            <v>38052</v>
          </cell>
          <cell r="E10" t="str">
            <v>Cheque</v>
          </cell>
          <cell r="F10">
            <v>887.59</v>
          </cell>
          <cell r="G10">
            <v>3</v>
          </cell>
          <cell r="H10">
            <v>4</v>
          </cell>
          <cell r="I10">
            <v>1</v>
          </cell>
        </row>
        <row r="11">
          <cell r="A11">
            <v>11867</v>
          </cell>
          <cell r="B11">
            <v>38049</v>
          </cell>
          <cell r="C11">
            <v>38051</v>
          </cell>
          <cell r="D11">
            <v>38052</v>
          </cell>
          <cell r="E11" t="str">
            <v>Prefechado</v>
          </cell>
          <cell r="F11">
            <v>984.65</v>
          </cell>
          <cell r="G11">
            <v>2</v>
          </cell>
          <cell r="H11">
            <v>3</v>
          </cell>
          <cell r="I11">
            <v>1</v>
          </cell>
        </row>
        <row r="12">
          <cell r="A12">
            <v>11868</v>
          </cell>
          <cell r="B12">
            <v>38049</v>
          </cell>
          <cell r="C12">
            <v>38051</v>
          </cell>
          <cell r="D12">
            <v>38052</v>
          </cell>
          <cell r="E12" t="str">
            <v>Cheque</v>
          </cell>
          <cell r="F12">
            <v>418.6</v>
          </cell>
          <cell r="G12">
            <v>2</v>
          </cell>
          <cell r="H12">
            <v>3</v>
          </cell>
          <cell r="I12">
            <v>1</v>
          </cell>
        </row>
        <row r="13">
          <cell r="A13">
            <v>11869</v>
          </cell>
          <cell r="B13">
            <v>38050</v>
          </cell>
          <cell r="C13">
            <v>38051</v>
          </cell>
          <cell r="D13">
            <v>38052</v>
          </cell>
          <cell r="E13" t="str">
            <v>Efectivo</v>
          </cell>
          <cell r="F13">
            <v>276.87</v>
          </cell>
          <cell r="G13">
            <v>1</v>
          </cell>
          <cell r="H13">
            <v>2</v>
          </cell>
          <cell r="I13">
            <v>1</v>
          </cell>
        </row>
        <row r="14">
          <cell r="A14">
            <v>11870</v>
          </cell>
          <cell r="B14">
            <v>38050</v>
          </cell>
          <cell r="C14">
            <v>38051</v>
          </cell>
          <cell r="D14">
            <v>38052</v>
          </cell>
          <cell r="E14" t="str">
            <v>Cheque</v>
          </cell>
          <cell r="F14">
            <v>5784.68</v>
          </cell>
          <cell r="G14">
            <v>1</v>
          </cell>
          <cell r="H14">
            <v>2</v>
          </cell>
          <cell r="I14">
            <v>1</v>
          </cell>
        </row>
        <row r="15">
          <cell r="A15">
            <v>11871</v>
          </cell>
          <cell r="B15">
            <v>38050</v>
          </cell>
          <cell r="C15">
            <v>38051</v>
          </cell>
          <cell r="D15">
            <v>38052</v>
          </cell>
          <cell r="E15" t="str">
            <v>Prefechado</v>
          </cell>
          <cell r="F15">
            <v>1000</v>
          </cell>
          <cell r="G15">
            <v>1</v>
          </cell>
          <cell r="H15">
            <v>2</v>
          </cell>
          <cell r="I15">
            <v>1</v>
          </cell>
        </row>
        <row r="16">
          <cell r="A16">
            <v>11873</v>
          </cell>
          <cell r="B16">
            <v>38050</v>
          </cell>
          <cell r="C16">
            <v>38051</v>
          </cell>
          <cell r="D16">
            <v>38052</v>
          </cell>
          <cell r="E16" t="str">
            <v>Prefechado</v>
          </cell>
          <cell r="F16">
            <v>807.99</v>
          </cell>
          <cell r="G16">
            <v>1</v>
          </cell>
          <cell r="H16">
            <v>2</v>
          </cell>
          <cell r="I16">
            <v>1</v>
          </cell>
        </row>
        <row r="17">
          <cell r="A17">
            <v>11897</v>
          </cell>
          <cell r="B17">
            <v>38050</v>
          </cell>
          <cell r="C17">
            <v>38051</v>
          </cell>
          <cell r="D17">
            <v>38052</v>
          </cell>
          <cell r="E17" t="str">
            <v>Cheque</v>
          </cell>
          <cell r="F17">
            <v>175.61</v>
          </cell>
          <cell r="G17">
            <v>1</v>
          </cell>
          <cell r="H17">
            <v>2</v>
          </cell>
          <cell r="I17">
            <v>1</v>
          </cell>
        </row>
        <row r="18">
          <cell r="A18">
            <v>11898</v>
          </cell>
          <cell r="B18">
            <v>38050</v>
          </cell>
          <cell r="C18">
            <v>38051</v>
          </cell>
          <cell r="D18">
            <v>38052</v>
          </cell>
          <cell r="E18" t="str">
            <v>Cheque</v>
          </cell>
          <cell r="F18">
            <v>250</v>
          </cell>
          <cell r="G18">
            <v>1</v>
          </cell>
          <cell r="H18">
            <v>2</v>
          </cell>
          <cell r="I18">
            <v>1</v>
          </cell>
        </row>
        <row r="19">
          <cell r="A19">
            <v>11899</v>
          </cell>
          <cell r="B19">
            <v>38050</v>
          </cell>
          <cell r="C19">
            <v>38051</v>
          </cell>
          <cell r="D19">
            <v>38052</v>
          </cell>
          <cell r="E19" t="str">
            <v>Cheque</v>
          </cell>
          <cell r="F19">
            <v>417.97</v>
          </cell>
          <cell r="G19">
            <v>1</v>
          </cell>
          <cell r="H19">
            <v>2</v>
          </cell>
          <cell r="I19">
            <v>1</v>
          </cell>
        </row>
        <row r="20">
          <cell r="A20">
            <v>11900</v>
          </cell>
          <cell r="B20">
            <v>38050</v>
          </cell>
          <cell r="C20">
            <v>38051</v>
          </cell>
          <cell r="D20">
            <v>38052</v>
          </cell>
          <cell r="E20" t="str">
            <v>Efectivo</v>
          </cell>
          <cell r="F20">
            <v>961.68</v>
          </cell>
          <cell r="G20">
            <v>1</v>
          </cell>
          <cell r="H20">
            <v>2</v>
          </cell>
          <cell r="I20">
            <v>1</v>
          </cell>
        </row>
        <row r="21">
          <cell r="A21">
            <v>11925</v>
          </cell>
          <cell r="B21">
            <v>38049</v>
          </cell>
          <cell r="C21">
            <v>38051</v>
          </cell>
          <cell r="D21">
            <v>38052</v>
          </cell>
          <cell r="E21" t="str">
            <v>Prefechado</v>
          </cell>
          <cell r="F21">
            <v>1390.17</v>
          </cell>
          <cell r="G21">
            <v>2</v>
          </cell>
          <cell r="H21">
            <v>3</v>
          </cell>
          <cell r="I21">
            <v>1</v>
          </cell>
        </row>
        <row r="22">
          <cell r="A22">
            <v>11948</v>
          </cell>
          <cell r="B22">
            <v>38051</v>
          </cell>
          <cell r="C22">
            <v>38051</v>
          </cell>
          <cell r="D22">
            <v>38052</v>
          </cell>
          <cell r="E22" t="str">
            <v>Efectivo</v>
          </cell>
          <cell r="F22">
            <v>500</v>
          </cell>
          <cell r="G22">
            <v>0</v>
          </cell>
          <cell r="H22">
            <v>1</v>
          </cell>
          <cell r="I22">
            <v>1</v>
          </cell>
        </row>
        <row r="23">
          <cell r="A23">
            <v>11949</v>
          </cell>
          <cell r="B23">
            <v>38051</v>
          </cell>
          <cell r="C23">
            <v>38051</v>
          </cell>
          <cell r="D23">
            <v>38052</v>
          </cell>
          <cell r="E23" t="str">
            <v>Prefechado</v>
          </cell>
          <cell r="F23">
            <v>1491.78</v>
          </cell>
          <cell r="G23">
            <v>0</v>
          </cell>
          <cell r="H23">
            <v>1</v>
          </cell>
          <cell r="I23">
            <v>1</v>
          </cell>
        </row>
        <row r="24">
          <cell r="A24">
            <v>11950</v>
          </cell>
          <cell r="B24">
            <v>38051</v>
          </cell>
          <cell r="C24">
            <v>38051</v>
          </cell>
          <cell r="D24">
            <v>38052</v>
          </cell>
          <cell r="E24" t="str">
            <v>Cheque</v>
          </cell>
          <cell r="F24">
            <v>563.36</v>
          </cell>
          <cell r="G24">
            <v>0</v>
          </cell>
          <cell r="H24">
            <v>1</v>
          </cell>
          <cell r="I24">
            <v>1</v>
          </cell>
        </row>
        <row r="25">
          <cell r="A25">
            <v>11959</v>
          </cell>
          <cell r="B25">
            <v>38051</v>
          </cell>
          <cell r="C25">
            <v>38051</v>
          </cell>
          <cell r="D25">
            <v>38052</v>
          </cell>
          <cell r="E25" t="str">
            <v>Cheque</v>
          </cell>
          <cell r="F25">
            <v>5276.58</v>
          </cell>
          <cell r="G25">
            <v>0</v>
          </cell>
          <cell r="H25">
            <v>1</v>
          </cell>
          <cell r="I25">
            <v>1</v>
          </cell>
        </row>
        <row r="26">
          <cell r="A26">
            <v>11960</v>
          </cell>
          <cell r="B26">
            <v>38051</v>
          </cell>
          <cell r="C26">
            <v>38051</v>
          </cell>
          <cell r="D26">
            <v>38052</v>
          </cell>
          <cell r="E26" t="str">
            <v>Efectivo</v>
          </cell>
          <cell r="F26">
            <v>203.86</v>
          </cell>
          <cell r="G26">
            <v>0</v>
          </cell>
          <cell r="H26">
            <v>1</v>
          </cell>
          <cell r="I26">
            <v>1</v>
          </cell>
        </row>
        <row r="27">
          <cell r="A27">
            <v>11961</v>
          </cell>
          <cell r="B27">
            <v>38051</v>
          </cell>
          <cell r="C27">
            <v>38051</v>
          </cell>
          <cell r="D27">
            <v>38052</v>
          </cell>
          <cell r="E27" t="str">
            <v>Efectivo</v>
          </cell>
          <cell r="F27">
            <v>320.95999999999998</v>
          </cell>
          <cell r="G27">
            <v>0</v>
          </cell>
          <cell r="H27">
            <v>1</v>
          </cell>
          <cell r="I27">
            <v>1</v>
          </cell>
        </row>
        <row r="28">
          <cell r="A28">
            <v>11962</v>
          </cell>
          <cell r="B28">
            <v>38051</v>
          </cell>
          <cell r="C28">
            <v>38051</v>
          </cell>
          <cell r="D28">
            <v>38052</v>
          </cell>
          <cell r="E28" t="str">
            <v>Efectivo</v>
          </cell>
          <cell r="F28">
            <v>311.27999999999997</v>
          </cell>
          <cell r="G28">
            <v>0</v>
          </cell>
          <cell r="H28">
            <v>1</v>
          </cell>
          <cell r="I28">
            <v>1</v>
          </cell>
        </row>
        <row r="29">
          <cell r="A29">
            <v>11993</v>
          </cell>
          <cell r="B29">
            <v>38047</v>
          </cell>
          <cell r="C29">
            <v>38051</v>
          </cell>
          <cell r="D29">
            <v>38052</v>
          </cell>
          <cell r="E29" t="str">
            <v>Cheque</v>
          </cell>
          <cell r="F29">
            <v>450.25</v>
          </cell>
          <cell r="G29">
            <v>4</v>
          </cell>
          <cell r="H29">
            <v>5</v>
          </cell>
          <cell r="I29">
            <v>1</v>
          </cell>
        </row>
        <row r="30">
          <cell r="A30">
            <v>11994</v>
          </cell>
          <cell r="B30">
            <v>38047</v>
          </cell>
          <cell r="C30">
            <v>38051</v>
          </cell>
          <cell r="D30">
            <v>38052</v>
          </cell>
          <cell r="E30" t="str">
            <v>Prefechado</v>
          </cell>
          <cell r="F30">
            <v>4109.8100000000004</v>
          </cell>
          <cell r="G30">
            <v>4</v>
          </cell>
          <cell r="H30">
            <v>5</v>
          </cell>
          <cell r="I30">
            <v>1</v>
          </cell>
        </row>
        <row r="31">
          <cell r="A31">
            <v>11995</v>
          </cell>
          <cell r="B31">
            <v>38048</v>
          </cell>
          <cell r="C31">
            <v>38051</v>
          </cell>
          <cell r="D31">
            <v>38052</v>
          </cell>
          <cell r="E31" t="str">
            <v>Efectivo</v>
          </cell>
          <cell r="F31">
            <v>200</v>
          </cell>
          <cell r="G31">
            <v>3</v>
          </cell>
          <cell r="H31">
            <v>4</v>
          </cell>
          <cell r="I31">
            <v>1</v>
          </cell>
        </row>
        <row r="32">
          <cell r="A32">
            <v>11996</v>
          </cell>
          <cell r="B32">
            <v>38050</v>
          </cell>
          <cell r="C32">
            <v>38051</v>
          </cell>
          <cell r="D32">
            <v>38052</v>
          </cell>
          <cell r="E32" t="str">
            <v>Cheque</v>
          </cell>
          <cell r="F32">
            <v>1050.3699999999999</v>
          </cell>
          <cell r="G32">
            <v>1</v>
          </cell>
          <cell r="H32">
            <v>2</v>
          </cell>
          <cell r="I32">
            <v>1</v>
          </cell>
        </row>
        <row r="33">
          <cell r="A33">
            <v>11997</v>
          </cell>
          <cell r="B33">
            <v>38050</v>
          </cell>
          <cell r="C33">
            <v>38051</v>
          </cell>
          <cell r="D33">
            <v>38052</v>
          </cell>
          <cell r="E33" t="str">
            <v>Cheque</v>
          </cell>
          <cell r="F33">
            <v>334.26</v>
          </cell>
          <cell r="G33">
            <v>1</v>
          </cell>
          <cell r="H33">
            <v>2</v>
          </cell>
          <cell r="I33">
            <v>1</v>
          </cell>
        </row>
        <row r="34">
          <cell r="A34">
            <v>12126</v>
          </cell>
          <cell r="B34">
            <v>38048</v>
          </cell>
          <cell r="C34">
            <v>38051</v>
          </cell>
          <cell r="D34">
            <v>38052</v>
          </cell>
          <cell r="E34" t="str">
            <v>Prefechado</v>
          </cell>
          <cell r="F34">
            <v>1099.68</v>
          </cell>
          <cell r="G34">
            <v>3</v>
          </cell>
          <cell r="H34">
            <v>4</v>
          </cell>
          <cell r="I34">
            <v>1</v>
          </cell>
        </row>
        <row r="35">
          <cell r="A35">
            <v>12127</v>
          </cell>
          <cell r="B35">
            <v>38048</v>
          </cell>
          <cell r="C35">
            <v>38051</v>
          </cell>
          <cell r="D35">
            <v>38052</v>
          </cell>
          <cell r="E35" t="str">
            <v>Prefechado</v>
          </cell>
          <cell r="F35">
            <v>921.67</v>
          </cell>
          <cell r="G35">
            <v>3</v>
          </cell>
          <cell r="H35">
            <v>4</v>
          </cell>
          <cell r="I35">
            <v>1</v>
          </cell>
        </row>
        <row r="36">
          <cell r="A36">
            <v>12128</v>
          </cell>
          <cell r="B36">
            <v>38048</v>
          </cell>
          <cell r="C36">
            <v>38051</v>
          </cell>
          <cell r="D36">
            <v>38052</v>
          </cell>
          <cell r="E36" t="str">
            <v>Prefechado</v>
          </cell>
          <cell r="F36">
            <v>931.33</v>
          </cell>
          <cell r="G36">
            <v>3</v>
          </cell>
          <cell r="H36">
            <v>4</v>
          </cell>
          <cell r="I36">
            <v>1</v>
          </cell>
        </row>
        <row r="37">
          <cell r="A37">
            <v>12129</v>
          </cell>
          <cell r="B37">
            <v>38048</v>
          </cell>
          <cell r="C37">
            <v>38051</v>
          </cell>
          <cell r="D37">
            <v>38052</v>
          </cell>
          <cell r="E37" t="str">
            <v>Prefechado</v>
          </cell>
          <cell r="F37">
            <v>821.02</v>
          </cell>
          <cell r="G37">
            <v>3</v>
          </cell>
          <cell r="H37">
            <v>4</v>
          </cell>
          <cell r="I37">
            <v>1</v>
          </cell>
        </row>
        <row r="38">
          <cell r="A38">
            <v>12130</v>
          </cell>
          <cell r="B38">
            <v>38048</v>
          </cell>
          <cell r="C38">
            <v>38051</v>
          </cell>
          <cell r="D38">
            <v>38052</v>
          </cell>
          <cell r="E38" t="str">
            <v>Prefechado</v>
          </cell>
          <cell r="F38">
            <v>686.05</v>
          </cell>
          <cell r="G38">
            <v>3</v>
          </cell>
          <cell r="H38">
            <v>4</v>
          </cell>
          <cell r="I38">
            <v>1</v>
          </cell>
        </row>
        <row r="39">
          <cell r="A39">
            <v>12131</v>
          </cell>
          <cell r="B39">
            <v>38049</v>
          </cell>
          <cell r="C39">
            <v>38051</v>
          </cell>
          <cell r="D39">
            <v>38052</v>
          </cell>
          <cell r="E39" t="str">
            <v>Efectivo</v>
          </cell>
          <cell r="F39">
            <v>735.4</v>
          </cell>
          <cell r="G39">
            <v>2</v>
          </cell>
          <cell r="H39">
            <v>3</v>
          </cell>
          <cell r="I39">
            <v>1</v>
          </cell>
        </row>
        <row r="40">
          <cell r="A40">
            <v>12132</v>
          </cell>
          <cell r="B40">
            <v>38049</v>
          </cell>
          <cell r="C40">
            <v>38051</v>
          </cell>
          <cell r="D40">
            <v>38052</v>
          </cell>
          <cell r="E40" t="str">
            <v>Prefechado</v>
          </cell>
          <cell r="F40">
            <v>467.36</v>
          </cell>
          <cell r="G40">
            <v>2</v>
          </cell>
          <cell r="H40">
            <v>3</v>
          </cell>
          <cell r="I40">
            <v>1</v>
          </cell>
        </row>
        <row r="41">
          <cell r="A41">
            <v>12133</v>
          </cell>
          <cell r="B41">
            <v>38050</v>
          </cell>
          <cell r="C41">
            <v>38051</v>
          </cell>
          <cell r="D41">
            <v>38052</v>
          </cell>
          <cell r="E41" t="str">
            <v>Prefechado</v>
          </cell>
          <cell r="F41">
            <v>11360.37</v>
          </cell>
          <cell r="G41">
            <v>1</v>
          </cell>
          <cell r="H41">
            <v>2</v>
          </cell>
          <cell r="I41">
            <v>1</v>
          </cell>
        </row>
        <row r="42">
          <cell r="A42">
            <v>12134</v>
          </cell>
          <cell r="B42">
            <v>38049</v>
          </cell>
          <cell r="C42">
            <v>38051</v>
          </cell>
          <cell r="D42">
            <v>38052</v>
          </cell>
          <cell r="E42" t="str">
            <v>Efectivo</v>
          </cell>
          <cell r="F42">
            <v>450</v>
          </cell>
          <cell r="G42">
            <v>2</v>
          </cell>
          <cell r="H42">
            <v>3</v>
          </cell>
          <cell r="I42">
            <v>1</v>
          </cell>
        </row>
        <row r="43">
          <cell r="A43">
            <v>12136</v>
          </cell>
          <cell r="B43">
            <v>38050</v>
          </cell>
          <cell r="C43">
            <v>38051</v>
          </cell>
          <cell r="D43">
            <v>38052</v>
          </cell>
          <cell r="E43" t="str">
            <v>Efectivo</v>
          </cell>
          <cell r="F43">
            <v>600</v>
          </cell>
          <cell r="G43">
            <v>1</v>
          </cell>
          <cell r="H43">
            <v>2</v>
          </cell>
          <cell r="I43">
            <v>1</v>
          </cell>
        </row>
        <row r="44">
          <cell r="A44">
            <v>12137</v>
          </cell>
          <cell r="B44">
            <v>38050</v>
          </cell>
          <cell r="C44">
            <v>38051</v>
          </cell>
          <cell r="D44">
            <v>38052</v>
          </cell>
          <cell r="E44" t="str">
            <v>Prefechado</v>
          </cell>
          <cell r="F44">
            <v>304.99</v>
          </cell>
          <cell r="G44">
            <v>1</v>
          </cell>
          <cell r="H44">
            <v>2</v>
          </cell>
          <cell r="I44">
            <v>1</v>
          </cell>
        </row>
        <row r="45">
          <cell r="A45">
            <v>12138</v>
          </cell>
          <cell r="B45">
            <v>38050</v>
          </cell>
          <cell r="C45">
            <v>38051</v>
          </cell>
          <cell r="D45">
            <v>38052</v>
          </cell>
          <cell r="E45" t="str">
            <v>Prefechado</v>
          </cell>
          <cell r="F45">
            <v>907.93</v>
          </cell>
          <cell r="G45">
            <v>1</v>
          </cell>
          <cell r="H45">
            <v>2</v>
          </cell>
          <cell r="I45">
            <v>1</v>
          </cell>
        </row>
        <row r="46">
          <cell r="A46">
            <v>12139</v>
          </cell>
          <cell r="B46">
            <v>38051</v>
          </cell>
          <cell r="C46">
            <v>38051</v>
          </cell>
          <cell r="D46">
            <v>38052</v>
          </cell>
          <cell r="E46" t="str">
            <v>Prefechado</v>
          </cell>
          <cell r="F46">
            <v>1112.42</v>
          </cell>
          <cell r="G46">
            <v>0</v>
          </cell>
          <cell r="H46">
            <v>1</v>
          </cell>
          <cell r="I46">
            <v>1</v>
          </cell>
        </row>
        <row r="47">
          <cell r="A47">
            <v>12140</v>
          </cell>
          <cell r="B47">
            <v>38051</v>
          </cell>
          <cell r="C47">
            <v>38051</v>
          </cell>
          <cell r="D47">
            <v>38052</v>
          </cell>
          <cell r="E47" t="str">
            <v>Prefechado</v>
          </cell>
          <cell r="F47">
            <v>500</v>
          </cell>
          <cell r="G47">
            <v>0</v>
          </cell>
          <cell r="H47">
            <v>1</v>
          </cell>
          <cell r="I47">
            <v>1</v>
          </cell>
        </row>
        <row r="48">
          <cell r="A48">
            <v>12176</v>
          </cell>
          <cell r="B48">
            <v>38051</v>
          </cell>
          <cell r="C48">
            <v>38051</v>
          </cell>
          <cell r="D48">
            <v>38052</v>
          </cell>
          <cell r="E48" t="str">
            <v>Cheque</v>
          </cell>
          <cell r="F48">
            <v>201.63</v>
          </cell>
          <cell r="G48">
            <v>0</v>
          </cell>
          <cell r="H48">
            <v>1</v>
          </cell>
          <cell r="I48">
            <v>1</v>
          </cell>
        </row>
        <row r="49">
          <cell r="A49">
            <v>12203</v>
          </cell>
          <cell r="B49">
            <v>38051</v>
          </cell>
          <cell r="C49">
            <v>38051</v>
          </cell>
          <cell r="D49">
            <v>38052</v>
          </cell>
          <cell r="E49" t="str">
            <v>Efectivo</v>
          </cell>
          <cell r="F49">
            <v>201.6</v>
          </cell>
          <cell r="G49">
            <v>0</v>
          </cell>
          <cell r="H49">
            <v>1</v>
          </cell>
          <cell r="I49">
            <v>1</v>
          </cell>
        </row>
        <row r="50">
          <cell r="E50" t="str">
            <v>TOTAL</v>
          </cell>
          <cell r="F50">
            <v>50274.369999999995</v>
          </cell>
        </row>
        <row r="55">
          <cell r="A55" t="str">
            <v>CORTE DE INGRESOS DEL DIA 23 DE ABRIL 2004</v>
          </cell>
        </row>
        <row r="57">
          <cell r="G57" t="str">
            <v>Días transcurridos</v>
          </cell>
        </row>
        <row r="58">
          <cell r="A58" t="str">
            <v xml:space="preserve">Recibo </v>
          </cell>
          <cell r="B58" t="str">
            <v>Fecha</v>
          </cell>
          <cell r="C58" t="str">
            <v>Fecha</v>
          </cell>
          <cell r="D58" t="str">
            <v>Fecha</v>
          </cell>
          <cell r="F58" t="str">
            <v>Valor</v>
          </cell>
          <cell r="G58" t="str">
            <v>Fecha</v>
          </cell>
          <cell r="H58" t="str">
            <v>Fecha</v>
          </cell>
          <cell r="I58" t="str">
            <v>Fecha</v>
          </cell>
          <cell r="J58" t="str">
            <v>Deficiencia</v>
          </cell>
        </row>
        <row r="59">
          <cell r="A59" t="str">
            <v>No.</v>
          </cell>
          <cell r="B59" t="str">
            <v>Recibo</v>
          </cell>
          <cell r="C59" t="str">
            <v>Corte de Caja</v>
          </cell>
          <cell r="D59" t="str">
            <v>Deposito</v>
          </cell>
          <cell r="E59" t="str">
            <v>Forma de Pago</v>
          </cell>
          <cell r="F59" t="str">
            <v>Recibo</v>
          </cell>
          <cell r="G59" t="str">
            <v>Recibo/Corte de C</v>
          </cell>
          <cell r="H59" t="str">
            <v>Recibo/Deposito</v>
          </cell>
          <cell r="I59" t="str">
            <v>Corte/Deposito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RECIBOS"/>
      <sheetName val="Cheques"/>
      <sheetName val="deposit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as"/>
      <sheetName val="Materialidad"/>
      <sheetName val="Enero11"/>
      <sheetName val="Febrero11"/>
      <sheetName val="Marzo11"/>
      <sheetName val="Abril 11"/>
      <sheetName val="Mayo 11"/>
      <sheetName val="Junio11"/>
      <sheetName val="Julio 2011"/>
      <sheetName val="Agosto 2011"/>
      <sheetName val=" Septiembre 2011"/>
      <sheetName val="Octubre 2011"/>
      <sheetName val="Noviembre 2011"/>
      <sheetName val="Diciembre 2011 "/>
      <sheetName val="Variaciones anterior-2010 (2)"/>
      <sheetName val="Variaciones 2011-2010"/>
      <sheetName val="ER30062012"/>
      <sheetName val="DICIEMBRE 2011"/>
      <sheetName val="ER 31122012"/>
      <sheetName val="ER"/>
      <sheetName val="XI1"/>
      <sheetName val="XI"/>
      <sheetName val="  XI1"/>
      <sheetName val="X-2"/>
      <sheetName val="XI-3"/>
      <sheetName val="X-4"/>
      <sheetName val="XI-4-1"/>
      <sheetName val=" XI-2"/>
      <sheetName val="XC1.1 (2)"/>
      <sheetName val="XC"/>
      <sheetName val="XC1-2 "/>
      <sheetName val="XC  -1"/>
      <sheetName val="  XI1 "/>
      <sheetName val="XC-2"/>
      <sheetName val="CV"/>
      <sheetName val="CV-1"/>
      <sheetName val="CV -1-1"/>
      <sheetName val="CV-2"/>
      <sheetName val="CV-3"/>
      <sheetName val="CV-4"/>
      <sheetName val="CV-5"/>
      <sheetName val="CV-6"/>
      <sheetName val="CV-7"/>
      <sheetName val="XGM"/>
      <sheetName val="XGM1"/>
      <sheetName val="EXPEDIENTES "/>
      <sheetName val="XGM2"/>
      <sheetName val="XGM3"/>
      <sheetName val="XGDV"/>
      <sheetName val="XGDIStri"/>
      <sheetName val="XGDIStr-1"/>
      <sheetName val="XGDIStr-1-1"/>
      <sheetName val="XGRH"/>
      <sheetName val="XGRH-1"/>
      <sheetName val="XG06"/>
      <sheetName val="XGCOM"/>
      <sheetName val="XGC-1"/>
      <sheetName val="XGES"/>
      <sheetName val="XGES-1"/>
      <sheetName val="XGSEG"/>
      <sheetName val="XGSEG-1."/>
      <sheetName val="XGSEG-1"/>
      <sheetName val="XGCOMP"/>
      <sheetName val="XGCOMP-1"/>
      <sheetName val="XGFINAL"/>
      <sheetName val="XGGEREN"/>
      <sheetName val="XGGEREN-1"/>
      <sheetName val="GMGER-2"/>
      <sheetName val="SCGER-3"/>
      <sheetName val="XGER"/>
      <sheetName val="XGER-1"/>
      <sheetName val="XGER-2"/>
      <sheetName val="XGER-3"/>
      <sheetName val="XGER-4"/>
      <sheetName val="XGER-5"/>
      <sheetName val="XGER-6"/>
      <sheetName val="XGER-7"/>
      <sheetName val="XGO"/>
      <sheetName val="XGO-1"/>
      <sheetName val="XG0-2"/>
      <sheetName val="XGO-3-1"/>
      <sheetName val="XG03"/>
      <sheetName val="XG0-3-1"/>
      <sheetName val="XG0-3-2"/>
      <sheetName val="XGO-3"/>
      <sheetName val="XG0-3-3"/>
      <sheetName val="XGO-3-4"/>
      <sheetName val="XGO-3-5"/>
      <sheetName val="XGO-3-6"/>
      <sheetName val="XGO-3-7.."/>
      <sheetName val="XGO-3-7"/>
      <sheetName val="XG0-4"/>
      <sheetName val="XGG2"/>
      <sheetName val="XGG3"/>
      <sheetName val="XDC1"/>
      <sheetName val="XIG1"/>
      <sheetName val="XIG2"/>
      <sheetName val="XIG5"/>
      <sheetName val="XGO-5.-"/>
      <sheetName val="XGO-6"/>
      <sheetName val="XGO-7"/>
      <sheetName val="XGO-8"/>
      <sheetName val="XGO-9"/>
      <sheetName val="XGO-10"/>
      <sheetName val="XSEG"/>
      <sheetName val="XSEG-2"/>
      <sheetName val="XIG"/>
      <sheetName val="XIG-2"/>
      <sheetName val="XIG-3"/>
      <sheetName val="XIG-1"/>
      <sheetName val="XIG-2."/>
      <sheetName val="XIG-3."/>
      <sheetName val="XIG.4."/>
      <sheetName val="XGO-5"/>
      <sheetName val="XIG-4"/>
      <sheetName val="XIG-5"/>
      <sheetName val="XIG-6"/>
      <sheetName val="XIG-7"/>
      <sheetName val="XIG-8"/>
      <sheetName val="  XIG-9"/>
      <sheetName val="VEHICULOS"/>
      <sheetName val="EDIFICIOS OFIBOD"/>
      <sheetName val="IF"/>
      <sheetName val="IF1"/>
      <sheetName val="IF-1"/>
      <sheetName val="IF-2"/>
      <sheetName val="GF"/>
      <sheetName val="Hoja4"/>
      <sheetName val="XO61"/>
      <sheetName val="GF1"/>
      <sheetName val="Rev. Libros Leg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75">
          <cell r="F275">
            <v>-6493.56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0">
          <cell r="AG20">
            <v>1458828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9">
          <cell r="J19">
            <v>12440.35</v>
          </cell>
        </row>
      </sheetData>
      <sheetData sheetId="74" refreshError="1"/>
      <sheetData sheetId="75" refreshError="1"/>
      <sheetData sheetId="76" refreshError="1"/>
      <sheetData sheetId="77">
        <row r="4">
          <cell r="B4" t="str">
            <v>Empresa: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4">
          <cell r="B4" t="str">
            <v>INVERSIONES MASDEL, S.A.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Lunes"/>
      <sheetName val="Z5"/>
      <sheetName val="Brenda"/>
      <sheetName val="Hoja2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Factor"/>
      <sheetName val="RepGast03Ago05"/>
      <sheetName val="RepGast03Ago04"/>
      <sheetName val="RepGast03Ago03"/>
    </sheetNames>
    <sheetDataSet>
      <sheetData sheetId="0">
        <row r="1">
          <cell r="A1" t="str">
            <v>Codigo</v>
          </cell>
          <cell r="B1" t="str">
            <v>Descripcion</v>
          </cell>
          <cell r="C1" t="str">
            <v>Unidad Primaria</v>
          </cell>
          <cell r="D1" t="str">
            <v>Unidad  A</v>
          </cell>
          <cell r="E1" t="str">
            <v>Factor</v>
          </cell>
          <cell r="F1" t="str">
            <v>Unidad B</v>
          </cell>
        </row>
        <row r="2">
          <cell r="A2" t="str">
            <v>ARA2309</v>
          </cell>
          <cell r="B2" t="str">
            <v>AGUA INYECTABLE DE 2ml</v>
          </cell>
          <cell r="C2" t="str">
            <v>EA</v>
          </cell>
          <cell r="D2" t="str">
            <v>BX</v>
          </cell>
          <cell r="E2">
            <v>1200</v>
          </cell>
          <cell r="F2" t="str">
            <v>EA</v>
          </cell>
        </row>
        <row r="3">
          <cell r="A3" t="str">
            <v>ARA2311</v>
          </cell>
          <cell r="B3" t="str">
            <v>AGUA INYECTABLE DE 5ml</v>
          </cell>
          <cell r="C3" t="str">
            <v>EA</v>
          </cell>
          <cell r="D3" t="str">
            <v>BX</v>
          </cell>
          <cell r="E3">
            <v>1200</v>
          </cell>
          <cell r="F3" t="str">
            <v>EA</v>
          </cell>
        </row>
        <row r="4">
          <cell r="A4" t="str">
            <v>ARB0060</v>
          </cell>
          <cell r="B4" t="str">
            <v>DEXTROSA AL 5% EN AGUA X 100/5</v>
          </cell>
          <cell r="C4" t="str">
            <v>EA</v>
          </cell>
          <cell r="D4" t="str">
            <v>BX</v>
          </cell>
          <cell r="E4">
            <v>60</v>
          </cell>
          <cell r="F4" t="str">
            <v>EA</v>
          </cell>
        </row>
        <row r="5">
          <cell r="A5" t="str">
            <v>ARB0062</v>
          </cell>
          <cell r="B5" t="str">
            <v>DEXTROSA AL 5% EN AGUA X 250ML</v>
          </cell>
          <cell r="C5" t="str">
            <v>EA</v>
          </cell>
          <cell r="D5" t="str">
            <v>BX</v>
          </cell>
          <cell r="E5">
            <v>48</v>
          </cell>
          <cell r="F5" t="str">
            <v>EA</v>
          </cell>
        </row>
        <row r="6">
          <cell r="A6" t="str">
            <v>ARB0063</v>
          </cell>
          <cell r="B6" t="str">
            <v>DEXTROSA AL 5% EN AGUA X 500ML</v>
          </cell>
          <cell r="C6" t="str">
            <v>EA</v>
          </cell>
          <cell r="D6" t="str">
            <v>BX</v>
          </cell>
          <cell r="E6">
            <v>30</v>
          </cell>
          <cell r="F6" t="str">
            <v>EA</v>
          </cell>
        </row>
        <row r="7">
          <cell r="A7" t="str">
            <v>ARB0064</v>
          </cell>
          <cell r="B7" t="str">
            <v>DEXTROSA AL 5% EN AGUA X 1000M</v>
          </cell>
          <cell r="C7" t="str">
            <v>EA</v>
          </cell>
          <cell r="D7" t="str">
            <v>BX</v>
          </cell>
          <cell r="E7">
            <v>16</v>
          </cell>
          <cell r="F7" t="str">
            <v>EA</v>
          </cell>
        </row>
        <row r="8">
          <cell r="A8" t="str">
            <v>ARB0081</v>
          </cell>
          <cell r="B8" t="str">
            <v>DEXTROSA AL 5% X 50ML</v>
          </cell>
          <cell r="C8" t="str">
            <v>EA</v>
          </cell>
          <cell r="D8" t="str">
            <v>BX</v>
          </cell>
          <cell r="E8">
            <v>60</v>
          </cell>
          <cell r="F8" t="str">
            <v>EA</v>
          </cell>
        </row>
        <row r="9">
          <cell r="A9" t="str">
            <v>ARB0162</v>
          </cell>
          <cell r="B9" t="str">
            <v>DEXTROSA AL 10% EN AGUA X 250M</v>
          </cell>
          <cell r="C9" t="str">
            <v>EA</v>
          </cell>
          <cell r="D9" t="str">
            <v>BX</v>
          </cell>
          <cell r="E9">
            <v>48</v>
          </cell>
          <cell r="F9" t="str">
            <v>EA</v>
          </cell>
        </row>
        <row r="10">
          <cell r="A10" t="str">
            <v>ARB0163</v>
          </cell>
          <cell r="B10" t="str">
            <v>DEXTROSA AL 10% EN AGUA X 500M</v>
          </cell>
          <cell r="C10" t="str">
            <v>EA</v>
          </cell>
          <cell r="D10" t="str">
            <v>BX</v>
          </cell>
          <cell r="E10">
            <v>30</v>
          </cell>
          <cell r="F10" t="str">
            <v>EA</v>
          </cell>
        </row>
        <row r="11">
          <cell r="A11" t="str">
            <v>ARB0164</v>
          </cell>
          <cell r="B11" t="str">
            <v>DEXTROSA AL 10% EN AGUA X 1000</v>
          </cell>
          <cell r="C11" t="str">
            <v>EA</v>
          </cell>
          <cell r="D11" t="str">
            <v>BX</v>
          </cell>
          <cell r="E11">
            <v>16</v>
          </cell>
          <cell r="F11" t="str">
            <v>EA</v>
          </cell>
        </row>
        <row r="12">
          <cell r="A12" t="str">
            <v>ARB0253</v>
          </cell>
          <cell r="B12" t="str">
            <v>DEXTROSA AL 50% EN AGUA X 500M</v>
          </cell>
          <cell r="C12" t="str">
            <v>EA</v>
          </cell>
          <cell r="D12" t="str">
            <v>BX</v>
          </cell>
          <cell r="E12">
            <v>30</v>
          </cell>
          <cell r="F12" t="str">
            <v>EA</v>
          </cell>
        </row>
        <row r="13">
          <cell r="A13" t="str">
            <v>ARB0302</v>
          </cell>
          <cell r="B13" t="str">
            <v>AGUA ESTERIL PARA INYECCION X</v>
          </cell>
          <cell r="C13" t="str">
            <v>EA</v>
          </cell>
          <cell r="D13" t="str">
            <v>BX</v>
          </cell>
          <cell r="E13">
            <v>48</v>
          </cell>
          <cell r="F13" t="str">
            <v>EA</v>
          </cell>
        </row>
        <row r="14">
          <cell r="A14" t="str">
            <v>ARB0303</v>
          </cell>
          <cell r="B14" t="str">
            <v>AGUA ESTERIL P/INYECCION 500 M</v>
          </cell>
          <cell r="C14" t="str">
            <v>EA</v>
          </cell>
          <cell r="D14" t="str">
            <v>BX</v>
          </cell>
          <cell r="E14">
            <v>30</v>
          </cell>
          <cell r="F14" t="str">
            <v>EA</v>
          </cell>
        </row>
        <row r="15">
          <cell r="A15" t="str">
            <v>ARB0304</v>
          </cell>
          <cell r="B15" t="str">
            <v>AGUA DESTILADA 1000 ML</v>
          </cell>
          <cell r="C15" t="str">
            <v>EA</v>
          </cell>
          <cell r="D15" t="str">
            <v>BX</v>
          </cell>
          <cell r="E15">
            <v>16</v>
          </cell>
          <cell r="F15" t="str">
            <v>EA</v>
          </cell>
        </row>
        <row r="16">
          <cell r="A16" t="str">
            <v>ARB0791</v>
          </cell>
          <cell r="B16" t="str">
            <v>DOBUTAMINA X 250 MG</v>
          </cell>
          <cell r="C16" t="str">
            <v>EA</v>
          </cell>
          <cell r="D16" t="str">
            <v>BX</v>
          </cell>
          <cell r="E16">
            <v>20</v>
          </cell>
          <cell r="F16" t="str">
            <v>EA</v>
          </cell>
        </row>
        <row r="17">
          <cell r="A17" t="str">
            <v>ARB0807</v>
          </cell>
          <cell r="B17" t="str">
            <v>HEPARINA SODICA EN DEXTROSA 20</v>
          </cell>
          <cell r="C17" t="str">
            <v>EA</v>
          </cell>
          <cell r="D17" t="str">
            <v>BX</v>
          </cell>
          <cell r="E17">
            <v>18</v>
          </cell>
          <cell r="F17" t="str">
            <v>EA</v>
          </cell>
        </row>
        <row r="18">
          <cell r="A18" t="str">
            <v>ARB0808</v>
          </cell>
          <cell r="B18" t="str">
            <v>HEPARINA SODICA EN DEXTROSA 25</v>
          </cell>
          <cell r="C18" t="str">
            <v>EA</v>
          </cell>
          <cell r="D18" t="str">
            <v>BX</v>
          </cell>
          <cell r="E18">
            <v>18</v>
          </cell>
          <cell r="F18" t="str">
            <v>EA</v>
          </cell>
        </row>
        <row r="19">
          <cell r="A19" t="str">
            <v>ARB0832</v>
          </cell>
          <cell r="B19" t="str">
            <v>DOPAMINA EN DEXTROSA AL 5% 200</v>
          </cell>
          <cell r="C19" t="str">
            <v>EA</v>
          </cell>
          <cell r="D19" t="str">
            <v>BX</v>
          </cell>
          <cell r="E19">
            <v>18</v>
          </cell>
          <cell r="F19" t="str">
            <v>EA</v>
          </cell>
        </row>
        <row r="20">
          <cell r="A20" t="str">
            <v>ARB0842</v>
          </cell>
          <cell r="B20" t="str">
            <v>DOPAMINA EN DEXTROSA AL 5% 400</v>
          </cell>
          <cell r="C20" t="str">
            <v>EA</v>
          </cell>
          <cell r="D20" t="str">
            <v>BX</v>
          </cell>
          <cell r="E20">
            <v>18</v>
          </cell>
          <cell r="F20" t="str">
            <v>EA</v>
          </cell>
        </row>
        <row r="21">
          <cell r="A21" t="str">
            <v>ARB1062</v>
          </cell>
          <cell r="B21" t="str">
            <v>DEXTROSA 5% NACL 0.9% X 250ML</v>
          </cell>
          <cell r="C21" t="str">
            <v>EA</v>
          </cell>
          <cell r="D21" t="str">
            <v>BX</v>
          </cell>
          <cell r="E21">
            <v>48</v>
          </cell>
          <cell r="F21" t="str">
            <v>EA</v>
          </cell>
        </row>
        <row r="22">
          <cell r="A22" t="str">
            <v>ARB1063</v>
          </cell>
          <cell r="B22" t="str">
            <v>DEXTROSA AL 5% EN SALINA X 500</v>
          </cell>
          <cell r="C22" t="str">
            <v>EA</v>
          </cell>
          <cell r="D22" t="str">
            <v>BX</v>
          </cell>
          <cell r="E22">
            <v>30</v>
          </cell>
          <cell r="F22" t="str">
            <v>EA</v>
          </cell>
        </row>
        <row r="23">
          <cell r="A23" t="str">
            <v>ARB1064</v>
          </cell>
          <cell r="B23" t="str">
            <v>DEXTROSA 5% NACL .9% X 1000ML</v>
          </cell>
          <cell r="C23" t="str">
            <v>EA</v>
          </cell>
          <cell r="D23" t="str">
            <v>BX</v>
          </cell>
          <cell r="E23">
            <v>16</v>
          </cell>
          <cell r="F23" t="str">
            <v>EA</v>
          </cell>
        </row>
        <row r="24">
          <cell r="A24" t="str">
            <v>ARB1072</v>
          </cell>
          <cell r="B24" t="str">
            <v>DEXTROSA 5% NACL 0.45 X 250ML</v>
          </cell>
          <cell r="C24" t="str">
            <v>EA</v>
          </cell>
          <cell r="D24" t="str">
            <v>BX</v>
          </cell>
          <cell r="E24">
            <v>48</v>
          </cell>
          <cell r="F24" t="str">
            <v>EA</v>
          </cell>
        </row>
        <row r="25">
          <cell r="A25" t="str">
            <v>ARB1073</v>
          </cell>
          <cell r="B25" t="str">
            <v>DEXTROSA 5% NACL 0.45%</v>
          </cell>
          <cell r="C25" t="str">
            <v>EA</v>
          </cell>
          <cell r="D25" t="str">
            <v>BX</v>
          </cell>
          <cell r="E25">
            <v>30</v>
          </cell>
          <cell r="F25" t="str">
            <v>EA</v>
          </cell>
        </row>
        <row r="26">
          <cell r="A26" t="str">
            <v>ARB1082</v>
          </cell>
          <cell r="B26" t="str">
            <v>DEXTROSA 5% NACL .33% X 250ML</v>
          </cell>
          <cell r="C26" t="str">
            <v>EA</v>
          </cell>
          <cell r="D26" t="str">
            <v>BX</v>
          </cell>
          <cell r="E26">
            <v>48</v>
          </cell>
          <cell r="F26" t="str">
            <v>EA</v>
          </cell>
        </row>
        <row r="27">
          <cell r="A27" t="str">
            <v>ARB1083</v>
          </cell>
          <cell r="B27" t="str">
            <v>DEXTROSA 5% NACL 0.33%</v>
          </cell>
          <cell r="C27" t="str">
            <v>EA</v>
          </cell>
          <cell r="D27" t="str">
            <v>BX</v>
          </cell>
          <cell r="E27">
            <v>30</v>
          </cell>
          <cell r="F27" t="str">
            <v>EA</v>
          </cell>
        </row>
        <row r="28">
          <cell r="A28" t="str">
            <v>ARB1301</v>
          </cell>
          <cell r="B28" t="str">
            <v>SOLUCION SALINA X 50ML</v>
          </cell>
          <cell r="C28" t="str">
            <v>EA</v>
          </cell>
          <cell r="D28" t="str">
            <v>BX</v>
          </cell>
          <cell r="E28">
            <v>60</v>
          </cell>
          <cell r="F28" t="str">
            <v>EA</v>
          </cell>
        </row>
        <row r="29">
          <cell r="A29" t="str">
            <v>ARB1302</v>
          </cell>
          <cell r="B29" t="str">
            <v>CLORURO DE SODIO AL 0.9% X 100</v>
          </cell>
          <cell r="C29" t="str">
            <v>EA</v>
          </cell>
          <cell r="D29" t="str">
            <v>BX</v>
          </cell>
          <cell r="E29">
            <v>60</v>
          </cell>
          <cell r="F29" t="str">
            <v>EA</v>
          </cell>
        </row>
        <row r="30">
          <cell r="A30" t="str">
            <v>ARB1322</v>
          </cell>
          <cell r="B30" t="str">
            <v>CLORURO DE SODIO 0.9% X 250ML</v>
          </cell>
          <cell r="C30" t="str">
            <v>EA</v>
          </cell>
          <cell r="D30" t="str">
            <v>BX</v>
          </cell>
          <cell r="E30">
            <v>48</v>
          </cell>
          <cell r="F30" t="str">
            <v>EA</v>
          </cell>
        </row>
        <row r="31">
          <cell r="A31" t="str">
            <v>ARB1323</v>
          </cell>
          <cell r="B31" t="str">
            <v>CLORURO DE SODIO 0.9% X 500ML</v>
          </cell>
          <cell r="C31" t="str">
            <v>EA</v>
          </cell>
          <cell r="D31" t="str">
            <v>BX</v>
          </cell>
          <cell r="E31">
            <v>30</v>
          </cell>
          <cell r="F31" t="str">
            <v>EA</v>
          </cell>
        </row>
        <row r="32">
          <cell r="A32" t="str">
            <v>ARB1324</v>
          </cell>
          <cell r="B32" t="str">
            <v>CLORURO DE SODIO 0.9% X 1000ML</v>
          </cell>
          <cell r="C32" t="str">
            <v>EA</v>
          </cell>
          <cell r="D32" t="str">
            <v>BX</v>
          </cell>
          <cell r="E32">
            <v>16</v>
          </cell>
          <cell r="F32" t="str">
            <v>EA</v>
          </cell>
        </row>
        <row r="33">
          <cell r="A33" t="str">
            <v>ARB2303</v>
          </cell>
          <cell r="B33" t="str">
            <v>SOLUCION DE RINGER X 500ML</v>
          </cell>
          <cell r="C33" t="str">
            <v>EA</v>
          </cell>
          <cell r="D33" t="str">
            <v>BX</v>
          </cell>
          <cell r="E33">
            <v>30</v>
          </cell>
          <cell r="F33" t="str">
            <v>EA</v>
          </cell>
        </row>
        <row r="34">
          <cell r="A34" t="str">
            <v>ARB2322</v>
          </cell>
          <cell r="B34" t="str">
            <v>INY  RINGER Y LACTATO DE SODIO</v>
          </cell>
          <cell r="C34" t="str">
            <v>EA</v>
          </cell>
          <cell r="D34" t="str">
            <v>BX</v>
          </cell>
          <cell r="E34">
            <v>48</v>
          </cell>
          <cell r="F34" t="str">
            <v>EA</v>
          </cell>
        </row>
        <row r="35">
          <cell r="A35" t="str">
            <v>ARB2323</v>
          </cell>
          <cell r="B35" t="str">
            <v>SOL RINGER Y LACT SODIO X 500M</v>
          </cell>
          <cell r="C35" t="str">
            <v>EA</v>
          </cell>
          <cell r="D35" t="str">
            <v>BX</v>
          </cell>
          <cell r="E35">
            <v>30</v>
          </cell>
          <cell r="F35" t="str">
            <v>EA</v>
          </cell>
        </row>
        <row r="36">
          <cell r="A36" t="str">
            <v>ARB2324</v>
          </cell>
          <cell r="B36" t="str">
            <v>INY DE LACTATO DE RINGER X 100</v>
          </cell>
          <cell r="C36" t="str">
            <v>EA</v>
          </cell>
          <cell r="D36" t="str">
            <v>BX</v>
          </cell>
          <cell r="E36">
            <v>16</v>
          </cell>
          <cell r="F36" t="str">
            <v>EA</v>
          </cell>
        </row>
        <row r="37">
          <cell r="A37" t="str">
            <v>ARB3200</v>
          </cell>
          <cell r="B37" t="str">
            <v>K-TROL</v>
          </cell>
          <cell r="C37" t="str">
            <v>EA</v>
          </cell>
          <cell r="D37" t="str">
            <v>BX</v>
          </cell>
          <cell r="E37">
            <v>60</v>
          </cell>
          <cell r="F37" t="str">
            <v>EA</v>
          </cell>
        </row>
        <row r="38">
          <cell r="A38" t="str">
            <v>ARB3210</v>
          </cell>
          <cell r="B38" t="str">
            <v>N-TROL</v>
          </cell>
          <cell r="C38" t="str">
            <v>EA</v>
          </cell>
          <cell r="D38" t="str">
            <v>BX</v>
          </cell>
          <cell r="E38">
            <v>60</v>
          </cell>
          <cell r="F38" t="str">
            <v>EA</v>
          </cell>
        </row>
        <row r="39">
          <cell r="A39" t="str">
            <v>ARB3211</v>
          </cell>
          <cell r="B39" t="str">
            <v>K-TROL</v>
          </cell>
          <cell r="C39" t="str">
            <v>EA</v>
          </cell>
          <cell r="D39" t="str">
            <v>BX</v>
          </cell>
          <cell r="E39">
            <v>60</v>
          </cell>
          <cell r="F39" t="str">
            <v>EA</v>
          </cell>
        </row>
        <row r="40">
          <cell r="A40" t="str">
            <v>ARB5161</v>
          </cell>
          <cell r="B40" t="str">
            <v>DIANEAL PD-2 C/1.5% DEXT SIST.</v>
          </cell>
          <cell r="C40" t="str">
            <v>EA</v>
          </cell>
          <cell r="D40" t="str">
            <v>BX</v>
          </cell>
          <cell r="E40">
            <v>20</v>
          </cell>
          <cell r="F40" t="str">
            <v>EA</v>
          </cell>
        </row>
        <row r="41">
          <cell r="A41" t="str">
            <v>ARB5163</v>
          </cell>
          <cell r="B41" t="str">
            <v>DIANEAL PD-2 C/1.5% DEXT SIST.</v>
          </cell>
          <cell r="C41" t="str">
            <v>EA</v>
          </cell>
          <cell r="D41" t="str">
            <v>BX</v>
          </cell>
          <cell r="E41">
            <v>16</v>
          </cell>
          <cell r="F41" t="str">
            <v>EA</v>
          </cell>
        </row>
        <row r="42">
          <cell r="A42" t="str">
            <v>ARB5167</v>
          </cell>
          <cell r="B42" t="str">
            <v>DIANEAL PD-2 C/1.5% DEXT SIST.</v>
          </cell>
          <cell r="C42" t="str">
            <v>EA</v>
          </cell>
          <cell r="D42" t="str">
            <v>BX</v>
          </cell>
          <cell r="E42">
            <v>6</v>
          </cell>
          <cell r="F42" t="str">
            <v>EA</v>
          </cell>
        </row>
        <row r="43">
          <cell r="A43" t="str">
            <v>ARB5168</v>
          </cell>
          <cell r="B43" t="str">
            <v>DIANEAL PD-2 C/1.5% DEXT SIST.</v>
          </cell>
          <cell r="C43" t="str">
            <v>EA</v>
          </cell>
          <cell r="D43" t="str">
            <v>BX</v>
          </cell>
          <cell r="E43">
            <v>6</v>
          </cell>
          <cell r="F43" t="str">
            <v>EA</v>
          </cell>
        </row>
        <row r="44">
          <cell r="A44" t="str">
            <v>ARB5177</v>
          </cell>
          <cell r="B44" t="str">
            <v>DIANEAL PD-2 C/2.5% DEXT SIST.</v>
          </cell>
          <cell r="C44" t="str">
            <v>EA</v>
          </cell>
          <cell r="D44" t="str">
            <v>BX</v>
          </cell>
          <cell r="E44">
            <v>8</v>
          </cell>
          <cell r="F44" t="str">
            <v>EA</v>
          </cell>
        </row>
        <row r="45">
          <cell r="A45" t="str">
            <v>ARB5178</v>
          </cell>
          <cell r="B45" t="str">
            <v>DIANEAL PD-2 C/2.5% DEXT SIST.</v>
          </cell>
          <cell r="C45" t="str">
            <v>EA</v>
          </cell>
          <cell r="D45" t="str">
            <v>BX</v>
          </cell>
          <cell r="E45">
            <v>6</v>
          </cell>
          <cell r="F45" t="str">
            <v>EA</v>
          </cell>
        </row>
        <row r="46">
          <cell r="A46" t="str">
            <v>ARB5181</v>
          </cell>
          <cell r="B46" t="str">
            <v>DIANEAL PD-2 C/4.25% DEXT SIST</v>
          </cell>
          <cell r="C46" t="str">
            <v>EA</v>
          </cell>
          <cell r="D46" t="str">
            <v>BX</v>
          </cell>
          <cell r="E46">
            <v>20</v>
          </cell>
          <cell r="F46" t="str">
            <v>EA</v>
          </cell>
        </row>
        <row r="47">
          <cell r="A47" t="str">
            <v>ARB5187</v>
          </cell>
          <cell r="B47" t="str">
            <v>DIANEAL PD-2 C/4.25% DEXT SIST</v>
          </cell>
          <cell r="C47" t="str">
            <v>EA</v>
          </cell>
          <cell r="D47" t="str">
            <v>BX</v>
          </cell>
          <cell r="E47">
            <v>6</v>
          </cell>
          <cell r="F47" t="str">
            <v>EA</v>
          </cell>
        </row>
        <row r="48">
          <cell r="A48" t="str">
            <v>ARB5188</v>
          </cell>
          <cell r="B48" t="str">
            <v>DIANEAL PD-2 C/4.25% DEXT SIST</v>
          </cell>
          <cell r="C48" t="str">
            <v>EA</v>
          </cell>
          <cell r="D48" t="str">
            <v>BX</v>
          </cell>
          <cell r="E48">
            <v>6</v>
          </cell>
          <cell r="F48" t="str">
            <v>EA</v>
          </cell>
        </row>
        <row r="49">
          <cell r="A49" t="str">
            <v>ARB5193</v>
          </cell>
          <cell r="B49" t="str">
            <v>DIANEAL PD-2 C/1.5% DEXT SIST.</v>
          </cell>
          <cell r="C49" t="str">
            <v>EA</v>
          </cell>
          <cell r="D49" t="str">
            <v>BX</v>
          </cell>
          <cell r="E49">
            <v>3</v>
          </cell>
          <cell r="F49" t="str">
            <v>EA</v>
          </cell>
        </row>
        <row r="50">
          <cell r="A50" t="str">
            <v>ARB5194</v>
          </cell>
          <cell r="B50" t="str">
            <v>DIANEAL PD-2 C/2.5% DEXT SIST.</v>
          </cell>
          <cell r="C50" t="str">
            <v>EA</v>
          </cell>
          <cell r="D50" t="str">
            <v>BX</v>
          </cell>
          <cell r="E50">
            <v>3</v>
          </cell>
          <cell r="F50" t="str">
            <v>EA</v>
          </cell>
        </row>
        <row r="51">
          <cell r="A51" t="str">
            <v>ARB5195</v>
          </cell>
          <cell r="B51" t="str">
            <v>DIANEAL PD-2 C/4.25% DEXT SIST</v>
          </cell>
          <cell r="C51" t="str">
            <v>EA</v>
          </cell>
          <cell r="D51" t="str">
            <v>BX</v>
          </cell>
          <cell r="E51">
            <v>3</v>
          </cell>
          <cell r="F51" t="str">
            <v>EA</v>
          </cell>
        </row>
        <row r="52">
          <cell r="A52" t="str">
            <v>ARB5202</v>
          </cell>
          <cell r="B52" t="str">
            <v>DIANEAL CA FISIOLOGICO C/DEXT</v>
          </cell>
          <cell r="C52" t="str">
            <v>EA</v>
          </cell>
          <cell r="D52" t="str">
            <v>BX</v>
          </cell>
          <cell r="E52">
            <v>3</v>
          </cell>
          <cell r="F52" t="str">
            <v>EA</v>
          </cell>
        </row>
        <row r="53">
          <cell r="A53" t="str">
            <v>ARB6153</v>
          </cell>
          <cell r="B53" t="str">
            <v>BRANCHAMIN</v>
          </cell>
          <cell r="C53" t="str">
            <v>EA</v>
          </cell>
          <cell r="D53" t="str">
            <v>BX</v>
          </cell>
          <cell r="E53">
            <v>18</v>
          </cell>
          <cell r="F53" t="str">
            <v>EA</v>
          </cell>
        </row>
        <row r="54">
          <cell r="A54" t="str">
            <v>ARB6404</v>
          </cell>
          <cell r="B54" t="str">
            <v>TRAVASOL 10% C/ELECTROLITOS X</v>
          </cell>
          <cell r="C54" t="str">
            <v>EA</v>
          </cell>
          <cell r="D54" t="str">
            <v>BX</v>
          </cell>
          <cell r="E54">
            <v>12</v>
          </cell>
          <cell r="F54" t="str">
            <v>EA</v>
          </cell>
        </row>
        <row r="55">
          <cell r="A55" t="str">
            <v>ARB6437</v>
          </cell>
          <cell r="B55" t="str">
            <v>TRAVASOL 8.5% CON ELECTROLITOS</v>
          </cell>
          <cell r="C55" t="str">
            <v>EA</v>
          </cell>
          <cell r="D55" t="str">
            <v>BX</v>
          </cell>
          <cell r="E55">
            <v>20</v>
          </cell>
          <cell r="F55" t="str">
            <v>EA</v>
          </cell>
        </row>
        <row r="56">
          <cell r="A56" t="str">
            <v>ARB7003</v>
          </cell>
          <cell r="B56" t="str">
            <v>DEXTROSA AL 50% EN AGUA*500 M</v>
          </cell>
          <cell r="C56" t="str">
            <v>EA</v>
          </cell>
          <cell r="D56" t="str">
            <v>BX</v>
          </cell>
          <cell r="E56">
            <v>30</v>
          </cell>
          <cell r="F56" t="str">
            <v>EA</v>
          </cell>
        </row>
        <row r="57">
          <cell r="A57" t="str">
            <v>ARB7024</v>
          </cell>
          <cell r="B57" t="str">
            <v>DEXTROSA 5% EN 1000ml USO</v>
          </cell>
          <cell r="C57" t="str">
            <v>EA</v>
          </cell>
          <cell r="D57" t="str">
            <v>BX</v>
          </cell>
          <cell r="E57">
            <v>16</v>
          </cell>
          <cell r="F57" t="str">
            <v>EA</v>
          </cell>
        </row>
        <row r="58">
          <cell r="A58" t="str">
            <v>ARB7034</v>
          </cell>
          <cell r="B58" t="str">
            <v>SOLUCION SALINA POR 1000ml USO</v>
          </cell>
          <cell r="C58" t="str">
            <v>EA</v>
          </cell>
          <cell r="D58" t="str">
            <v>BX</v>
          </cell>
          <cell r="E58">
            <v>16</v>
          </cell>
          <cell r="F58" t="str">
            <v>EA</v>
          </cell>
        </row>
        <row r="59">
          <cell r="A59" t="str">
            <v>ARB7317</v>
          </cell>
          <cell r="B59" t="str">
            <v>GLICINA AL 1.5% 3000 ML</v>
          </cell>
          <cell r="C59" t="str">
            <v>EA</v>
          </cell>
          <cell r="D59" t="str">
            <v>BX</v>
          </cell>
          <cell r="E59">
            <v>5</v>
          </cell>
          <cell r="F59" t="str">
            <v>EA</v>
          </cell>
        </row>
        <row r="60">
          <cell r="A60" t="str">
            <v>ARB7487</v>
          </cell>
          <cell r="B60" t="str">
            <v>RINGER/LACTATO DE SODIO HARTMA</v>
          </cell>
          <cell r="C60" t="str">
            <v>EA</v>
          </cell>
          <cell r="D60" t="str">
            <v>BX</v>
          </cell>
          <cell r="E60">
            <v>5</v>
          </cell>
          <cell r="F60" t="str">
            <v>EA</v>
          </cell>
        </row>
        <row r="61">
          <cell r="A61" t="str">
            <v>ARB7925</v>
          </cell>
          <cell r="B61" t="str">
            <v>AGUA ESTERIL P/IRRIGACION</v>
          </cell>
          <cell r="C61" t="str">
            <v>EA</v>
          </cell>
          <cell r="D61" t="str">
            <v>BX</v>
          </cell>
          <cell r="E61">
            <v>5</v>
          </cell>
          <cell r="F61" t="str">
            <v>EA</v>
          </cell>
        </row>
        <row r="62">
          <cell r="A62" t="str">
            <v>ARB8029</v>
          </cell>
          <cell r="B62" t="str">
            <v>B.GRAVD. 3L PVC</v>
          </cell>
          <cell r="C62" t="str">
            <v>EA</v>
          </cell>
          <cell r="D62" t="str">
            <v>BX</v>
          </cell>
          <cell r="E62">
            <v>40</v>
          </cell>
          <cell r="F62" t="str">
            <v>EA</v>
          </cell>
        </row>
        <row r="63">
          <cell r="A63" t="str">
            <v>ARB8084</v>
          </cell>
          <cell r="B63" t="str">
            <v>B. AUTOMIX 1L PVC</v>
          </cell>
          <cell r="C63" t="str">
            <v>EA</v>
          </cell>
          <cell r="D63" t="str">
            <v>BX</v>
          </cell>
          <cell r="E63">
            <v>70</v>
          </cell>
          <cell r="F63" t="str">
            <v>EA</v>
          </cell>
        </row>
        <row r="64">
          <cell r="A64" t="str">
            <v>ARB8087</v>
          </cell>
          <cell r="B64" t="str">
            <v>B. AUTOMIX 3L PVC</v>
          </cell>
          <cell r="C64" t="str">
            <v>EA</v>
          </cell>
          <cell r="D64" t="str">
            <v>BX</v>
          </cell>
          <cell r="E64">
            <v>40</v>
          </cell>
          <cell r="F64" t="str">
            <v>EA</v>
          </cell>
        </row>
        <row r="65">
          <cell r="A65" t="str">
            <v>ARB8114</v>
          </cell>
          <cell r="B65" t="str">
            <v>B. GRAVED 1L EVA</v>
          </cell>
          <cell r="C65" t="str">
            <v>EA</v>
          </cell>
          <cell r="D65" t="str">
            <v>BX</v>
          </cell>
          <cell r="E65">
            <v>70</v>
          </cell>
          <cell r="F65" t="str">
            <v>EA</v>
          </cell>
        </row>
        <row r="66">
          <cell r="A66" t="str">
            <v>ARB8134</v>
          </cell>
          <cell r="B66" t="str">
            <v>BOLSA VACIA ADAPTADOR DESCONEX</v>
          </cell>
          <cell r="C66" t="str">
            <v>EA</v>
          </cell>
          <cell r="D66" t="str">
            <v>BX</v>
          </cell>
          <cell r="E66">
            <v>30</v>
          </cell>
          <cell r="F66" t="str">
            <v>EA</v>
          </cell>
        </row>
        <row r="67">
          <cell r="A67" t="str">
            <v>ARB8152</v>
          </cell>
          <cell r="B67" t="str">
            <v>BOLSA VACIA 1/2 LT EN EVA AUTO</v>
          </cell>
          <cell r="C67" t="str">
            <v>EA</v>
          </cell>
          <cell r="D67" t="str">
            <v>BX</v>
          </cell>
          <cell r="E67">
            <v>50</v>
          </cell>
          <cell r="F67" t="str">
            <v>EA</v>
          </cell>
        </row>
        <row r="68">
          <cell r="A68" t="str">
            <v>ARB8187</v>
          </cell>
          <cell r="B68" t="str">
            <v>B. AUTOMIX 3L EVA</v>
          </cell>
          <cell r="C68" t="str">
            <v>EA</v>
          </cell>
          <cell r="D68" t="str">
            <v>BX</v>
          </cell>
          <cell r="E68">
            <v>40</v>
          </cell>
          <cell r="F68" t="str">
            <v>EA</v>
          </cell>
        </row>
        <row r="69">
          <cell r="A69" t="str">
            <v>ARB8195</v>
          </cell>
          <cell r="B69" t="str">
            <v>B. GRAVED 3L EVA</v>
          </cell>
          <cell r="C69" t="str">
            <v>EA</v>
          </cell>
          <cell r="D69" t="str">
            <v>BX</v>
          </cell>
          <cell r="E69">
            <v>30</v>
          </cell>
          <cell r="F69" t="str">
            <v>EA</v>
          </cell>
        </row>
        <row r="70">
          <cell r="A70" t="str">
            <v>ARB8603</v>
          </cell>
          <cell r="B70" t="str">
            <v>SOLUCION HARTMANN*500ML USO</v>
          </cell>
          <cell r="C70" t="str">
            <v>EA</v>
          </cell>
          <cell r="D70" t="str">
            <v>BX</v>
          </cell>
          <cell r="E70">
            <v>30</v>
          </cell>
          <cell r="F70" t="str">
            <v>EA</v>
          </cell>
        </row>
        <row r="71">
          <cell r="A71" t="str">
            <v>ARB8604</v>
          </cell>
          <cell r="B71" t="str">
            <v>SOLUCION HARTMANN * 1000 USO</v>
          </cell>
          <cell r="C71" t="str">
            <v>EA</v>
          </cell>
          <cell r="D71" t="str">
            <v>BX</v>
          </cell>
          <cell r="E71">
            <v>16</v>
          </cell>
          <cell r="F71" t="str">
            <v>EA</v>
          </cell>
        </row>
        <row r="72">
          <cell r="A72" t="str">
            <v>ARB9717</v>
          </cell>
          <cell r="B72" t="str">
            <v>DIANEAL PD-2 2.5MEG/BAJO EN CA</v>
          </cell>
          <cell r="C72" t="str">
            <v>EA</v>
          </cell>
          <cell r="D72" t="str">
            <v>BX</v>
          </cell>
          <cell r="E72">
            <v>8</v>
          </cell>
          <cell r="F72" t="str">
            <v>EA</v>
          </cell>
        </row>
        <row r="73">
          <cell r="A73" t="str">
            <v>ARB9727</v>
          </cell>
          <cell r="B73" t="str">
            <v>DIANEAL PD-2 2.5MEG/BAJO EN CA</v>
          </cell>
          <cell r="C73" t="str">
            <v>EA</v>
          </cell>
          <cell r="D73" t="str">
            <v>BX</v>
          </cell>
          <cell r="E73">
            <v>8</v>
          </cell>
          <cell r="F73" t="str">
            <v>EA</v>
          </cell>
        </row>
        <row r="74">
          <cell r="A74" t="str">
            <v>ARB9747</v>
          </cell>
          <cell r="B74" t="str">
            <v>DIANEAL PD-2 2.5MEG/BAJO EN CA</v>
          </cell>
          <cell r="C74" t="str">
            <v>EA</v>
          </cell>
          <cell r="D74" t="str">
            <v>BX</v>
          </cell>
          <cell r="E74">
            <v>8</v>
          </cell>
          <cell r="F74" t="str">
            <v>EA</v>
          </cell>
        </row>
        <row r="75">
          <cell r="A75" t="str">
            <v>ARB9806</v>
          </cell>
          <cell r="B75" t="str">
            <v>ULTRABAG CAMEX PD-2 AL 1.5%</v>
          </cell>
          <cell r="C75" t="str">
            <v>EA</v>
          </cell>
          <cell r="D75" t="str">
            <v>BX</v>
          </cell>
          <cell r="E75">
            <v>6</v>
          </cell>
          <cell r="F75" t="str">
            <v>EA</v>
          </cell>
        </row>
        <row r="76">
          <cell r="A76" t="str">
            <v>ARB9808</v>
          </cell>
          <cell r="B76" t="str">
            <v>ULTRABAG CAMEX PD-2 AL 1.5%</v>
          </cell>
          <cell r="C76" t="str">
            <v>EA</v>
          </cell>
          <cell r="D76" t="str">
            <v>BX</v>
          </cell>
          <cell r="E76">
            <v>6</v>
          </cell>
          <cell r="F76" t="str">
            <v>EA</v>
          </cell>
        </row>
        <row r="77">
          <cell r="A77" t="str">
            <v>ARB9816</v>
          </cell>
          <cell r="B77" t="str">
            <v>ULTRABAG CAMEX PD-2 AL 2.5%</v>
          </cell>
          <cell r="C77" t="str">
            <v>EA</v>
          </cell>
          <cell r="D77" t="str">
            <v>BX</v>
          </cell>
          <cell r="E77">
            <v>6</v>
          </cell>
          <cell r="F77" t="str">
            <v>EA</v>
          </cell>
        </row>
        <row r="78">
          <cell r="A78" t="str">
            <v>ARB9818</v>
          </cell>
          <cell r="B78" t="str">
            <v>ULTRABAG CAMEX PD-2 AL 2.5%</v>
          </cell>
          <cell r="C78" t="str">
            <v>EA</v>
          </cell>
          <cell r="D78" t="str">
            <v>BX</v>
          </cell>
          <cell r="E78">
            <v>6</v>
          </cell>
          <cell r="F78" t="str">
            <v>EA</v>
          </cell>
        </row>
        <row r="79">
          <cell r="A79" t="str">
            <v>ARB9826</v>
          </cell>
          <cell r="B79" t="str">
            <v>ULTRABAG CAMEX PD-2 AL 4.25%</v>
          </cell>
          <cell r="C79" t="str">
            <v>EA</v>
          </cell>
          <cell r="D79" t="str">
            <v>BX</v>
          </cell>
          <cell r="E79">
            <v>6</v>
          </cell>
          <cell r="F79" t="str">
            <v>EA</v>
          </cell>
        </row>
        <row r="80">
          <cell r="A80" t="str">
            <v>ARB9828</v>
          </cell>
          <cell r="B80" t="str">
            <v>ULTRABAG CAMEX PD-2 AL 4.25%</v>
          </cell>
          <cell r="C80" t="str">
            <v>EA</v>
          </cell>
          <cell r="D80" t="str">
            <v>BX</v>
          </cell>
          <cell r="E80">
            <v>6</v>
          </cell>
          <cell r="F80" t="str">
            <v>EA</v>
          </cell>
        </row>
        <row r="81">
          <cell r="A81" t="str">
            <v>ARB9866</v>
          </cell>
          <cell r="B81" t="str">
            <v>DIANEAL PD-2 DEX 1.5% ULTRAB.</v>
          </cell>
          <cell r="C81" t="str">
            <v>EA</v>
          </cell>
          <cell r="D81" t="str">
            <v>BX</v>
          </cell>
          <cell r="E81">
            <v>6</v>
          </cell>
          <cell r="F81" t="str">
            <v>EA</v>
          </cell>
        </row>
        <row r="82">
          <cell r="A82" t="str">
            <v>ARB9868</v>
          </cell>
          <cell r="B82" t="str">
            <v>ULTRABAG AL 1.5% 2.5/3L</v>
          </cell>
          <cell r="C82" t="str">
            <v>EA</v>
          </cell>
          <cell r="D82" t="str">
            <v>BX</v>
          </cell>
          <cell r="E82">
            <v>30</v>
          </cell>
          <cell r="F82" t="str">
            <v>EA</v>
          </cell>
        </row>
        <row r="83">
          <cell r="A83" t="str">
            <v>ARB9876</v>
          </cell>
          <cell r="B83" t="str">
            <v>DIANEAL PD-2 DEX 2.5% ULTRAB.</v>
          </cell>
          <cell r="C83" t="str">
            <v>EA</v>
          </cell>
          <cell r="D83" t="str">
            <v>BX</v>
          </cell>
          <cell r="E83">
            <v>6</v>
          </cell>
          <cell r="F83" t="str">
            <v>EA</v>
          </cell>
        </row>
        <row r="84">
          <cell r="A84" t="str">
            <v>ARB9878</v>
          </cell>
          <cell r="B84" t="str">
            <v>ULTRABAG AL 2.5% 2.5/3L</v>
          </cell>
          <cell r="C84" t="str">
            <v>EA</v>
          </cell>
          <cell r="D84" t="str">
            <v>BX</v>
          </cell>
          <cell r="E84">
            <v>6</v>
          </cell>
          <cell r="F84" t="str">
            <v>EA</v>
          </cell>
        </row>
        <row r="85">
          <cell r="A85" t="str">
            <v>ARB9896</v>
          </cell>
          <cell r="B85" t="str">
            <v>DIANEAL PD-2D DEX 4.25% ULTRAB</v>
          </cell>
          <cell r="C85" t="str">
            <v>EA</v>
          </cell>
          <cell r="D85" t="str">
            <v>BX</v>
          </cell>
          <cell r="E85">
            <v>6</v>
          </cell>
          <cell r="F85" t="str">
            <v>EA</v>
          </cell>
        </row>
        <row r="86">
          <cell r="A86" t="str">
            <v>ARB9898</v>
          </cell>
          <cell r="B86" t="str">
            <v>ULTRABAG AL 4.25% 2.5/3L</v>
          </cell>
          <cell r="C86" t="str">
            <v>EA</v>
          </cell>
          <cell r="D86" t="str">
            <v>BX</v>
          </cell>
          <cell r="E86">
            <v>6</v>
          </cell>
          <cell r="F86" t="str">
            <v>EA</v>
          </cell>
        </row>
        <row r="87">
          <cell r="A87" t="str">
            <v>ARC0050</v>
          </cell>
          <cell r="B87" t="str">
            <v>EQUIPO DE EXTENSION</v>
          </cell>
          <cell r="C87" t="str">
            <v>EA</v>
          </cell>
          <cell r="D87" t="str">
            <v>CA</v>
          </cell>
          <cell r="E87">
            <v>150</v>
          </cell>
          <cell r="F87" t="str">
            <v>EA</v>
          </cell>
        </row>
        <row r="88">
          <cell r="A88" t="str">
            <v>ARC0050P</v>
          </cell>
          <cell r="B88" t="str">
            <v>EQUIPO DE EXTENSION MONITOREO</v>
          </cell>
          <cell r="C88" t="str">
            <v>EA</v>
          </cell>
          <cell r="D88" t="str">
            <v>BX</v>
          </cell>
          <cell r="E88">
            <v>120</v>
          </cell>
          <cell r="F88" t="str">
            <v>EA</v>
          </cell>
        </row>
        <row r="89">
          <cell r="A89" t="str">
            <v>ARC0473P</v>
          </cell>
          <cell r="B89" t="str">
            <v>EQUIPO EXTENSION ANESTESIA</v>
          </cell>
          <cell r="C89" t="str">
            <v>EA</v>
          </cell>
          <cell r="D89" t="str">
            <v>BX</v>
          </cell>
          <cell r="E89">
            <v>70</v>
          </cell>
          <cell r="F89" t="str">
            <v>EA</v>
          </cell>
        </row>
        <row r="90">
          <cell r="A90" t="str">
            <v>ARC1003P</v>
          </cell>
          <cell r="B90" t="str">
            <v>EQUIPO EXTENSION MACHO MACHO</v>
          </cell>
          <cell r="C90" t="str">
            <v>EA</v>
          </cell>
          <cell r="D90" t="str">
            <v>BX</v>
          </cell>
          <cell r="E90">
            <v>120</v>
          </cell>
          <cell r="F90" t="str">
            <v>EA</v>
          </cell>
        </row>
        <row r="91">
          <cell r="A91" t="str">
            <v>ARC1004P</v>
          </cell>
          <cell r="B91" t="str">
            <v>EQUIPO MONITOREO LUER LOCK</v>
          </cell>
          <cell r="C91" t="str">
            <v>EA</v>
          </cell>
          <cell r="D91" t="str">
            <v>BX</v>
          </cell>
          <cell r="E91">
            <v>120</v>
          </cell>
          <cell r="F91" t="str">
            <v>EA</v>
          </cell>
        </row>
        <row r="92">
          <cell r="A92" t="str">
            <v>ARC1006P</v>
          </cell>
          <cell r="B92" t="str">
            <v>EQUIPO EXTENSION LUER LOCK</v>
          </cell>
          <cell r="C92" t="str">
            <v>EA</v>
          </cell>
          <cell r="D92" t="str">
            <v>BX</v>
          </cell>
          <cell r="E92">
            <v>70</v>
          </cell>
          <cell r="F92" t="str">
            <v>EA</v>
          </cell>
        </row>
        <row r="93">
          <cell r="A93" t="str">
            <v>ARC1008</v>
          </cell>
          <cell r="B93" t="str">
            <v>EQUIPO VETERINARIO CON AGUJA</v>
          </cell>
          <cell r="C93" t="str">
            <v>EA</v>
          </cell>
          <cell r="D93" t="str">
            <v>BX</v>
          </cell>
          <cell r="E93">
            <v>250</v>
          </cell>
          <cell r="F93" t="str">
            <v>EA</v>
          </cell>
        </row>
        <row r="94">
          <cell r="A94" t="str">
            <v>ARC1964</v>
          </cell>
          <cell r="B94" t="str">
            <v>ADAPTADOR MULTI FLUJO CON 3 VI</v>
          </cell>
          <cell r="C94" t="str">
            <v>EA</v>
          </cell>
          <cell r="D94" t="str">
            <v>BX</v>
          </cell>
          <cell r="E94">
            <v>150</v>
          </cell>
          <cell r="F94" t="str">
            <v>EA</v>
          </cell>
        </row>
        <row r="95">
          <cell r="A95" t="str">
            <v>ARC1964P</v>
          </cell>
          <cell r="B95" t="str">
            <v>EQUIPO MULTIFLUJO DE 3 VIAS</v>
          </cell>
          <cell r="C95" t="str">
            <v>EA</v>
          </cell>
          <cell r="D95" t="str">
            <v>BX</v>
          </cell>
          <cell r="E95">
            <v>150</v>
          </cell>
          <cell r="F95" t="str">
            <v>EA</v>
          </cell>
        </row>
        <row r="96">
          <cell r="A96" t="str">
            <v>ARC2005S</v>
          </cell>
          <cell r="B96" t="str">
            <v>EQ ADMON SOL C/BOMBA INFUSION</v>
          </cell>
          <cell r="C96" t="str">
            <v>EA</v>
          </cell>
          <cell r="D96" t="str">
            <v>BX</v>
          </cell>
          <cell r="E96">
            <v>100</v>
          </cell>
          <cell r="F96" t="str">
            <v>EA</v>
          </cell>
        </row>
        <row r="97">
          <cell r="A97" t="str">
            <v>ARC2006</v>
          </cell>
          <cell r="B97" t="str">
            <v>EQ ADMON SOL C/E AIRE 20 GOTAS</v>
          </cell>
          <cell r="C97" t="str">
            <v>EA</v>
          </cell>
          <cell r="D97" t="str">
            <v>BX</v>
          </cell>
          <cell r="E97">
            <v>250</v>
          </cell>
          <cell r="F97" t="str">
            <v>EA</v>
          </cell>
        </row>
        <row r="98">
          <cell r="A98" t="str">
            <v>ARC2006P</v>
          </cell>
          <cell r="B98" t="str">
            <v>EQ ADMON SOL C/E AIRE 20 GOTAS</v>
          </cell>
          <cell r="C98" t="str">
            <v>EA</v>
          </cell>
          <cell r="D98" t="str">
            <v>BX</v>
          </cell>
          <cell r="E98">
            <v>250</v>
          </cell>
          <cell r="F98" t="str">
            <v>EA</v>
          </cell>
        </row>
        <row r="99">
          <cell r="A99" t="str">
            <v>ARC2220</v>
          </cell>
          <cell r="B99" t="str">
            <v>EQUIPO PARA PRESION VENOSA CEN</v>
          </cell>
          <cell r="C99" t="str">
            <v>EA</v>
          </cell>
          <cell r="D99" t="str">
            <v>CA</v>
          </cell>
          <cell r="E99">
            <v>30</v>
          </cell>
          <cell r="F99" t="str">
            <v>EA</v>
          </cell>
        </row>
        <row r="100">
          <cell r="A100" t="str">
            <v>ARC2421</v>
          </cell>
          <cell r="B100" t="str">
            <v>EQUIPO BURETA</v>
          </cell>
          <cell r="C100" t="str">
            <v>EA</v>
          </cell>
          <cell r="D100" t="str">
            <v>BX</v>
          </cell>
          <cell r="E100">
            <v>40</v>
          </cell>
          <cell r="F100" t="str">
            <v>EA</v>
          </cell>
        </row>
        <row r="101">
          <cell r="A101" t="str">
            <v>ARC2421P</v>
          </cell>
          <cell r="B101" t="str">
            <v>EQUIPO BURETA</v>
          </cell>
          <cell r="C101" t="str">
            <v>EA</v>
          </cell>
          <cell r="D101" t="str">
            <v>CA</v>
          </cell>
          <cell r="E101">
            <v>40</v>
          </cell>
          <cell r="F101" t="str">
            <v>EA</v>
          </cell>
        </row>
        <row r="102">
          <cell r="A102" t="str">
            <v>ARC4002</v>
          </cell>
          <cell r="B102" t="str">
            <v>EQUIPO PARA IRRIGACION URINARI</v>
          </cell>
          <cell r="C102" t="str">
            <v>EA</v>
          </cell>
          <cell r="D102" t="str">
            <v>BX</v>
          </cell>
          <cell r="E102">
            <v>40</v>
          </cell>
          <cell r="F102" t="str">
            <v>EA</v>
          </cell>
        </row>
        <row r="103">
          <cell r="A103" t="str">
            <v>ARC4005</v>
          </cell>
          <cell r="B103" t="str">
            <v>EQUIPO EN "Y" TUR PARA IRRIGAC</v>
          </cell>
          <cell r="C103" t="str">
            <v>EA</v>
          </cell>
          <cell r="D103" t="str">
            <v>BX</v>
          </cell>
          <cell r="E103">
            <v>30</v>
          </cell>
          <cell r="F103" t="str">
            <v>EA</v>
          </cell>
        </row>
        <row r="104">
          <cell r="A104" t="str">
            <v>ARC5404</v>
          </cell>
          <cell r="B104" t="str">
            <v>EQ ADMON SOL S/E AIRE 20 GOTAS</v>
          </cell>
          <cell r="C104" t="str">
            <v>EA</v>
          </cell>
          <cell r="D104" t="str">
            <v>BX</v>
          </cell>
          <cell r="E104">
            <v>250</v>
          </cell>
          <cell r="F104" t="str">
            <v>EA</v>
          </cell>
        </row>
        <row r="105">
          <cell r="A105" t="str">
            <v>ARC5404P</v>
          </cell>
          <cell r="B105" t="str">
            <v>EQ ADMON SOL S/E AIRE 20 GOTAS</v>
          </cell>
          <cell r="C105" t="str">
            <v>EA</v>
          </cell>
          <cell r="D105" t="str">
            <v>BX</v>
          </cell>
          <cell r="E105">
            <v>250</v>
          </cell>
          <cell r="F105" t="str">
            <v>EA</v>
          </cell>
        </row>
        <row r="106">
          <cell r="A106" t="str">
            <v>ARC5884P</v>
          </cell>
          <cell r="B106" t="str">
            <v>EQUIPO DE ADMON DE SOLUCIONES</v>
          </cell>
          <cell r="C106" t="str">
            <v>EA</v>
          </cell>
          <cell r="D106" t="str">
            <v>BX</v>
          </cell>
          <cell r="E106">
            <v>200</v>
          </cell>
          <cell r="F106" t="str">
            <v>EA</v>
          </cell>
        </row>
        <row r="107">
          <cell r="A107" t="str">
            <v>ARC7417</v>
          </cell>
          <cell r="B107" t="str">
            <v>EQUIPO MEDICACION SECUNDARIA</v>
          </cell>
          <cell r="C107" t="str">
            <v>EA</v>
          </cell>
          <cell r="D107" t="str">
            <v>BX</v>
          </cell>
          <cell r="E107">
            <v>250</v>
          </cell>
          <cell r="F107" t="str">
            <v>EA</v>
          </cell>
        </row>
        <row r="108">
          <cell r="A108" t="str">
            <v>ARC7417P</v>
          </cell>
          <cell r="B108" t="str">
            <v>EQUIPO MEDICACION SECUNDARIA</v>
          </cell>
          <cell r="C108" t="str">
            <v>EA</v>
          </cell>
          <cell r="D108" t="str">
            <v>BX</v>
          </cell>
          <cell r="E108">
            <v>250</v>
          </cell>
          <cell r="F108" t="str">
            <v>EA</v>
          </cell>
        </row>
        <row r="109">
          <cell r="A109" t="str">
            <v>ARC7501</v>
          </cell>
          <cell r="B109" t="str">
            <v>EQ BURETA MICROGOTEO S/E AIRE</v>
          </cell>
          <cell r="C109" t="str">
            <v>EA</v>
          </cell>
          <cell r="D109" t="str">
            <v>BX</v>
          </cell>
          <cell r="E109">
            <v>30</v>
          </cell>
          <cell r="F109" t="str">
            <v>EA</v>
          </cell>
        </row>
        <row r="110">
          <cell r="A110" t="str">
            <v>ARC7501P</v>
          </cell>
          <cell r="B110" t="str">
            <v>EQ BURETA MICROGOTEO S/E AIRE</v>
          </cell>
          <cell r="C110" t="str">
            <v>EA</v>
          </cell>
          <cell r="D110" t="str">
            <v>BX</v>
          </cell>
          <cell r="E110">
            <v>30</v>
          </cell>
          <cell r="F110" t="str">
            <v>EA</v>
          </cell>
        </row>
        <row r="111">
          <cell r="A111" t="str">
            <v>ARC7502</v>
          </cell>
          <cell r="B111" t="str">
            <v>EQUIPO BURETA PVC</v>
          </cell>
          <cell r="C111" t="str">
            <v>EA</v>
          </cell>
          <cell r="D111" t="str">
            <v>BX</v>
          </cell>
          <cell r="E111">
            <v>40</v>
          </cell>
          <cell r="F111" t="str">
            <v>EA</v>
          </cell>
        </row>
        <row r="112">
          <cell r="A112" t="str">
            <v>ARC7511</v>
          </cell>
          <cell r="B112" t="str">
            <v>EQ BURETA MICROGOTEO C/E AIRE</v>
          </cell>
          <cell r="C112" t="str">
            <v>EA</v>
          </cell>
          <cell r="D112" t="str">
            <v>BX</v>
          </cell>
          <cell r="E112">
            <v>30</v>
          </cell>
          <cell r="F112" t="str">
            <v>EA</v>
          </cell>
        </row>
        <row r="113">
          <cell r="A113" t="str">
            <v>ARC7511P</v>
          </cell>
          <cell r="B113" t="str">
            <v>EQ BURETA MICROGOTEO C/E AIRE</v>
          </cell>
          <cell r="C113" t="str">
            <v>EA</v>
          </cell>
          <cell r="D113" t="str">
            <v>BX</v>
          </cell>
          <cell r="E113">
            <v>30</v>
          </cell>
          <cell r="F113" t="str">
            <v>EA</v>
          </cell>
        </row>
        <row r="114">
          <cell r="A114" t="str">
            <v>ARD0001</v>
          </cell>
          <cell r="B114" t="str">
            <v>TRAVAD ENEMA FOSFATO</v>
          </cell>
          <cell r="C114" t="str">
            <v>EA</v>
          </cell>
          <cell r="D114" t="str">
            <v>BX</v>
          </cell>
          <cell r="E114">
            <v>60</v>
          </cell>
          <cell r="F114" t="str">
            <v>EA</v>
          </cell>
        </row>
        <row r="115">
          <cell r="A115" t="str">
            <v>ARD0004</v>
          </cell>
          <cell r="B115" t="str">
            <v>ENEMA SOLUCION SALINA AL 2.5X1</v>
          </cell>
          <cell r="C115" t="str">
            <v>EA</v>
          </cell>
          <cell r="D115" t="str">
            <v>BX</v>
          </cell>
          <cell r="E115">
            <v>10</v>
          </cell>
          <cell r="F115" t="str">
            <v>EA</v>
          </cell>
        </row>
        <row r="116">
          <cell r="A116" t="str">
            <v>ARD2142</v>
          </cell>
          <cell r="B116" t="str">
            <v>BOLSA VETERINARIA S/A</v>
          </cell>
          <cell r="C116" t="str">
            <v>EA</v>
          </cell>
          <cell r="D116" t="str">
            <v>BX</v>
          </cell>
          <cell r="E116">
            <v>200</v>
          </cell>
          <cell r="F116" t="str">
            <v>EA</v>
          </cell>
        </row>
        <row r="117">
          <cell r="A117" t="str">
            <v>ARD5632</v>
          </cell>
          <cell r="B117" t="str">
            <v>OSMORIN AL 20% (MANITOL) EN AG</v>
          </cell>
          <cell r="C117" t="str">
            <v>EA</v>
          </cell>
          <cell r="D117" t="str">
            <v>BX</v>
          </cell>
          <cell r="E117">
            <v>48</v>
          </cell>
          <cell r="F117" t="str">
            <v>EA</v>
          </cell>
        </row>
        <row r="118">
          <cell r="A118" t="str">
            <v>ARD5633</v>
          </cell>
          <cell r="B118" t="str">
            <v>OSMORIN (MANITOL) AL 20% X 500</v>
          </cell>
          <cell r="C118" t="str">
            <v>EA</v>
          </cell>
          <cell r="D118" t="str">
            <v>BX</v>
          </cell>
          <cell r="E118">
            <v>30</v>
          </cell>
          <cell r="F118" t="str">
            <v>EA</v>
          </cell>
        </row>
        <row r="119">
          <cell r="A119" t="str">
            <v>ARD8026</v>
          </cell>
          <cell r="B119" t="str">
            <v>EQUIPO P/DRENAJE URINARIO CYST</v>
          </cell>
          <cell r="C119" t="str">
            <v>EA</v>
          </cell>
          <cell r="D119" t="str">
            <v>BX</v>
          </cell>
          <cell r="E119">
            <v>30</v>
          </cell>
          <cell r="F119" t="str">
            <v>EA</v>
          </cell>
        </row>
        <row r="120">
          <cell r="A120" t="str">
            <v>ARL3300</v>
          </cell>
          <cell r="B120" t="str">
            <v>HIDRAPLUS SABOR A COCO 45mEq</v>
          </cell>
          <cell r="C120" t="str">
            <v>EA</v>
          </cell>
          <cell r="D120" t="str">
            <v>BX</v>
          </cell>
          <cell r="E120">
            <v>24</v>
          </cell>
          <cell r="F120" t="str">
            <v>EA</v>
          </cell>
        </row>
        <row r="121">
          <cell r="A121" t="str">
            <v>ARL3303</v>
          </cell>
          <cell r="B121" t="str">
            <v>HIDRAPLUS 30 MEQ FRESA 500 ML</v>
          </cell>
          <cell r="C121" t="str">
            <v>EA</v>
          </cell>
          <cell r="D121" t="str">
            <v>BX</v>
          </cell>
          <cell r="E121">
            <v>24</v>
          </cell>
          <cell r="F121" t="str">
            <v>EA</v>
          </cell>
        </row>
        <row r="122">
          <cell r="A122" t="str">
            <v>ARL3310</v>
          </cell>
          <cell r="B122" t="str">
            <v>HIDRAPLUS SABOR A UVA 45 mEq</v>
          </cell>
          <cell r="C122" t="str">
            <v>EA</v>
          </cell>
          <cell r="D122" t="str">
            <v>BX</v>
          </cell>
          <cell r="E122">
            <v>24</v>
          </cell>
          <cell r="F122" t="str">
            <v>EA</v>
          </cell>
        </row>
        <row r="123">
          <cell r="A123" t="str">
            <v>ARL3313</v>
          </cell>
          <cell r="B123" t="str">
            <v>HIDRAPLUS UVA 30 MEQ</v>
          </cell>
          <cell r="C123" t="str">
            <v>EA</v>
          </cell>
          <cell r="D123" t="str">
            <v>BX</v>
          </cell>
          <cell r="E123">
            <v>24</v>
          </cell>
          <cell r="F123" t="str">
            <v>EA</v>
          </cell>
        </row>
        <row r="124">
          <cell r="A124" t="str">
            <v>ARL3320</v>
          </cell>
          <cell r="B124" t="str">
            <v>HIDRAPLUS SABOR A FRESA 45 mEq</v>
          </cell>
          <cell r="C124" t="str">
            <v>EA</v>
          </cell>
          <cell r="D124" t="str">
            <v>BX</v>
          </cell>
          <cell r="E124">
            <v>24</v>
          </cell>
          <cell r="F124" t="str">
            <v>EA</v>
          </cell>
        </row>
        <row r="125">
          <cell r="A125" t="str">
            <v>ARL3323</v>
          </cell>
          <cell r="B125" t="str">
            <v>HIDRAPLUS COCO 45 MEQ</v>
          </cell>
          <cell r="C125" t="str">
            <v>EA</v>
          </cell>
          <cell r="D125" t="str">
            <v>BX</v>
          </cell>
          <cell r="E125">
            <v>24</v>
          </cell>
          <cell r="F125" t="str">
            <v>EA</v>
          </cell>
        </row>
        <row r="126">
          <cell r="A126" t="str">
            <v>ARL3333</v>
          </cell>
          <cell r="B126" t="str">
            <v>HIDRAPLUS FRESA 45 MEQ</v>
          </cell>
          <cell r="C126" t="str">
            <v>EA</v>
          </cell>
          <cell r="D126" t="str">
            <v>BX</v>
          </cell>
          <cell r="E126">
            <v>24</v>
          </cell>
          <cell r="F126" t="str">
            <v>EA</v>
          </cell>
        </row>
        <row r="127">
          <cell r="A127" t="str">
            <v>ARL3343</v>
          </cell>
          <cell r="B127" t="str">
            <v>HIDRAPLUS UVA 45 MEQ</v>
          </cell>
          <cell r="C127" t="str">
            <v>EA</v>
          </cell>
          <cell r="D127" t="str">
            <v>BX</v>
          </cell>
          <cell r="E127">
            <v>24</v>
          </cell>
          <cell r="F127" t="str">
            <v>EA</v>
          </cell>
        </row>
        <row r="128">
          <cell r="A128" t="str">
            <v>ARL3353</v>
          </cell>
          <cell r="B128" t="str">
            <v>HIDRAPLUS 90 MEQ NATURAL 500ML</v>
          </cell>
          <cell r="C128" t="str">
            <v>EA</v>
          </cell>
          <cell r="D128" t="str">
            <v>BX</v>
          </cell>
          <cell r="E128">
            <v>24</v>
          </cell>
          <cell r="F128" t="str">
            <v>EA</v>
          </cell>
        </row>
        <row r="129">
          <cell r="A129" t="str">
            <v>ARL3363</v>
          </cell>
          <cell r="B129" t="str">
            <v>HIDRAPLUS 90 MEQ UVA 500ML</v>
          </cell>
          <cell r="C129" t="str">
            <v>EA</v>
          </cell>
          <cell r="D129" t="str">
            <v>BX</v>
          </cell>
          <cell r="E129">
            <v>24</v>
          </cell>
          <cell r="F129" t="str">
            <v>EA</v>
          </cell>
        </row>
        <row r="130">
          <cell r="A130" t="str">
            <v>ARL3373</v>
          </cell>
          <cell r="B130" t="str">
            <v>HIDRAPLUS COCO 30 MEQ</v>
          </cell>
          <cell r="C130" t="str">
            <v>EA</v>
          </cell>
          <cell r="D130" t="str">
            <v>BX</v>
          </cell>
          <cell r="E130">
            <v>24</v>
          </cell>
          <cell r="F130" t="str">
            <v>EA</v>
          </cell>
        </row>
        <row r="131">
          <cell r="A131" t="str">
            <v>ARL8030</v>
          </cell>
          <cell r="B131" t="str">
            <v>BOLSA TRAVASORB 1000</v>
          </cell>
          <cell r="C131" t="str">
            <v>EA</v>
          </cell>
          <cell r="D131" t="str">
            <v>BX</v>
          </cell>
          <cell r="E131">
            <v>70</v>
          </cell>
          <cell r="F131" t="str">
            <v>EA</v>
          </cell>
        </row>
        <row r="132">
          <cell r="A132" t="str">
            <v>ARM1278</v>
          </cell>
          <cell r="B132" t="str">
            <v>FILTRO HIDROFOBICO LOCAL</v>
          </cell>
          <cell r="C132" t="str">
            <v>EA</v>
          </cell>
          <cell r="D132" t="str">
            <v>BX</v>
          </cell>
          <cell r="E132">
            <v>100</v>
          </cell>
          <cell r="F132" t="str">
            <v>EA</v>
          </cell>
        </row>
        <row r="133">
          <cell r="A133" t="str">
            <v>ARM1278P</v>
          </cell>
          <cell r="B133" t="str">
            <v>FILTRO HIDROFOBICO LOCAL</v>
          </cell>
          <cell r="C133" t="str">
            <v>EA</v>
          </cell>
          <cell r="D133" t="str">
            <v>BX</v>
          </cell>
          <cell r="E133">
            <v>100</v>
          </cell>
          <cell r="F133" t="str">
            <v>EA</v>
          </cell>
        </row>
        <row r="134">
          <cell r="A134" t="str">
            <v>ARM4226</v>
          </cell>
          <cell r="B134" t="str">
            <v>MINI CAP PREPKIT P/DESCONEXION</v>
          </cell>
          <cell r="C134" t="str">
            <v>EA</v>
          </cell>
          <cell r="D134" t="str">
            <v>BX</v>
          </cell>
          <cell r="E134">
            <v>60</v>
          </cell>
          <cell r="F134" t="str">
            <v>EA</v>
          </cell>
        </row>
        <row r="135">
          <cell r="A135" t="str">
            <v>ARM4226D</v>
          </cell>
          <cell r="B135" t="str">
            <v>MINI CAP PREPKIT CINTA CON</v>
          </cell>
          <cell r="C135" t="str">
            <v>EA</v>
          </cell>
          <cell r="D135" t="str">
            <v>BX</v>
          </cell>
          <cell r="E135">
            <v>60</v>
          </cell>
          <cell r="F135" t="str">
            <v>EA</v>
          </cell>
        </row>
        <row r="136">
          <cell r="A136" t="str">
            <v>ARM4226P</v>
          </cell>
          <cell r="B136" t="str">
            <v>MINICAP PREP KIT</v>
          </cell>
          <cell r="C136" t="str">
            <v>EA</v>
          </cell>
          <cell r="D136" t="str">
            <v>BX</v>
          </cell>
          <cell r="E136">
            <v>60</v>
          </cell>
          <cell r="F136" t="str">
            <v>EA</v>
          </cell>
        </row>
        <row r="137">
          <cell r="A137" t="str">
            <v>ARM4234P</v>
          </cell>
          <cell r="B137" t="str">
            <v>PREP KIT STANDARD</v>
          </cell>
          <cell r="C137" t="str">
            <v>EA</v>
          </cell>
          <cell r="D137" t="str">
            <v>BX</v>
          </cell>
          <cell r="E137">
            <v>60</v>
          </cell>
          <cell r="F137" t="str">
            <v>EA</v>
          </cell>
        </row>
        <row r="138">
          <cell r="A138" t="str">
            <v>ARM4311</v>
          </cell>
          <cell r="B138" t="str">
            <v>EQUIPO EN Y DESECHABLE PARA CA</v>
          </cell>
          <cell r="C138" t="str">
            <v>EA</v>
          </cell>
          <cell r="D138" t="str">
            <v>BX</v>
          </cell>
          <cell r="E138">
            <v>60</v>
          </cell>
          <cell r="F138" t="str">
            <v>EA</v>
          </cell>
        </row>
        <row r="139">
          <cell r="A139" t="str">
            <v>ARM4466P</v>
          </cell>
          <cell r="B139" t="str">
            <v>MINICAP PREP KIT FONDO DE EMPL</v>
          </cell>
          <cell r="C139" t="str">
            <v>EA</v>
          </cell>
          <cell r="D139" t="str">
            <v>CA</v>
          </cell>
          <cell r="E139">
            <v>60</v>
          </cell>
          <cell r="F139" t="str">
            <v>EA</v>
          </cell>
        </row>
        <row r="140">
          <cell r="A140" t="str">
            <v>ARW0012</v>
          </cell>
          <cell r="B140" t="str">
            <v>CALFOSGAN POR 250 ML</v>
          </cell>
          <cell r="C140" t="str">
            <v>EA</v>
          </cell>
          <cell r="D140" t="str">
            <v>BX</v>
          </cell>
          <cell r="E140">
            <v>48</v>
          </cell>
          <cell r="F140" t="str">
            <v>EA</v>
          </cell>
        </row>
        <row r="141">
          <cell r="A141" t="str">
            <v>BRA6333</v>
          </cell>
          <cell r="B141" t="str">
            <v>NOVAMINE 15%</v>
          </cell>
          <cell r="C141" t="str">
            <v>EA</v>
          </cell>
          <cell r="D141" t="str">
            <v>BX</v>
          </cell>
          <cell r="E141">
            <v>10</v>
          </cell>
          <cell r="F141" t="str">
            <v>EA</v>
          </cell>
        </row>
        <row r="142">
          <cell r="A142" t="str">
            <v>BRB0063</v>
          </cell>
          <cell r="B142" t="str">
            <v>DEXTROSA AL 5% EN AGUA X 500ML</v>
          </cell>
          <cell r="C142" t="str">
            <v>EA</v>
          </cell>
          <cell r="D142" t="str">
            <v>BX</v>
          </cell>
          <cell r="E142">
            <v>30</v>
          </cell>
          <cell r="F142" t="str">
            <v>EA</v>
          </cell>
        </row>
        <row r="143">
          <cell r="A143" t="str">
            <v>BRB0064</v>
          </cell>
          <cell r="B143" t="str">
            <v>DEXTROS.AL 5% EN AGUA X 1000ML</v>
          </cell>
          <cell r="C143" t="str">
            <v>EA</v>
          </cell>
          <cell r="D143" t="str">
            <v>BX</v>
          </cell>
          <cell r="E143">
            <v>18</v>
          </cell>
          <cell r="F143" t="str">
            <v>EA</v>
          </cell>
        </row>
        <row r="144">
          <cell r="A144" t="str">
            <v>BRB0163</v>
          </cell>
          <cell r="B144" t="str">
            <v>DEXTROSA AL 10% EN AGUA X 500M</v>
          </cell>
          <cell r="C144" t="str">
            <v>EA</v>
          </cell>
          <cell r="D144" t="str">
            <v>BX</v>
          </cell>
          <cell r="E144">
            <v>30</v>
          </cell>
          <cell r="F144" t="str">
            <v>EA</v>
          </cell>
        </row>
        <row r="145">
          <cell r="A145" t="str">
            <v>BRB0303</v>
          </cell>
          <cell r="B145" t="str">
            <v>AGUA ESTERIL PARA INYECCION X</v>
          </cell>
          <cell r="C145" t="str">
            <v>EA</v>
          </cell>
          <cell r="D145" t="str">
            <v>BX</v>
          </cell>
          <cell r="E145">
            <v>30</v>
          </cell>
          <cell r="F145" t="str">
            <v>EA</v>
          </cell>
        </row>
        <row r="146">
          <cell r="A146" t="str">
            <v>BRB1063</v>
          </cell>
          <cell r="B146" t="str">
            <v>DEXTROSA AL 5% EN SALINA X 500</v>
          </cell>
          <cell r="C146" t="str">
            <v>EA</v>
          </cell>
          <cell r="D146" t="str">
            <v>BX</v>
          </cell>
          <cell r="E146">
            <v>30</v>
          </cell>
          <cell r="F146" t="str">
            <v>EA</v>
          </cell>
        </row>
        <row r="147">
          <cell r="A147" t="str">
            <v>BRB1323</v>
          </cell>
          <cell r="B147" t="str">
            <v>CLORURO DE SODIO 0.9% X 500ML</v>
          </cell>
          <cell r="C147" t="str">
            <v>EA</v>
          </cell>
          <cell r="D147" t="str">
            <v>BX</v>
          </cell>
          <cell r="E147">
            <v>30</v>
          </cell>
          <cell r="F147" t="str">
            <v>EA</v>
          </cell>
        </row>
        <row r="148">
          <cell r="A148" t="str">
            <v>BRB1324</v>
          </cell>
          <cell r="B148" t="str">
            <v>CLORURO DE SODIO 0.9% X 1000ML</v>
          </cell>
          <cell r="C148" t="str">
            <v>EA</v>
          </cell>
          <cell r="D148" t="str">
            <v>BX</v>
          </cell>
          <cell r="E148">
            <v>18</v>
          </cell>
          <cell r="F148" t="str">
            <v>EA</v>
          </cell>
        </row>
        <row r="149">
          <cell r="A149" t="str">
            <v>BRB2303</v>
          </cell>
          <cell r="B149" t="str">
            <v>SOLUCION DE RINGER X 500ML</v>
          </cell>
          <cell r="C149" t="str">
            <v>EA</v>
          </cell>
          <cell r="D149" t="str">
            <v>BX</v>
          </cell>
          <cell r="E149">
            <v>30</v>
          </cell>
          <cell r="F149" t="str">
            <v>EA</v>
          </cell>
        </row>
        <row r="150">
          <cell r="A150" t="str">
            <v>BRB2323</v>
          </cell>
          <cell r="B150" t="str">
            <v>SOL RINGER Y LACT SODIO X 500M</v>
          </cell>
          <cell r="C150" t="str">
            <v>EA</v>
          </cell>
          <cell r="D150" t="str">
            <v>BX</v>
          </cell>
          <cell r="E150">
            <v>30</v>
          </cell>
          <cell r="F150" t="str">
            <v>EA</v>
          </cell>
        </row>
        <row r="151">
          <cell r="A151" t="str">
            <v>BRB2324</v>
          </cell>
          <cell r="B151" t="str">
            <v>INY DE LACTATO DE RINGER X 100</v>
          </cell>
          <cell r="C151" t="str">
            <v>EA</v>
          </cell>
          <cell r="D151" t="str">
            <v>BX</v>
          </cell>
          <cell r="E151">
            <v>18</v>
          </cell>
          <cell r="F151" t="str">
            <v>EA</v>
          </cell>
        </row>
        <row r="152">
          <cell r="A152" t="str">
            <v>BRB3401</v>
          </cell>
          <cell r="B152" t="str">
            <v>MANUFACTURA FLAGYL</v>
          </cell>
          <cell r="C152" t="str">
            <v>EA</v>
          </cell>
          <cell r="D152" t="str">
            <v>BX</v>
          </cell>
          <cell r="E152">
            <v>70</v>
          </cell>
          <cell r="F152" t="str">
            <v>EA</v>
          </cell>
        </row>
        <row r="153">
          <cell r="A153" t="str">
            <v>BRB3404</v>
          </cell>
          <cell r="B153" t="str">
            <v>MANUFACTURA FLAGYL</v>
          </cell>
          <cell r="C153" t="str">
            <v>EA</v>
          </cell>
          <cell r="D153" t="str">
            <v>BX</v>
          </cell>
          <cell r="E153">
            <v>45</v>
          </cell>
          <cell r="F153" t="str">
            <v>EA</v>
          </cell>
        </row>
        <row r="154">
          <cell r="A154" t="str">
            <v>BRB6483</v>
          </cell>
          <cell r="B154" t="str">
            <v>TRAVASOL 5.5% CON ELECTROLITOS</v>
          </cell>
          <cell r="C154" t="str">
            <v>EA</v>
          </cell>
          <cell r="D154" t="str">
            <v>BX</v>
          </cell>
          <cell r="E154">
            <v>24</v>
          </cell>
          <cell r="F154" t="str">
            <v>EA</v>
          </cell>
        </row>
        <row r="155">
          <cell r="A155" t="str">
            <v>BRB6553</v>
          </cell>
          <cell r="B155" t="str">
            <v>TRAVASOL 3.5% CON ELECTROLITOS</v>
          </cell>
          <cell r="C155" t="str">
            <v>EA</v>
          </cell>
          <cell r="D155" t="str">
            <v>BX</v>
          </cell>
          <cell r="E155">
            <v>24</v>
          </cell>
          <cell r="F155" t="str">
            <v>EA</v>
          </cell>
        </row>
        <row r="156">
          <cell r="A156" t="str">
            <v>BRB6613</v>
          </cell>
          <cell r="B156" t="str">
            <v>TRAVASOL 8.5% SIN ELECTROLITOS</v>
          </cell>
          <cell r="C156" t="str">
            <v>EA</v>
          </cell>
          <cell r="D156" t="str">
            <v>BX</v>
          </cell>
          <cell r="E156">
            <v>24</v>
          </cell>
          <cell r="F156" t="str">
            <v>EA</v>
          </cell>
        </row>
        <row r="157">
          <cell r="A157" t="str">
            <v>BRB6623</v>
          </cell>
          <cell r="B157" t="str">
            <v>TRAVASOL AL 10% SIN ELECTROLIT</v>
          </cell>
          <cell r="C157" t="str">
            <v>EA</v>
          </cell>
          <cell r="D157" t="str">
            <v>BX</v>
          </cell>
          <cell r="E157">
            <v>24</v>
          </cell>
          <cell r="F157" t="str">
            <v>EA</v>
          </cell>
        </row>
        <row r="158">
          <cell r="A158" t="str">
            <v>BRB7701</v>
          </cell>
          <cell r="B158" t="str">
            <v>CLINIMIX 2.75/5</v>
          </cell>
          <cell r="C158" t="str">
            <v>EA</v>
          </cell>
          <cell r="D158" t="str">
            <v>BX</v>
          </cell>
          <cell r="E158">
            <v>4</v>
          </cell>
          <cell r="F158" t="str">
            <v>EA</v>
          </cell>
        </row>
        <row r="159">
          <cell r="A159" t="str">
            <v>BRB7704</v>
          </cell>
          <cell r="B159" t="str">
            <v>CLINIMIX 4.25/5</v>
          </cell>
          <cell r="C159" t="str">
            <v>EA</v>
          </cell>
          <cell r="D159" t="str">
            <v>BX</v>
          </cell>
          <cell r="E159">
            <v>4</v>
          </cell>
          <cell r="F159" t="str">
            <v>EA</v>
          </cell>
        </row>
        <row r="160">
          <cell r="A160" t="str">
            <v>BRB7709</v>
          </cell>
          <cell r="B160" t="str">
            <v>CLINIMIX 5/15</v>
          </cell>
          <cell r="C160" t="str">
            <v>EA</v>
          </cell>
          <cell r="D160" t="str">
            <v>BX</v>
          </cell>
          <cell r="E160">
            <v>4</v>
          </cell>
          <cell r="F160" t="str">
            <v>EA</v>
          </cell>
        </row>
        <row r="161">
          <cell r="A161" t="str">
            <v>BRB7710</v>
          </cell>
          <cell r="B161" t="str">
            <v>CLINIMIX 5/20</v>
          </cell>
          <cell r="C161" t="str">
            <v>EA</v>
          </cell>
          <cell r="D161" t="str">
            <v>BX</v>
          </cell>
          <cell r="E161">
            <v>4</v>
          </cell>
          <cell r="F161" t="str">
            <v>EA</v>
          </cell>
        </row>
        <row r="162">
          <cell r="A162" t="str">
            <v>BRB7711</v>
          </cell>
          <cell r="B162" t="str">
            <v>CLINIMIX 5/25</v>
          </cell>
          <cell r="C162" t="str">
            <v>EA</v>
          </cell>
          <cell r="D162" t="str">
            <v>BX</v>
          </cell>
          <cell r="E162">
            <v>4</v>
          </cell>
          <cell r="F162" t="str">
            <v>EA</v>
          </cell>
        </row>
        <row r="163">
          <cell r="A163" t="str">
            <v>BRB7713</v>
          </cell>
          <cell r="B163" t="str">
            <v>CLINIMIX E 2.75/5</v>
          </cell>
          <cell r="C163" t="str">
            <v>EA</v>
          </cell>
          <cell r="D163" t="str">
            <v>BX</v>
          </cell>
          <cell r="E163">
            <v>4</v>
          </cell>
          <cell r="F163" t="str">
            <v>EA</v>
          </cell>
        </row>
        <row r="164">
          <cell r="A164" t="str">
            <v>BRB7716</v>
          </cell>
          <cell r="B164" t="str">
            <v>CLINIMIX E 4.25/5</v>
          </cell>
          <cell r="C164" t="str">
            <v>EA</v>
          </cell>
          <cell r="D164" t="str">
            <v>BX</v>
          </cell>
          <cell r="E164">
            <v>4</v>
          </cell>
          <cell r="F164" t="str">
            <v>EA</v>
          </cell>
        </row>
        <row r="165">
          <cell r="A165" t="str">
            <v>BRB7721</v>
          </cell>
          <cell r="B165" t="str">
            <v>CLINIMIX E 5/15</v>
          </cell>
          <cell r="C165" t="str">
            <v>EA</v>
          </cell>
          <cell r="D165" t="str">
            <v>BX</v>
          </cell>
          <cell r="E165">
            <v>4</v>
          </cell>
          <cell r="F165" t="str">
            <v>EA</v>
          </cell>
        </row>
        <row r="166">
          <cell r="A166" t="str">
            <v>BRB7722</v>
          </cell>
          <cell r="B166" t="str">
            <v>CLINIMIX E 5/20</v>
          </cell>
          <cell r="C166" t="str">
            <v>EA</v>
          </cell>
          <cell r="D166" t="str">
            <v>BX</v>
          </cell>
          <cell r="E166">
            <v>4</v>
          </cell>
          <cell r="F166" t="str">
            <v>EA</v>
          </cell>
        </row>
        <row r="167">
          <cell r="A167" t="str">
            <v>BRB7723</v>
          </cell>
          <cell r="B167" t="str">
            <v>CLINIMIX E 5/25</v>
          </cell>
          <cell r="C167" t="str">
            <v>EA</v>
          </cell>
          <cell r="D167" t="str">
            <v>BX</v>
          </cell>
          <cell r="E167">
            <v>4</v>
          </cell>
          <cell r="F167" t="str">
            <v>EA</v>
          </cell>
        </row>
        <row r="168">
          <cell r="A168" t="str">
            <v>BRB8005</v>
          </cell>
          <cell r="B168" t="str">
            <v>B. GRAVED 1L PVC</v>
          </cell>
          <cell r="C168" t="str">
            <v>EA</v>
          </cell>
          <cell r="D168" t="str">
            <v>BX</v>
          </cell>
          <cell r="E168">
            <v>70</v>
          </cell>
          <cell r="F168" t="str">
            <v>EA</v>
          </cell>
        </row>
        <row r="169">
          <cell r="A169" t="str">
            <v>BRD0021</v>
          </cell>
          <cell r="B169" t="str">
            <v>TRAVAD 1500</v>
          </cell>
          <cell r="C169" t="str">
            <v>EA</v>
          </cell>
          <cell r="D169" t="str">
            <v>CA</v>
          </cell>
          <cell r="E169">
            <v>40</v>
          </cell>
          <cell r="F169" t="str">
            <v>EA</v>
          </cell>
        </row>
        <row r="170">
          <cell r="A170" t="str">
            <v>BRD0202</v>
          </cell>
          <cell r="B170" t="str">
            <v>NUTRIFLO (GAVAGE CONTAINER)</v>
          </cell>
          <cell r="C170" t="str">
            <v>EA</v>
          </cell>
          <cell r="D170" t="str">
            <v>BX</v>
          </cell>
          <cell r="E170">
            <v>40</v>
          </cell>
          <cell r="F170" t="str">
            <v>EA</v>
          </cell>
        </row>
        <row r="171">
          <cell r="A171" t="str">
            <v>BRM6503G</v>
          </cell>
          <cell r="B171" t="str">
            <v>HEMOSOL 34 ESTANDAR 140</v>
          </cell>
          <cell r="C171" t="str">
            <v>EA</v>
          </cell>
          <cell r="D171" t="str">
            <v>BX</v>
          </cell>
          <cell r="E171">
            <v>4</v>
          </cell>
          <cell r="F171" t="str">
            <v>EA</v>
          </cell>
        </row>
        <row r="172">
          <cell r="A172" t="str">
            <v>BRM6504</v>
          </cell>
          <cell r="B172" t="str">
            <v>HEMOSOL BICARBONATO GARRAFA</v>
          </cell>
          <cell r="C172" t="str">
            <v>EA</v>
          </cell>
          <cell r="D172" t="str">
            <v>BX</v>
          </cell>
          <cell r="E172">
            <v>4</v>
          </cell>
          <cell r="F172" t="str">
            <v>EA</v>
          </cell>
        </row>
        <row r="173">
          <cell r="A173" t="str">
            <v>BRM6504G</v>
          </cell>
          <cell r="B173" t="str">
            <v>HEMOSOL BICARBONATO 3,78 LT</v>
          </cell>
          <cell r="C173" t="str">
            <v>EA</v>
          </cell>
          <cell r="D173" t="str">
            <v>BX</v>
          </cell>
          <cell r="E173">
            <v>4</v>
          </cell>
          <cell r="F173" t="str">
            <v>EA</v>
          </cell>
        </row>
        <row r="174">
          <cell r="A174" t="str">
            <v>BRM6505</v>
          </cell>
          <cell r="B174" t="str">
            <v>HEMOSOL ACIDO GARRAFA 378 LT</v>
          </cell>
          <cell r="C174" t="str">
            <v>EA</v>
          </cell>
          <cell r="D174" t="str">
            <v>BX</v>
          </cell>
          <cell r="E174">
            <v>4</v>
          </cell>
          <cell r="F174" t="str">
            <v>EA</v>
          </cell>
        </row>
        <row r="175">
          <cell r="A175" t="str">
            <v>BRM6505G</v>
          </cell>
          <cell r="B175" t="str">
            <v>HEMOSOL ACIDO 3,78 LT GARRAFA</v>
          </cell>
          <cell r="C175" t="str">
            <v>EA</v>
          </cell>
          <cell r="D175" t="str">
            <v>BX</v>
          </cell>
          <cell r="E175">
            <v>4</v>
          </cell>
          <cell r="F175" t="str">
            <v>EA</v>
          </cell>
        </row>
        <row r="176">
          <cell r="A176" t="str">
            <v>BRM7155</v>
          </cell>
          <cell r="B176" t="str">
            <v>HEMOSOL POTASIO NA-140</v>
          </cell>
          <cell r="C176" t="str">
            <v>EA</v>
          </cell>
          <cell r="D176" t="str">
            <v>CA</v>
          </cell>
          <cell r="E176">
            <v>5</v>
          </cell>
          <cell r="F176" t="str">
            <v>EA</v>
          </cell>
        </row>
        <row r="177">
          <cell r="A177" t="str">
            <v>BRM7156</v>
          </cell>
          <cell r="B177" t="str">
            <v>HEMOSOL LIBRE DE POTASIO NA-14</v>
          </cell>
          <cell r="C177" t="str">
            <v>EA</v>
          </cell>
          <cell r="D177" t="str">
            <v>BX</v>
          </cell>
          <cell r="E177">
            <v>5</v>
          </cell>
          <cell r="F177" t="str">
            <v>EA</v>
          </cell>
        </row>
        <row r="178">
          <cell r="A178" t="str">
            <v>BRM7156B</v>
          </cell>
          <cell r="B178" t="str">
            <v>HEMOSOL LIBRE DE POTASIO NA-14</v>
          </cell>
          <cell r="C178" t="str">
            <v>EA</v>
          </cell>
          <cell r="D178" t="str">
            <v>BX</v>
          </cell>
          <cell r="E178">
            <v>5</v>
          </cell>
          <cell r="F178" t="str">
            <v>EA</v>
          </cell>
        </row>
        <row r="179">
          <cell r="A179" t="str">
            <v>BRM7198</v>
          </cell>
          <cell r="B179" t="str">
            <v>HEMOSOL 34 ESTANDAR NA-140</v>
          </cell>
          <cell r="C179" t="str">
            <v>EA</v>
          </cell>
          <cell r="D179" t="str">
            <v>BX</v>
          </cell>
          <cell r="E179">
            <v>5</v>
          </cell>
          <cell r="F179" t="str">
            <v>EA</v>
          </cell>
        </row>
        <row r="180">
          <cell r="A180" t="str">
            <v>BRM7198B</v>
          </cell>
          <cell r="B180" t="str">
            <v>HEMOSOL 34 ESTANDAR NA-140</v>
          </cell>
          <cell r="C180" t="str">
            <v>EA</v>
          </cell>
          <cell r="D180" t="str">
            <v>BX</v>
          </cell>
          <cell r="E180">
            <v>5</v>
          </cell>
          <cell r="F180" t="str">
            <v>EA</v>
          </cell>
        </row>
        <row r="181">
          <cell r="A181" t="str">
            <v>BRM7198G</v>
          </cell>
          <cell r="B181" t="str">
            <v>HEMOSOL 34 ESTANDAR NA-140 GAR</v>
          </cell>
          <cell r="C181" t="str">
            <v>EA</v>
          </cell>
          <cell r="D181" t="str">
            <v>BX</v>
          </cell>
          <cell r="E181">
            <v>4</v>
          </cell>
          <cell r="F181" t="str">
            <v>EA</v>
          </cell>
        </row>
        <row r="182">
          <cell r="A182" t="str">
            <v>BRM7216</v>
          </cell>
          <cell r="B182" t="str">
            <v>HEMOSOL ACIDO</v>
          </cell>
          <cell r="C182" t="str">
            <v>EA</v>
          </cell>
          <cell r="D182" t="str">
            <v>BX</v>
          </cell>
          <cell r="E182">
            <v>4</v>
          </cell>
          <cell r="F182" t="str">
            <v>EA</v>
          </cell>
        </row>
        <row r="183">
          <cell r="A183" t="str">
            <v>BRM7216B</v>
          </cell>
          <cell r="B183" t="str">
            <v>HEMOSOL ACIDO EN BOLSA</v>
          </cell>
          <cell r="C183" t="str">
            <v>EA</v>
          </cell>
          <cell r="D183" t="str">
            <v>BX</v>
          </cell>
          <cell r="E183">
            <v>5</v>
          </cell>
          <cell r="F183" t="str">
            <v>EA</v>
          </cell>
        </row>
        <row r="184">
          <cell r="A184" t="str">
            <v>BRM7709B</v>
          </cell>
          <cell r="B184" t="str">
            <v>HEMOSOL CONCENTRADO DE BICARBO</v>
          </cell>
          <cell r="C184" t="str">
            <v>EA</v>
          </cell>
          <cell r="D184" t="str">
            <v>BX</v>
          </cell>
          <cell r="E184">
            <v>5</v>
          </cell>
          <cell r="F184" t="str">
            <v>EA</v>
          </cell>
        </row>
        <row r="185">
          <cell r="A185" t="str">
            <v>BRR2001</v>
          </cell>
          <cell r="B185" t="str">
            <v>BOLSA TRANSFER X 150ML</v>
          </cell>
          <cell r="C185" t="str">
            <v>EA</v>
          </cell>
          <cell r="D185" t="str">
            <v>BX</v>
          </cell>
          <cell r="E185">
            <v>150</v>
          </cell>
          <cell r="F185" t="str">
            <v>EA</v>
          </cell>
        </row>
        <row r="186">
          <cell r="A186" t="str">
            <v>CRB0060</v>
          </cell>
          <cell r="B186" t="str">
            <v>DEXTROSA AL 5% X 100/50 ML</v>
          </cell>
          <cell r="C186" t="str">
            <v>EA</v>
          </cell>
          <cell r="D186" t="str">
            <v>BX</v>
          </cell>
          <cell r="E186">
            <v>60</v>
          </cell>
          <cell r="F186" t="str">
            <v>EA</v>
          </cell>
        </row>
        <row r="187">
          <cell r="A187" t="str">
            <v>CRB0062</v>
          </cell>
          <cell r="B187" t="str">
            <v>DEXTROSA AL 5% X 250 ML PERU</v>
          </cell>
          <cell r="C187" t="str">
            <v>EA</v>
          </cell>
          <cell r="D187" t="str">
            <v>BX</v>
          </cell>
          <cell r="E187">
            <v>48</v>
          </cell>
          <cell r="F187" t="str">
            <v>EA</v>
          </cell>
        </row>
        <row r="188">
          <cell r="A188" t="str">
            <v>CRB0063</v>
          </cell>
          <cell r="B188" t="str">
            <v>DEXTROSA 5% 500ML PERU</v>
          </cell>
          <cell r="C188" t="str">
            <v>EA</v>
          </cell>
          <cell r="D188" t="str">
            <v>BX</v>
          </cell>
          <cell r="E188">
            <v>30</v>
          </cell>
          <cell r="F188" t="str">
            <v>EA</v>
          </cell>
        </row>
        <row r="189">
          <cell r="A189" t="str">
            <v>CRB0064</v>
          </cell>
          <cell r="B189" t="str">
            <v>DEXTROSA 5% X 1 LT PERU</v>
          </cell>
          <cell r="C189" t="str">
            <v>EA</v>
          </cell>
          <cell r="D189" t="str">
            <v>BX</v>
          </cell>
          <cell r="E189">
            <v>16</v>
          </cell>
          <cell r="F189" t="str">
            <v>EA</v>
          </cell>
        </row>
        <row r="190">
          <cell r="A190" t="str">
            <v>CRB0163</v>
          </cell>
          <cell r="B190" t="str">
            <v>DEXTROSA AL 10% EN AGUA X 500M</v>
          </cell>
          <cell r="C190" t="str">
            <v>EA</v>
          </cell>
          <cell r="D190" t="str">
            <v>BX</v>
          </cell>
          <cell r="E190">
            <v>30</v>
          </cell>
          <cell r="F190" t="str">
            <v>EA</v>
          </cell>
        </row>
        <row r="191">
          <cell r="A191" t="str">
            <v>CRB0253</v>
          </cell>
          <cell r="B191" t="str">
            <v>DEXTROSA AL 50% EN AGUA X 500M</v>
          </cell>
          <cell r="C191" t="str">
            <v>EA</v>
          </cell>
          <cell r="D191" t="str">
            <v>BX</v>
          </cell>
          <cell r="E191">
            <v>30</v>
          </cell>
          <cell r="F191" t="str">
            <v>EA</v>
          </cell>
        </row>
        <row r="192">
          <cell r="A192" t="str">
            <v>CRB1063</v>
          </cell>
          <cell r="B192" t="str">
            <v>DEXTROSA AL 5% EN SALINA X 500</v>
          </cell>
          <cell r="C192" t="str">
            <v>EA</v>
          </cell>
          <cell r="D192" t="str">
            <v>BX</v>
          </cell>
          <cell r="E192">
            <v>30</v>
          </cell>
          <cell r="F192" t="str">
            <v>EA</v>
          </cell>
        </row>
        <row r="193">
          <cell r="A193" t="str">
            <v>CRB1064</v>
          </cell>
          <cell r="B193" t="str">
            <v>DEXTROSA 5% NACL .9% X 1000ML</v>
          </cell>
          <cell r="C193" t="str">
            <v>EA</v>
          </cell>
          <cell r="D193" t="str">
            <v>BX</v>
          </cell>
          <cell r="E193">
            <v>18</v>
          </cell>
          <cell r="F193" t="str">
            <v>EA</v>
          </cell>
        </row>
        <row r="194">
          <cell r="A194" t="str">
            <v>CRB1301</v>
          </cell>
          <cell r="B194" t="str">
            <v>SOLUCION SALINA X 50ML PERU</v>
          </cell>
          <cell r="C194" t="str">
            <v>EA</v>
          </cell>
          <cell r="D194" t="str">
            <v>CA</v>
          </cell>
          <cell r="E194">
            <v>60</v>
          </cell>
          <cell r="F194" t="str">
            <v>EA</v>
          </cell>
        </row>
        <row r="195">
          <cell r="A195" t="str">
            <v>CRB1302</v>
          </cell>
          <cell r="B195" t="str">
            <v>CLORURO SODIO 0.9% 100/50ML PE</v>
          </cell>
          <cell r="C195" t="str">
            <v>EA</v>
          </cell>
          <cell r="D195" t="str">
            <v>BX</v>
          </cell>
          <cell r="E195">
            <v>60</v>
          </cell>
          <cell r="F195" t="str">
            <v>EA</v>
          </cell>
        </row>
        <row r="196">
          <cell r="A196" t="str">
            <v>CRB1322</v>
          </cell>
          <cell r="B196" t="str">
            <v>CLORURO SODIO 250 ML PERU</v>
          </cell>
          <cell r="C196" t="str">
            <v>EA</v>
          </cell>
          <cell r="D196" t="str">
            <v>BX</v>
          </cell>
          <cell r="E196">
            <v>48</v>
          </cell>
          <cell r="F196" t="str">
            <v>EA</v>
          </cell>
        </row>
        <row r="197">
          <cell r="A197" t="str">
            <v>CRB1323</v>
          </cell>
          <cell r="B197" t="str">
            <v>CLORURO SODIO 500 ML PERU</v>
          </cell>
          <cell r="C197" t="str">
            <v>EA</v>
          </cell>
          <cell r="D197" t="str">
            <v>BX</v>
          </cell>
          <cell r="E197">
            <v>30</v>
          </cell>
          <cell r="F197" t="str">
            <v>EA</v>
          </cell>
        </row>
        <row r="198">
          <cell r="A198" t="str">
            <v>CRB1324</v>
          </cell>
          <cell r="B198" t="str">
            <v>CLORURO SODIO 1 LT PERU</v>
          </cell>
          <cell r="C198" t="str">
            <v>EA</v>
          </cell>
          <cell r="D198" t="str">
            <v>BX</v>
          </cell>
          <cell r="E198">
            <v>16</v>
          </cell>
          <cell r="F198" t="str">
            <v>EA</v>
          </cell>
        </row>
        <row r="199">
          <cell r="A199" t="str">
            <v>CRB2323</v>
          </cell>
          <cell r="B199" t="str">
            <v>RINGER Y LACTATO NA 500 ML PER</v>
          </cell>
          <cell r="C199" t="str">
            <v>EA</v>
          </cell>
          <cell r="D199" t="str">
            <v>BX</v>
          </cell>
          <cell r="E199">
            <v>30</v>
          </cell>
          <cell r="F199" t="str">
            <v>EA</v>
          </cell>
        </row>
        <row r="200">
          <cell r="A200" t="str">
            <v>CRB2324</v>
          </cell>
          <cell r="B200" t="str">
            <v>RINGER Y LACTATO NA 1 LT PERU</v>
          </cell>
          <cell r="C200" t="str">
            <v>EA</v>
          </cell>
          <cell r="D200" t="str">
            <v>BX</v>
          </cell>
          <cell r="E200">
            <v>16</v>
          </cell>
          <cell r="F200" t="str">
            <v>EA</v>
          </cell>
        </row>
        <row r="201">
          <cell r="A201" t="str">
            <v>CRB5161</v>
          </cell>
          <cell r="B201" t="str">
            <v>DIANEAL 1.5% DEXT .5/1 LT PERU</v>
          </cell>
          <cell r="C201" t="str">
            <v>EA</v>
          </cell>
          <cell r="D201" t="str">
            <v>BX</v>
          </cell>
          <cell r="E201">
            <v>20</v>
          </cell>
          <cell r="F201" t="str">
            <v>EA</v>
          </cell>
        </row>
        <row r="202">
          <cell r="A202" t="str">
            <v>CRB5167</v>
          </cell>
          <cell r="B202" t="str">
            <v>DIANEAL 1.5% DEXT 2/3 LT PERU</v>
          </cell>
          <cell r="C202" t="str">
            <v>EA</v>
          </cell>
          <cell r="D202" t="str">
            <v>BX</v>
          </cell>
          <cell r="E202">
            <v>8</v>
          </cell>
          <cell r="F202" t="str">
            <v>EA</v>
          </cell>
        </row>
        <row r="203">
          <cell r="A203" t="str">
            <v>CRB5177</v>
          </cell>
          <cell r="B203" t="str">
            <v>DIANEAL 2.5% DEXT 2/3 LT PERU</v>
          </cell>
          <cell r="C203" t="str">
            <v>EA</v>
          </cell>
          <cell r="D203" t="str">
            <v>BX</v>
          </cell>
          <cell r="E203">
            <v>8</v>
          </cell>
          <cell r="F203" t="str">
            <v>EA</v>
          </cell>
        </row>
        <row r="204">
          <cell r="A204" t="str">
            <v>CRB5187</v>
          </cell>
          <cell r="B204" t="str">
            <v>DIANEAL 4.25% DEXT 2/3 LT PERU</v>
          </cell>
          <cell r="C204" t="str">
            <v>EA</v>
          </cell>
          <cell r="D204" t="str">
            <v>BX</v>
          </cell>
          <cell r="E204">
            <v>8</v>
          </cell>
          <cell r="F204" t="str">
            <v>EA</v>
          </cell>
        </row>
        <row r="205">
          <cell r="A205" t="str">
            <v>CRB5193</v>
          </cell>
          <cell r="B205" t="str">
            <v>DIANEAL 1.5% DEXT 5L/5L SISTEM</v>
          </cell>
          <cell r="C205" t="str">
            <v>EA</v>
          </cell>
          <cell r="D205" t="str">
            <v>CA</v>
          </cell>
          <cell r="E205">
            <v>3</v>
          </cell>
          <cell r="F205" t="str">
            <v>EA</v>
          </cell>
        </row>
        <row r="206">
          <cell r="A206" t="str">
            <v>CRB5194</v>
          </cell>
          <cell r="B206" t="str">
            <v>DIANEAL 2.5% DEXT 5L/5L SISTEM</v>
          </cell>
          <cell r="C206" t="str">
            <v>EA</v>
          </cell>
          <cell r="D206" t="str">
            <v>CA</v>
          </cell>
          <cell r="E206">
            <v>3</v>
          </cell>
          <cell r="F206" t="str">
            <v>EA</v>
          </cell>
        </row>
        <row r="207">
          <cell r="A207" t="str">
            <v>CRB5195</v>
          </cell>
          <cell r="B207" t="str">
            <v>DIANEAL 4.25% DEXT 5L/5L STEMA</v>
          </cell>
          <cell r="C207" t="str">
            <v>EA</v>
          </cell>
          <cell r="D207" t="str">
            <v>CA</v>
          </cell>
          <cell r="E207">
            <v>3</v>
          </cell>
          <cell r="F207" t="str">
            <v>EA</v>
          </cell>
        </row>
        <row r="208">
          <cell r="A208" t="str">
            <v>CRB6404</v>
          </cell>
          <cell r="B208" t="str">
            <v>TRAVASOL AL 10% CON</v>
          </cell>
          <cell r="C208" t="str">
            <v>EA</v>
          </cell>
          <cell r="D208" t="str">
            <v>BX</v>
          </cell>
          <cell r="E208">
            <v>12</v>
          </cell>
          <cell r="F208" t="str">
            <v>EA</v>
          </cell>
        </row>
        <row r="209">
          <cell r="A209" t="str">
            <v>CRB6437</v>
          </cell>
          <cell r="B209" t="str">
            <v>TRAVASOL 8.5% INYECCION DE</v>
          </cell>
          <cell r="C209" t="str">
            <v>EA</v>
          </cell>
          <cell r="D209" t="str">
            <v>BX</v>
          </cell>
          <cell r="E209">
            <v>20</v>
          </cell>
          <cell r="F209" t="str">
            <v>EA</v>
          </cell>
        </row>
        <row r="210">
          <cell r="A210" t="str">
            <v>CRB7317</v>
          </cell>
          <cell r="B210" t="str">
            <v>GLICINA PERU</v>
          </cell>
          <cell r="C210" t="str">
            <v>EA</v>
          </cell>
          <cell r="D210" t="str">
            <v>BX</v>
          </cell>
          <cell r="E210">
            <v>5</v>
          </cell>
          <cell r="F210" t="str">
            <v>EA</v>
          </cell>
        </row>
        <row r="211">
          <cell r="A211" t="str">
            <v>CRB7925</v>
          </cell>
          <cell r="B211" t="str">
            <v>AGUA ESTERIL P/IRRIGACION PERU</v>
          </cell>
          <cell r="C211" t="str">
            <v>EA</v>
          </cell>
          <cell r="D211" t="str">
            <v>CA</v>
          </cell>
          <cell r="E211">
            <v>5</v>
          </cell>
          <cell r="F211" t="str">
            <v>EA</v>
          </cell>
        </row>
        <row r="212">
          <cell r="A212" t="str">
            <v>CRB9806</v>
          </cell>
          <cell r="B212" t="str">
            <v>DIANEAL PD-2 CON DEXTROSA AL</v>
          </cell>
          <cell r="C212" t="str">
            <v>EA</v>
          </cell>
          <cell r="D212" t="str">
            <v>BX</v>
          </cell>
          <cell r="E212">
            <v>6</v>
          </cell>
          <cell r="F212" t="str">
            <v>EA</v>
          </cell>
        </row>
        <row r="213">
          <cell r="A213" t="str">
            <v>CRB9808</v>
          </cell>
          <cell r="B213" t="str">
            <v>DIANEAL PD-2 CON DEXTROSA AL</v>
          </cell>
          <cell r="C213" t="str">
            <v>EA</v>
          </cell>
          <cell r="D213" t="str">
            <v>BX</v>
          </cell>
          <cell r="E213">
            <v>6</v>
          </cell>
          <cell r="F213" t="str">
            <v>EA</v>
          </cell>
        </row>
        <row r="214">
          <cell r="A214" t="str">
            <v>CRB9816</v>
          </cell>
          <cell r="B214" t="str">
            <v>DIANEAL PD-2 CON DEXTROSA AL</v>
          </cell>
          <cell r="C214" t="str">
            <v>EA</v>
          </cell>
          <cell r="D214" t="str">
            <v>BX</v>
          </cell>
          <cell r="E214">
            <v>6</v>
          </cell>
          <cell r="F214" t="str">
            <v>EA</v>
          </cell>
        </row>
        <row r="215">
          <cell r="A215" t="str">
            <v>CRB9818</v>
          </cell>
          <cell r="B215" t="str">
            <v>DIANEAL PD-2 CON DEXTROSA AL</v>
          </cell>
          <cell r="C215" t="str">
            <v>EA</v>
          </cell>
          <cell r="D215" t="str">
            <v>BX</v>
          </cell>
          <cell r="E215">
            <v>6</v>
          </cell>
          <cell r="F215" t="str">
            <v>EA</v>
          </cell>
        </row>
        <row r="216">
          <cell r="A216" t="str">
            <v>CRB9826</v>
          </cell>
          <cell r="B216" t="str">
            <v>DIANEAL PD-2 CON DEXTROSA AL</v>
          </cell>
          <cell r="C216" t="str">
            <v>EA</v>
          </cell>
          <cell r="D216" t="str">
            <v>BX</v>
          </cell>
          <cell r="E216">
            <v>6</v>
          </cell>
          <cell r="F216" t="str">
            <v>EA</v>
          </cell>
        </row>
        <row r="217">
          <cell r="A217" t="str">
            <v>CRB9828</v>
          </cell>
          <cell r="B217" t="str">
            <v>DIANEAL PD-2 CON DEXTROSA AL</v>
          </cell>
          <cell r="C217" t="str">
            <v>EA</v>
          </cell>
          <cell r="D217" t="str">
            <v>BX</v>
          </cell>
          <cell r="E217">
            <v>6</v>
          </cell>
          <cell r="F217" t="str">
            <v>EA</v>
          </cell>
        </row>
        <row r="218">
          <cell r="A218" t="str">
            <v>CRD0001</v>
          </cell>
          <cell r="B218" t="str">
            <v>TRAVAD ENEMA FOSFATO PERU</v>
          </cell>
          <cell r="C218" t="str">
            <v>EA</v>
          </cell>
          <cell r="D218" t="str">
            <v>BX</v>
          </cell>
          <cell r="E218">
            <v>60</v>
          </cell>
          <cell r="F218" t="str">
            <v>EA</v>
          </cell>
        </row>
        <row r="219">
          <cell r="A219" t="str">
            <v>CRD5633</v>
          </cell>
          <cell r="B219" t="str">
            <v>OSMORIN (MANITOL) AL 20% X 500</v>
          </cell>
          <cell r="C219" t="str">
            <v>EA</v>
          </cell>
          <cell r="D219" t="str">
            <v>BX</v>
          </cell>
          <cell r="E219">
            <v>30</v>
          </cell>
          <cell r="F219" t="str">
            <v>EA</v>
          </cell>
        </row>
        <row r="220">
          <cell r="A220" t="str">
            <v>DRB0163</v>
          </cell>
          <cell r="B220" t="str">
            <v>DEXTROSA AL 10% EN AGUA X 500M</v>
          </cell>
          <cell r="C220" t="str">
            <v>EA</v>
          </cell>
          <cell r="D220" t="str">
            <v>BX</v>
          </cell>
          <cell r="E220">
            <v>30</v>
          </cell>
          <cell r="F220" t="str">
            <v>EA</v>
          </cell>
        </row>
        <row r="221">
          <cell r="A221" t="str">
            <v>DRB5178</v>
          </cell>
          <cell r="B221" t="str">
            <v>DIANEAL PD-2 C/2.5 DEXTR (2.5L</v>
          </cell>
          <cell r="C221" t="str">
            <v>EA</v>
          </cell>
          <cell r="D221" t="str">
            <v>BX</v>
          </cell>
          <cell r="E221">
            <v>6</v>
          </cell>
          <cell r="F221" t="str">
            <v>EA</v>
          </cell>
        </row>
        <row r="222">
          <cell r="A222" t="str">
            <v>DRB5193</v>
          </cell>
          <cell r="B222" t="str">
            <v>DIANEAL 1.5% DEXT 5L/5L SISTEM</v>
          </cell>
          <cell r="C222" t="str">
            <v>EA</v>
          </cell>
          <cell r="D222" t="str">
            <v>BX</v>
          </cell>
          <cell r="E222">
            <v>3</v>
          </cell>
          <cell r="F222" t="str">
            <v>EA</v>
          </cell>
        </row>
        <row r="223">
          <cell r="A223" t="str">
            <v>DRB5194</v>
          </cell>
          <cell r="B223" t="str">
            <v>DIANEAL 2.5% DEXT 5L/5L SISTEM</v>
          </cell>
          <cell r="C223" t="str">
            <v>EA</v>
          </cell>
          <cell r="D223" t="str">
            <v>BX</v>
          </cell>
          <cell r="E223">
            <v>3</v>
          </cell>
          <cell r="F223" t="str">
            <v>EA</v>
          </cell>
        </row>
        <row r="224">
          <cell r="A224" t="str">
            <v>DRB5195</v>
          </cell>
          <cell r="B224" t="str">
            <v>DIANEAL 4.25% DEXT 5L/5L STEMA</v>
          </cell>
          <cell r="C224" t="str">
            <v>EA</v>
          </cell>
          <cell r="D224" t="str">
            <v>BX</v>
          </cell>
          <cell r="E224">
            <v>3</v>
          </cell>
          <cell r="F224" t="str">
            <v>EA</v>
          </cell>
        </row>
        <row r="225">
          <cell r="A225" t="str">
            <v>D2926</v>
          </cell>
          <cell r="B225" t="str">
            <v>BOLSA CYSTOFLO P/DRENAJE URINA</v>
          </cell>
          <cell r="C225" t="str">
            <v>EA</v>
          </cell>
          <cell r="D225" t="str">
            <v>BX</v>
          </cell>
          <cell r="E225">
            <v>25</v>
          </cell>
          <cell r="F225" t="str">
            <v>EA</v>
          </cell>
        </row>
        <row r="226">
          <cell r="A226" t="str">
            <v>HRB3401</v>
          </cell>
          <cell r="B226" t="str">
            <v>FLAGYL P/EXPORT</v>
          </cell>
          <cell r="C226" t="str">
            <v>EA</v>
          </cell>
          <cell r="D226" t="str">
            <v>BX</v>
          </cell>
          <cell r="E226">
            <v>70</v>
          </cell>
          <cell r="F226" t="str">
            <v>EA</v>
          </cell>
        </row>
        <row r="227">
          <cell r="A227" t="str">
            <v>JRB3401</v>
          </cell>
          <cell r="B227" t="str">
            <v>INYECCION DE LAGYL (CHILE)</v>
          </cell>
          <cell r="C227" t="str">
            <v>EA</v>
          </cell>
          <cell r="D227" t="str">
            <v>BX</v>
          </cell>
          <cell r="E227">
            <v>70</v>
          </cell>
          <cell r="F227" t="str">
            <v>EA</v>
          </cell>
        </row>
        <row r="228">
          <cell r="A228" t="str">
            <v>KRA8504</v>
          </cell>
          <cell r="B228" t="str">
            <v>ADRENALINA</v>
          </cell>
          <cell r="C228" t="str">
            <v>EA</v>
          </cell>
          <cell r="D228" t="str">
            <v>BX</v>
          </cell>
          <cell r="E228">
            <v>25</v>
          </cell>
          <cell r="F228" t="str">
            <v>EA</v>
          </cell>
        </row>
        <row r="229">
          <cell r="A229" t="str">
            <v>KRA8505</v>
          </cell>
          <cell r="B229" t="str">
            <v>ATROPINA</v>
          </cell>
          <cell r="C229" t="str">
            <v>EA</v>
          </cell>
          <cell r="D229" t="str">
            <v>BX</v>
          </cell>
          <cell r="E229">
            <v>25</v>
          </cell>
          <cell r="F229" t="str">
            <v>EA</v>
          </cell>
        </row>
        <row r="230">
          <cell r="A230" t="str">
            <v>KRA8506</v>
          </cell>
          <cell r="B230" t="str">
            <v>BICARBONATO DE SODIO</v>
          </cell>
          <cell r="C230" t="str">
            <v>EA</v>
          </cell>
          <cell r="D230" t="str">
            <v>BX</v>
          </cell>
          <cell r="E230">
            <v>25</v>
          </cell>
          <cell r="F230" t="str">
            <v>EA</v>
          </cell>
        </row>
        <row r="231">
          <cell r="A231" t="str">
            <v>KRA8507</v>
          </cell>
          <cell r="B231" t="str">
            <v>SULFATO DE MAGNESIO</v>
          </cell>
          <cell r="C231" t="str">
            <v>EA</v>
          </cell>
          <cell r="D231" t="str">
            <v>BX</v>
          </cell>
          <cell r="E231">
            <v>25</v>
          </cell>
          <cell r="F231" t="str">
            <v>EA</v>
          </cell>
        </row>
        <row r="232">
          <cell r="A232" t="str">
            <v>KRA8508</v>
          </cell>
          <cell r="B232" t="str">
            <v>QUIBICALCIUM</v>
          </cell>
          <cell r="C232" t="str">
            <v>EA</v>
          </cell>
          <cell r="D232" t="str">
            <v>BX</v>
          </cell>
          <cell r="E232">
            <v>25</v>
          </cell>
          <cell r="F232" t="str">
            <v>EA</v>
          </cell>
        </row>
        <row r="233">
          <cell r="A233" t="str">
            <v>KRA8509</v>
          </cell>
          <cell r="B233" t="str">
            <v>NA-TROL</v>
          </cell>
          <cell r="C233" t="str">
            <v>EA</v>
          </cell>
          <cell r="D233" t="str">
            <v>BX</v>
          </cell>
          <cell r="E233">
            <v>25</v>
          </cell>
          <cell r="F233" t="str">
            <v>EA</v>
          </cell>
        </row>
        <row r="234">
          <cell r="A234" t="str">
            <v>KRA8510</v>
          </cell>
          <cell r="B234" t="str">
            <v>K-TROL</v>
          </cell>
          <cell r="C234" t="str">
            <v>EA</v>
          </cell>
          <cell r="D234" t="str">
            <v>BX</v>
          </cell>
          <cell r="E234">
            <v>25</v>
          </cell>
          <cell r="F234" t="str">
            <v>EA</v>
          </cell>
        </row>
        <row r="235">
          <cell r="A235" t="str">
            <v>KRB0063</v>
          </cell>
          <cell r="B235" t="str">
            <v>DEXTROSA AL 5% EN AGUA</v>
          </cell>
          <cell r="C235" t="str">
            <v>EA</v>
          </cell>
          <cell r="D235" t="str">
            <v>BX</v>
          </cell>
          <cell r="E235">
            <v>30</v>
          </cell>
          <cell r="F235" t="str">
            <v>EA</v>
          </cell>
        </row>
        <row r="236">
          <cell r="A236" t="str">
            <v>KRB1063</v>
          </cell>
          <cell r="B236" t="str">
            <v>DEXTROSA AL 5% EN SOLUCION</v>
          </cell>
          <cell r="C236" t="str">
            <v>EA</v>
          </cell>
          <cell r="D236" t="str">
            <v>BX</v>
          </cell>
          <cell r="E236">
            <v>30</v>
          </cell>
          <cell r="F236" t="str">
            <v>EA</v>
          </cell>
        </row>
        <row r="237">
          <cell r="A237" t="str">
            <v>KRB1323</v>
          </cell>
          <cell r="B237" t="str">
            <v>SOLUCION SALINA NORMAL (SUERO</v>
          </cell>
          <cell r="C237" t="str">
            <v>EA</v>
          </cell>
          <cell r="D237" t="str">
            <v>BX</v>
          </cell>
          <cell r="E237">
            <v>30</v>
          </cell>
          <cell r="F237" t="str">
            <v>EA</v>
          </cell>
        </row>
        <row r="238">
          <cell r="A238" t="str">
            <v>KRB2323</v>
          </cell>
          <cell r="B238" t="str">
            <v>LACTATO DE RINGER SOLUCION</v>
          </cell>
          <cell r="C238" t="str">
            <v>EA</v>
          </cell>
          <cell r="D238" t="str">
            <v>BX</v>
          </cell>
          <cell r="E238">
            <v>30</v>
          </cell>
          <cell r="F238" t="str">
            <v>EA</v>
          </cell>
        </row>
        <row r="239">
          <cell r="A239" t="str">
            <v>KRB8502</v>
          </cell>
          <cell r="B239" t="str">
            <v>BOLSA VETERINARIA VACIA</v>
          </cell>
          <cell r="C239" t="str">
            <v>EA</v>
          </cell>
          <cell r="D239" t="str">
            <v>BX</v>
          </cell>
          <cell r="E239">
            <v>25</v>
          </cell>
          <cell r="F239" t="str">
            <v>EA</v>
          </cell>
        </row>
        <row r="240">
          <cell r="A240" t="str">
            <v>MRC0001</v>
          </cell>
          <cell r="B240" t="str">
            <v>EQUIPO ADMON DE SOLUCIONES</v>
          </cell>
          <cell r="C240" t="str">
            <v>EA</v>
          </cell>
          <cell r="D240" t="str">
            <v>BX</v>
          </cell>
          <cell r="E240">
            <v>250</v>
          </cell>
          <cell r="F240" t="str">
            <v>EA</v>
          </cell>
        </row>
        <row r="241">
          <cell r="A241" t="str">
            <v>MRC0001P</v>
          </cell>
          <cell r="B241" t="str">
            <v>EQUIPO ADMON SOL PEEL POUCH</v>
          </cell>
          <cell r="C241" t="str">
            <v>EA</v>
          </cell>
          <cell r="D241" t="str">
            <v>BX</v>
          </cell>
          <cell r="E241">
            <v>160</v>
          </cell>
          <cell r="F241" t="str">
            <v>EA</v>
          </cell>
        </row>
        <row r="242">
          <cell r="A242" t="str">
            <v>MRC0002</v>
          </cell>
          <cell r="B242" t="str">
            <v>EQUIPO ADMON SOLUC C/MICROGOTE</v>
          </cell>
          <cell r="C242" t="str">
            <v>EA</v>
          </cell>
          <cell r="D242" t="str">
            <v>BX</v>
          </cell>
          <cell r="E242">
            <v>250</v>
          </cell>
          <cell r="F242" t="str">
            <v>EA</v>
          </cell>
        </row>
        <row r="243">
          <cell r="A243" t="str">
            <v>MRC0002P</v>
          </cell>
          <cell r="B243" t="str">
            <v>EQUIPO ADMON SOLUC C/MICROGOTE</v>
          </cell>
          <cell r="C243" t="str">
            <v>EA</v>
          </cell>
          <cell r="D243" t="str">
            <v>BX</v>
          </cell>
          <cell r="E243">
            <v>160</v>
          </cell>
          <cell r="F243" t="str">
            <v>EA</v>
          </cell>
        </row>
        <row r="244">
          <cell r="A244" t="str">
            <v>MRC0005</v>
          </cell>
          <cell r="B244" t="str">
            <v>EQUIPO ADMON SOLUCION C/SITIO</v>
          </cell>
          <cell r="C244" t="str">
            <v>EA</v>
          </cell>
          <cell r="D244" t="str">
            <v>CA</v>
          </cell>
          <cell r="E244">
            <v>100</v>
          </cell>
          <cell r="F244" t="str">
            <v>EA</v>
          </cell>
        </row>
        <row r="245">
          <cell r="A245" t="str">
            <v>MRC0005P</v>
          </cell>
          <cell r="B245" t="str">
            <v>EQUIPO ADMON SOLUCION C/SITIO</v>
          </cell>
          <cell r="C245" t="str">
            <v>EA</v>
          </cell>
          <cell r="D245" t="str">
            <v>CA</v>
          </cell>
          <cell r="E245">
            <v>100</v>
          </cell>
          <cell r="F245" t="str">
            <v>EA</v>
          </cell>
        </row>
        <row r="246">
          <cell r="A246" t="str">
            <v>MRC0005S</v>
          </cell>
          <cell r="B246" t="str">
            <v>EQUIPO PARA ADMON SOLUCION C/B</v>
          </cell>
          <cell r="C246" t="str">
            <v>EA</v>
          </cell>
          <cell r="D246" t="str">
            <v>BX</v>
          </cell>
          <cell r="E246">
            <v>100</v>
          </cell>
          <cell r="F246" t="str">
            <v>EA</v>
          </cell>
        </row>
        <row r="247">
          <cell r="A247" t="str">
            <v>MRC0005SP</v>
          </cell>
          <cell r="B247" t="str">
            <v>EQUIPO PARA ADMON SOLUCION C/B</v>
          </cell>
          <cell r="C247" t="str">
            <v>EA</v>
          </cell>
          <cell r="D247" t="str">
            <v>BX</v>
          </cell>
          <cell r="E247">
            <v>60</v>
          </cell>
          <cell r="F247" t="str">
            <v>EA</v>
          </cell>
        </row>
        <row r="248">
          <cell r="A248" t="str">
            <v>MRC0012</v>
          </cell>
          <cell r="B248" t="str">
            <v>EQ ADM. SOL CON AGUJA CAL 20</v>
          </cell>
          <cell r="C248" t="str">
            <v>EA</v>
          </cell>
          <cell r="D248" t="str">
            <v>BX</v>
          </cell>
          <cell r="E248">
            <v>250</v>
          </cell>
          <cell r="F248" t="str">
            <v>EA</v>
          </cell>
        </row>
        <row r="249">
          <cell r="A249" t="str">
            <v>MRC0012P</v>
          </cell>
          <cell r="B249" t="str">
            <v>EQUIPO ADMON SOLUCION C/AGUJA</v>
          </cell>
          <cell r="C249" t="str">
            <v>EA</v>
          </cell>
          <cell r="D249" t="str">
            <v>BX</v>
          </cell>
          <cell r="E249">
            <v>250</v>
          </cell>
          <cell r="F249" t="str">
            <v>EA</v>
          </cell>
        </row>
        <row r="250">
          <cell r="A250" t="str">
            <v>MRC1007P</v>
          </cell>
          <cell r="B250" t="str">
            <v>EQUIPO PARA ADMON SOLUCION C/B</v>
          </cell>
          <cell r="C250" t="str">
            <v>EA</v>
          </cell>
          <cell r="D250" t="str">
            <v>BX</v>
          </cell>
          <cell r="E250">
            <v>100</v>
          </cell>
          <cell r="F250" t="str">
            <v>EA</v>
          </cell>
        </row>
        <row r="251">
          <cell r="A251" t="str">
            <v>MRC1007SP</v>
          </cell>
          <cell r="B251" t="str">
            <v>EQUIPO DE ADMON CON BOMBA</v>
          </cell>
          <cell r="C251" t="str">
            <v>EA</v>
          </cell>
          <cell r="D251" t="str">
            <v>BX</v>
          </cell>
          <cell r="E251">
            <v>60</v>
          </cell>
          <cell r="F251" t="str">
            <v>EA</v>
          </cell>
        </row>
        <row r="252">
          <cell r="A252" t="str">
            <v>MRC2006P</v>
          </cell>
          <cell r="B252" t="str">
            <v>EQUIPO ADMON SOLUCION C/ENTRAD</v>
          </cell>
          <cell r="C252" t="str">
            <v>EA</v>
          </cell>
          <cell r="D252" t="str">
            <v>BX</v>
          </cell>
          <cell r="E252">
            <v>250</v>
          </cell>
          <cell r="F252" t="str">
            <v>EA</v>
          </cell>
        </row>
        <row r="253">
          <cell r="A253" t="str">
            <v>MRC2104</v>
          </cell>
          <cell r="B253" t="str">
            <v>EQUIPO ADMON SANGRE S/AGUJA</v>
          </cell>
          <cell r="C253" t="str">
            <v>EA</v>
          </cell>
          <cell r="D253" t="str">
            <v>BX</v>
          </cell>
          <cell r="E253">
            <v>70</v>
          </cell>
          <cell r="F253" t="str">
            <v>EA</v>
          </cell>
        </row>
        <row r="254">
          <cell r="A254" t="str">
            <v>MRC2106</v>
          </cell>
          <cell r="B254" t="str">
            <v>EQUIPO ADMON SANGRE C/AGUJA</v>
          </cell>
          <cell r="C254" t="str">
            <v>EA</v>
          </cell>
          <cell r="D254" t="str">
            <v>BX</v>
          </cell>
          <cell r="E254">
            <v>70</v>
          </cell>
          <cell r="F254" t="str">
            <v>EA</v>
          </cell>
        </row>
        <row r="255">
          <cell r="A255" t="str">
            <v>MRC2182</v>
          </cell>
          <cell r="B255" t="str">
            <v>EQUIPO ADMON SANGRE EN "Y"</v>
          </cell>
          <cell r="C255" t="str">
            <v>EA</v>
          </cell>
          <cell r="D255" t="str">
            <v>BX</v>
          </cell>
          <cell r="E255">
            <v>70</v>
          </cell>
          <cell r="F255" t="str">
            <v>EA</v>
          </cell>
        </row>
        <row r="256">
          <cell r="A256" t="str">
            <v>MRC5005S</v>
          </cell>
          <cell r="B256" t="str">
            <v>EQUIPO BOMBA C/VALVULA</v>
          </cell>
          <cell r="C256" t="str">
            <v>EA</v>
          </cell>
          <cell r="D256" t="str">
            <v>BX</v>
          </cell>
          <cell r="E256">
            <v>100</v>
          </cell>
          <cell r="F256" t="str">
            <v>EA</v>
          </cell>
        </row>
        <row r="257">
          <cell r="A257" t="str">
            <v>MRC5005SP</v>
          </cell>
          <cell r="B257" t="str">
            <v>EQUIPO BOMBA C/VALVULA</v>
          </cell>
          <cell r="C257" t="str">
            <v>EA</v>
          </cell>
          <cell r="D257" t="str">
            <v>BX</v>
          </cell>
          <cell r="E257">
            <v>100</v>
          </cell>
          <cell r="F257" t="str">
            <v>EA</v>
          </cell>
        </row>
        <row r="258">
          <cell r="A258" t="str">
            <v>MRC5401</v>
          </cell>
          <cell r="B258" t="str">
            <v>EQUIPO ADMON SOL 10 GOTAS</v>
          </cell>
          <cell r="C258" t="str">
            <v>EA</v>
          </cell>
          <cell r="D258" t="str">
            <v>BX</v>
          </cell>
          <cell r="E258">
            <v>250</v>
          </cell>
          <cell r="F258" t="str">
            <v>EA</v>
          </cell>
        </row>
        <row r="259">
          <cell r="A259" t="str">
            <v>MRC5403</v>
          </cell>
          <cell r="B259" t="str">
            <v>EQUIPO MACROGOTEO C/SITIO EN Y</v>
          </cell>
          <cell r="C259" t="str">
            <v>EA</v>
          </cell>
          <cell r="D259" t="str">
            <v>BX</v>
          </cell>
          <cell r="E259">
            <v>250</v>
          </cell>
          <cell r="F259" t="str">
            <v>EA</v>
          </cell>
        </row>
        <row r="260">
          <cell r="A260" t="str">
            <v>MRC5404P</v>
          </cell>
          <cell r="B260" t="str">
            <v>EQUIPO ADMON SOLUCION S/E AIRE</v>
          </cell>
          <cell r="C260" t="str">
            <v>EA</v>
          </cell>
          <cell r="D260" t="str">
            <v>BX</v>
          </cell>
          <cell r="E260">
            <v>250</v>
          </cell>
          <cell r="F260" t="str">
            <v>EA</v>
          </cell>
        </row>
        <row r="261">
          <cell r="A261" t="str">
            <v>MRC7504P</v>
          </cell>
          <cell r="B261" t="str">
            <v>EQUIPO BURETROL CON ENTRADA DE</v>
          </cell>
          <cell r="C261" t="str">
            <v>EA</v>
          </cell>
          <cell r="D261" t="str">
            <v>BX</v>
          </cell>
          <cell r="E261">
            <v>30</v>
          </cell>
          <cell r="F261" t="str">
            <v>EA</v>
          </cell>
        </row>
        <row r="262">
          <cell r="A262" t="str">
            <v>MRC7505P</v>
          </cell>
          <cell r="B262" t="str">
            <v>EQUIPO BURETROL SIN ENTRADA</v>
          </cell>
          <cell r="C262" t="str">
            <v>EA</v>
          </cell>
          <cell r="D262" t="str">
            <v>BX</v>
          </cell>
          <cell r="E262">
            <v>30</v>
          </cell>
          <cell r="F262" t="str">
            <v>EA</v>
          </cell>
        </row>
        <row r="263">
          <cell r="A263" t="str">
            <v>MRD2923</v>
          </cell>
          <cell r="B263" t="str">
            <v>CYSTOFLO PEDIATRICO 500 ML</v>
          </cell>
          <cell r="C263" t="str">
            <v>EA</v>
          </cell>
          <cell r="D263" t="str">
            <v>BX</v>
          </cell>
          <cell r="E263">
            <v>60</v>
          </cell>
          <cell r="F263" t="str">
            <v>EA</v>
          </cell>
        </row>
        <row r="264">
          <cell r="A264" t="str">
            <v>MRD2926</v>
          </cell>
          <cell r="B264" t="str">
            <v>CYSTOFLO</v>
          </cell>
          <cell r="C264" t="str">
            <v>EA</v>
          </cell>
          <cell r="D264" t="str">
            <v>BX</v>
          </cell>
          <cell r="E264">
            <v>60</v>
          </cell>
          <cell r="F264" t="str">
            <v>EA</v>
          </cell>
        </row>
        <row r="265">
          <cell r="A265" t="str">
            <v>MRD2926M</v>
          </cell>
          <cell r="B265" t="str">
            <v>BOLSA CYSTOFLO C/VALVULA ANTIR</v>
          </cell>
          <cell r="C265" t="str">
            <v>EA</v>
          </cell>
          <cell r="D265" t="str">
            <v>BX</v>
          </cell>
          <cell r="E265">
            <v>30</v>
          </cell>
          <cell r="F265" t="str">
            <v>EA</v>
          </cell>
        </row>
        <row r="266">
          <cell r="A266" t="str">
            <v>MRM2600</v>
          </cell>
          <cell r="B266" t="str">
            <v>EQUIPO MINIPRIME 8MM</v>
          </cell>
          <cell r="C266" t="str">
            <v>EA</v>
          </cell>
          <cell r="D266" t="str">
            <v>BX</v>
          </cell>
          <cell r="E266">
            <v>30</v>
          </cell>
          <cell r="F266" t="str">
            <v>EA</v>
          </cell>
        </row>
        <row r="267">
          <cell r="A267" t="str">
            <v>MRM2602</v>
          </cell>
          <cell r="B267" t="str">
            <v>EQUIPO MINIPRIME 6MM C/FILTRO</v>
          </cell>
          <cell r="C267" t="str">
            <v>EA</v>
          </cell>
          <cell r="D267" t="str">
            <v>BX</v>
          </cell>
          <cell r="E267">
            <v>30</v>
          </cell>
          <cell r="F267" t="str">
            <v>EA</v>
          </cell>
        </row>
        <row r="268">
          <cell r="A268" t="str">
            <v>MRM2603</v>
          </cell>
          <cell r="B268" t="str">
            <v>EQUIPO MINIPRIME 8MM C/FILTRO</v>
          </cell>
          <cell r="C268" t="str">
            <v>EA</v>
          </cell>
          <cell r="D268" t="str">
            <v>BX</v>
          </cell>
          <cell r="E268">
            <v>30</v>
          </cell>
          <cell r="F268" t="str">
            <v>EA</v>
          </cell>
        </row>
        <row r="269">
          <cell r="A269" t="str">
            <v>MRM2604</v>
          </cell>
          <cell r="B269" t="str">
            <v>EQUIPO MINIPRIME 6mm</v>
          </cell>
          <cell r="C269" t="str">
            <v>EA</v>
          </cell>
          <cell r="D269" t="str">
            <v>BX</v>
          </cell>
          <cell r="E269">
            <v>30</v>
          </cell>
          <cell r="F269" t="str">
            <v>EA</v>
          </cell>
        </row>
        <row r="270">
          <cell r="A270" t="str">
            <v>MRM2605</v>
          </cell>
          <cell r="B270" t="str">
            <v>EQUIPO MINIPRIME 8mm</v>
          </cell>
          <cell r="C270" t="str">
            <v>EA</v>
          </cell>
          <cell r="D270" t="str">
            <v>BX</v>
          </cell>
          <cell r="E270">
            <v>30</v>
          </cell>
          <cell r="F270" t="str">
            <v>EA</v>
          </cell>
        </row>
        <row r="271">
          <cell r="A271" t="str">
            <v>MRM2606</v>
          </cell>
          <cell r="B271" t="str">
            <v>EQUIPO MINIPRIME  8MM UNIVERSA</v>
          </cell>
          <cell r="C271" t="str">
            <v>EA</v>
          </cell>
          <cell r="D271" t="str">
            <v>BX</v>
          </cell>
          <cell r="E271">
            <v>30</v>
          </cell>
          <cell r="F271" t="str">
            <v>EA</v>
          </cell>
        </row>
        <row r="272">
          <cell r="A272" t="str">
            <v>MRM2606A</v>
          </cell>
          <cell r="B272" t="str">
            <v>EQUIPO MINIPRIME  8MM UNIVERSA</v>
          </cell>
          <cell r="C272" t="str">
            <v>EA</v>
          </cell>
          <cell r="D272" t="str">
            <v>BX</v>
          </cell>
          <cell r="E272">
            <v>30</v>
          </cell>
          <cell r="F272" t="str">
            <v>EA</v>
          </cell>
        </row>
        <row r="273">
          <cell r="A273" t="str">
            <v>MRM2607</v>
          </cell>
          <cell r="B273" t="str">
            <v>EQUIPO MINIPRIME 8MM C/SET</v>
          </cell>
          <cell r="C273" t="str">
            <v>EA</v>
          </cell>
          <cell r="D273" t="str">
            <v>BX</v>
          </cell>
          <cell r="E273">
            <v>30</v>
          </cell>
          <cell r="F273" t="str">
            <v>EA</v>
          </cell>
        </row>
        <row r="274">
          <cell r="A274" t="str">
            <v>MRM2608</v>
          </cell>
          <cell r="B274" t="str">
            <v>EQUIPO MINIPRIME 6MM C/SET</v>
          </cell>
          <cell r="C274" t="str">
            <v>EA</v>
          </cell>
          <cell r="D274" t="str">
            <v>BX</v>
          </cell>
          <cell r="E274">
            <v>30</v>
          </cell>
          <cell r="F274" t="str">
            <v>EA</v>
          </cell>
        </row>
        <row r="275">
          <cell r="A275" t="str">
            <v>MRM4093</v>
          </cell>
          <cell r="B275" t="str">
            <v>EQUIPO MINIPRIME P/HEMODIALISI</v>
          </cell>
          <cell r="C275" t="str">
            <v>EA</v>
          </cell>
          <cell r="D275" t="str">
            <v>BX</v>
          </cell>
          <cell r="E275">
            <v>30</v>
          </cell>
          <cell r="F275" t="str">
            <v>EA</v>
          </cell>
        </row>
        <row r="276">
          <cell r="A276" t="str">
            <v>MRM4262</v>
          </cell>
          <cell r="B276" t="str">
            <v>LINEA ARTERIAL 6MM MINIPRIME</v>
          </cell>
          <cell r="C276" t="str">
            <v>EA</v>
          </cell>
          <cell r="D276" t="str">
            <v>BX</v>
          </cell>
          <cell r="E276">
            <v>30</v>
          </cell>
          <cell r="F276" t="str">
            <v>EA</v>
          </cell>
        </row>
        <row r="277">
          <cell r="A277" t="str">
            <v>MRM4283</v>
          </cell>
          <cell r="B277" t="str">
            <v>LINEA ARTERIAL 8MM MINIPRIME</v>
          </cell>
          <cell r="C277" t="str">
            <v>EA</v>
          </cell>
          <cell r="D277" t="str">
            <v>BX</v>
          </cell>
          <cell r="E277">
            <v>30</v>
          </cell>
          <cell r="F277" t="str">
            <v>EA</v>
          </cell>
        </row>
        <row r="278">
          <cell r="A278" t="str">
            <v>MRM4366</v>
          </cell>
          <cell r="B278" t="str">
            <v>ULTRA SET BOLSA DRENAJE 3L CAP</v>
          </cell>
          <cell r="C278" t="str">
            <v>EA</v>
          </cell>
          <cell r="D278" t="str">
            <v>BX</v>
          </cell>
          <cell r="E278">
            <v>40</v>
          </cell>
          <cell r="F278" t="str">
            <v>EA</v>
          </cell>
        </row>
        <row r="279">
          <cell r="A279" t="str">
            <v>MRM4464</v>
          </cell>
          <cell r="B279" t="str">
            <v>EQUIPO EXTENSION 12 PIES APD</v>
          </cell>
          <cell r="C279" t="str">
            <v>EA</v>
          </cell>
          <cell r="D279" t="str">
            <v>BX</v>
          </cell>
          <cell r="E279">
            <v>20</v>
          </cell>
          <cell r="F279" t="str">
            <v>EA</v>
          </cell>
        </row>
        <row r="280">
          <cell r="A280" t="str">
            <v>MRM4491</v>
          </cell>
          <cell r="B280" t="str">
            <v>LINEA VENOSA MINIPRIME</v>
          </cell>
          <cell r="C280" t="str">
            <v>EA</v>
          </cell>
          <cell r="D280" t="str">
            <v>BX</v>
          </cell>
          <cell r="E280">
            <v>30</v>
          </cell>
          <cell r="F280" t="str">
            <v>EA</v>
          </cell>
        </row>
        <row r="281">
          <cell r="A281" t="str">
            <v>PRC4128P</v>
          </cell>
          <cell r="B281" t="str">
            <v>BOLSA VACIA DE 2 LTS C/2 SALID</v>
          </cell>
          <cell r="C281" t="str">
            <v>EA</v>
          </cell>
          <cell r="D281" t="str">
            <v>BX</v>
          </cell>
          <cell r="E281">
            <v>60</v>
          </cell>
          <cell r="F281" t="str">
            <v>EA</v>
          </cell>
        </row>
        <row r="282">
          <cell r="A282" t="str">
            <v>PRC4134P</v>
          </cell>
          <cell r="B282" t="str">
            <v>BOLSA VACIA DE 5 LTS C/2 SALID</v>
          </cell>
          <cell r="C282" t="str">
            <v>EA</v>
          </cell>
          <cell r="D282" t="str">
            <v>BX</v>
          </cell>
          <cell r="E282">
            <v>50</v>
          </cell>
          <cell r="F282" t="str">
            <v>EA</v>
          </cell>
        </row>
        <row r="283">
          <cell r="A283" t="str">
            <v>SRA8504</v>
          </cell>
          <cell r="B283" t="str">
            <v>ADRENALINA</v>
          </cell>
          <cell r="C283" t="str">
            <v>EA</v>
          </cell>
          <cell r="D283" t="str">
            <v>BX</v>
          </cell>
          <cell r="E283">
            <v>25</v>
          </cell>
          <cell r="F283" t="str">
            <v>EA</v>
          </cell>
        </row>
        <row r="284">
          <cell r="A284" t="str">
            <v>SRA8505</v>
          </cell>
          <cell r="B284" t="str">
            <v>ATROPINA</v>
          </cell>
          <cell r="C284" t="str">
            <v>EA</v>
          </cell>
          <cell r="D284" t="str">
            <v>BX</v>
          </cell>
          <cell r="E284">
            <v>25</v>
          </cell>
          <cell r="F284" t="str">
            <v>EA</v>
          </cell>
        </row>
        <row r="285">
          <cell r="A285" t="str">
            <v>SRA8506</v>
          </cell>
          <cell r="B285" t="str">
            <v>BICARBONATO DE SODIO</v>
          </cell>
          <cell r="C285" t="str">
            <v>EA</v>
          </cell>
          <cell r="D285" t="str">
            <v>BX</v>
          </cell>
          <cell r="E285">
            <v>25</v>
          </cell>
          <cell r="F285" t="str">
            <v>EA</v>
          </cell>
        </row>
        <row r="286">
          <cell r="A286" t="str">
            <v>SRA8507</v>
          </cell>
          <cell r="B286" t="str">
            <v>SULFATO DE MAGNESIO</v>
          </cell>
          <cell r="C286" t="str">
            <v>EA</v>
          </cell>
          <cell r="D286" t="str">
            <v>BX</v>
          </cell>
          <cell r="E286">
            <v>25</v>
          </cell>
          <cell r="F286" t="str">
            <v>EA</v>
          </cell>
        </row>
        <row r="287">
          <cell r="A287" t="str">
            <v>SRA8508</v>
          </cell>
          <cell r="B287" t="str">
            <v>QUIBICALCIUM</v>
          </cell>
          <cell r="C287" t="str">
            <v>EA</v>
          </cell>
          <cell r="D287" t="str">
            <v>BX</v>
          </cell>
          <cell r="E287">
            <v>25</v>
          </cell>
          <cell r="F287" t="str">
            <v>EA</v>
          </cell>
        </row>
        <row r="288">
          <cell r="A288" t="str">
            <v>SRB0060</v>
          </cell>
          <cell r="B288" t="str">
            <v>DEXTROSA 5% 100/50 ISS</v>
          </cell>
          <cell r="C288" t="str">
            <v>EA</v>
          </cell>
          <cell r="D288" t="str">
            <v>BX</v>
          </cell>
          <cell r="E288">
            <v>60</v>
          </cell>
          <cell r="F288" t="str">
            <v>EA</v>
          </cell>
        </row>
        <row r="289">
          <cell r="A289" t="str">
            <v>SRB0062</v>
          </cell>
          <cell r="B289" t="str">
            <v>DEXTROSA 5% 250ML ISS</v>
          </cell>
          <cell r="C289" t="str">
            <v>EA</v>
          </cell>
          <cell r="D289" t="str">
            <v>BX</v>
          </cell>
          <cell r="E289">
            <v>48</v>
          </cell>
          <cell r="F289" t="str">
            <v>EA</v>
          </cell>
        </row>
        <row r="290">
          <cell r="A290" t="str">
            <v>SRB0063</v>
          </cell>
          <cell r="B290" t="str">
            <v>DEXTROSA 5% 500 ML ISS</v>
          </cell>
          <cell r="C290" t="str">
            <v>EA</v>
          </cell>
          <cell r="D290" t="str">
            <v>BX</v>
          </cell>
          <cell r="E290">
            <v>30</v>
          </cell>
          <cell r="F290" t="str">
            <v>EA</v>
          </cell>
        </row>
        <row r="291">
          <cell r="A291" t="str">
            <v>SRB0162</v>
          </cell>
          <cell r="B291" t="str">
            <v>DEXTROSA 10% 250 ISS</v>
          </cell>
          <cell r="C291" t="str">
            <v>EA</v>
          </cell>
          <cell r="D291" t="str">
            <v>BX</v>
          </cell>
          <cell r="E291">
            <v>48</v>
          </cell>
          <cell r="F291" t="str">
            <v>EA</v>
          </cell>
        </row>
        <row r="292">
          <cell r="A292" t="str">
            <v>SRB0163</v>
          </cell>
          <cell r="B292" t="str">
            <v>DEXTROSA 10% 500 ML ISS</v>
          </cell>
          <cell r="C292" t="str">
            <v>EA</v>
          </cell>
          <cell r="D292" t="str">
            <v>BX</v>
          </cell>
          <cell r="E292">
            <v>30</v>
          </cell>
          <cell r="F292" t="str">
            <v>EA</v>
          </cell>
        </row>
        <row r="293">
          <cell r="A293" t="str">
            <v>SRB0164</v>
          </cell>
          <cell r="B293" t="str">
            <v>DEXTROSA 10% 1000 ISS</v>
          </cell>
          <cell r="C293" t="str">
            <v>EA</v>
          </cell>
          <cell r="D293" t="str">
            <v>BX</v>
          </cell>
          <cell r="E293">
            <v>16</v>
          </cell>
          <cell r="F293" t="str">
            <v>EA</v>
          </cell>
        </row>
        <row r="294">
          <cell r="A294" t="str">
            <v>SRB0253</v>
          </cell>
          <cell r="B294" t="str">
            <v>DEXTROSA AL 50% EN AGUA X 500M</v>
          </cell>
          <cell r="C294" t="str">
            <v>EA</v>
          </cell>
          <cell r="D294" t="str">
            <v>BX</v>
          </cell>
          <cell r="E294">
            <v>30</v>
          </cell>
          <cell r="F294" t="str">
            <v>EA</v>
          </cell>
        </row>
        <row r="295">
          <cell r="A295" t="str">
            <v>SRB0303</v>
          </cell>
          <cell r="B295" t="str">
            <v>AGUA ESTERIL P/INY. 500 ML ISS</v>
          </cell>
          <cell r="C295" t="str">
            <v>EA</v>
          </cell>
          <cell r="D295" t="str">
            <v>BX</v>
          </cell>
          <cell r="E295">
            <v>30</v>
          </cell>
          <cell r="F295" t="str">
            <v>EA</v>
          </cell>
        </row>
        <row r="296">
          <cell r="A296" t="str">
            <v>SRB0850</v>
          </cell>
          <cell r="B296" t="str">
            <v>SULFATO GENTAMICINA 60MG ISS</v>
          </cell>
          <cell r="C296" t="str">
            <v>EA</v>
          </cell>
          <cell r="D296" t="str">
            <v>BX</v>
          </cell>
          <cell r="E296">
            <v>70</v>
          </cell>
          <cell r="F296" t="str">
            <v>EA</v>
          </cell>
        </row>
        <row r="297">
          <cell r="A297" t="str">
            <v>SRB0860</v>
          </cell>
          <cell r="B297" t="str">
            <v>SULF.GENTAMICINA 80MG ISS</v>
          </cell>
          <cell r="C297" t="str">
            <v>EA</v>
          </cell>
          <cell r="D297" t="str">
            <v>BX</v>
          </cell>
          <cell r="E297">
            <v>70</v>
          </cell>
          <cell r="F297" t="str">
            <v>EA</v>
          </cell>
        </row>
        <row r="298">
          <cell r="A298" t="str">
            <v>SRB0972</v>
          </cell>
          <cell r="B298" t="str">
            <v>CLOROHID.LIDOCAINA 0.4% DEXT.5</v>
          </cell>
          <cell r="C298" t="str">
            <v>EA</v>
          </cell>
          <cell r="D298" t="str">
            <v>BX</v>
          </cell>
          <cell r="E298">
            <v>48</v>
          </cell>
          <cell r="F298" t="str">
            <v>EA</v>
          </cell>
        </row>
        <row r="299">
          <cell r="A299" t="str">
            <v>SRB0973</v>
          </cell>
          <cell r="B299" t="str">
            <v>CLOROHID.LIDICAINA 0.4% DEXT.5</v>
          </cell>
          <cell r="C299" t="str">
            <v>EA</v>
          </cell>
          <cell r="D299" t="str">
            <v>BX</v>
          </cell>
          <cell r="E299">
            <v>30</v>
          </cell>
          <cell r="F299" t="str">
            <v>EA</v>
          </cell>
        </row>
        <row r="300">
          <cell r="A300" t="str">
            <v>SRB0993</v>
          </cell>
          <cell r="B300" t="str">
            <v>CLOROID.LIDOCAINA 0.2% DEXT.5%</v>
          </cell>
          <cell r="C300" t="str">
            <v>EA</v>
          </cell>
          <cell r="D300" t="str">
            <v>BX</v>
          </cell>
          <cell r="E300">
            <v>30</v>
          </cell>
          <cell r="F300" t="str">
            <v>EA</v>
          </cell>
        </row>
        <row r="301">
          <cell r="A301" t="str">
            <v>SRB1062</v>
          </cell>
          <cell r="B301" t="str">
            <v>DEXT.5% SALINA 250ML ISS</v>
          </cell>
          <cell r="C301" t="str">
            <v>EA</v>
          </cell>
          <cell r="D301" t="str">
            <v>BX</v>
          </cell>
          <cell r="E301">
            <v>48</v>
          </cell>
          <cell r="F301" t="str">
            <v>EA</v>
          </cell>
        </row>
        <row r="302">
          <cell r="A302" t="str">
            <v>SRB1063</v>
          </cell>
          <cell r="B302" t="str">
            <v>DEXTROSA 5% EN SALINA 500 ML I</v>
          </cell>
          <cell r="C302" t="str">
            <v>EA</v>
          </cell>
          <cell r="D302" t="str">
            <v>BX</v>
          </cell>
          <cell r="E302">
            <v>30</v>
          </cell>
          <cell r="F302" t="str">
            <v>EA</v>
          </cell>
        </row>
        <row r="303">
          <cell r="A303" t="str">
            <v>SRB1064</v>
          </cell>
          <cell r="B303" t="str">
            <v>DEXT.5% SALINA 1000 ML ISS</v>
          </cell>
          <cell r="C303" t="str">
            <v>EA</v>
          </cell>
          <cell r="D303" t="str">
            <v>BX</v>
          </cell>
          <cell r="E303">
            <v>18</v>
          </cell>
          <cell r="F303" t="str">
            <v>EA</v>
          </cell>
        </row>
        <row r="304">
          <cell r="A304" t="str">
            <v>SRB1302</v>
          </cell>
          <cell r="B304" t="str">
            <v>CLORURO DE SODIO 0.9% 100 ML I</v>
          </cell>
          <cell r="C304" t="str">
            <v>EA</v>
          </cell>
          <cell r="D304" t="str">
            <v>BX</v>
          </cell>
          <cell r="E304">
            <v>60</v>
          </cell>
          <cell r="F304" t="str">
            <v>EA</v>
          </cell>
        </row>
        <row r="305">
          <cell r="A305" t="str">
            <v>SRB1322</v>
          </cell>
          <cell r="B305" t="str">
            <v>CLORURO DE SODIO 250 ML ISS</v>
          </cell>
          <cell r="C305" t="str">
            <v>EA</v>
          </cell>
          <cell r="D305" t="str">
            <v>BX</v>
          </cell>
          <cell r="E305">
            <v>48</v>
          </cell>
          <cell r="F305" t="str">
            <v>EA</v>
          </cell>
        </row>
        <row r="306">
          <cell r="A306" t="str">
            <v>SRB1323</v>
          </cell>
          <cell r="B306" t="str">
            <v>CLORURO DE SODIO 0.9% 500</v>
          </cell>
          <cell r="C306" t="str">
            <v>EA</v>
          </cell>
          <cell r="D306" t="str">
            <v>BX</v>
          </cell>
          <cell r="E306">
            <v>30</v>
          </cell>
          <cell r="F306" t="str">
            <v>EA</v>
          </cell>
        </row>
        <row r="307">
          <cell r="A307" t="str">
            <v>SRB1324</v>
          </cell>
          <cell r="B307" t="str">
            <v>CLORURO DE SODIO 1000ML ISS</v>
          </cell>
          <cell r="C307" t="str">
            <v>EA</v>
          </cell>
          <cell r="D307" t="str">
            <v>BX</v>
          </cell>
          <cell r="E307">
            <v>18</v>
          </cell>
          <cell r="F307" t="str">
            <v>EA</v>
          </cell>
        </row>
        <row r="308">
          <cell r="A308" t="str">
            <v>SRB2303</v>
          </cell>
          <cell r="B308" t="str">
            <v>SOLUCION RINGER 500ML ISS</v>
          </cell>
          <cell r="C308" t="str">
            <v>EA</v>
          </cell>
          <cell r="D308" t="str">
            <v>BX</v>
          </cell>
          <cell r="E308">
            <v>30</v>
          </cell>
          <cell r="F308" t="str">
            <v>EA</v>
          </cell>
        </row>
        <row r="309">
          <cell r="A309" t="str">
            <v>SRB2322</v>
          </cell>
          <cell r="B309" t="str">
            <v>INY.RINGER LACTATO 250 ML ISS</v>
          </cell>
          <cell r="C309" t="str">
            <v>EA</v>
          </cell>
          <cell r="D309" t="str">
            <v>BX</v>
          </cell>
          <cell r="E309">
            <v>48</v>
          </cell>
          <cell r="F309" t="str">
            <v>EA</v>
          </cell>
        </row>
        <row r="310">
          <cell r="A310" t="str">
            <v>SRB2323</v>
          </cell>
          <cell r="B310" t="str">
            <v>INYECCION RINGER LACTATO 500 M</v>
          </cell>
          <cell r="C310" t="str">
            <v>EA</v>
          </cell>
          <cell r="D310" t="str">
            <v>BX</v>
          </cell>
          <cell r="E310">
            <v>30</v>
          </cell>
          <cell r="F310" t="str">
            <v>EA</v>
          </cell>
        </row>
        <row r="311">
          <cell r="A311" t="str">
            <v>SRB2324</v>
          </cell>
          <cell r="B311" t="str">
            <v>INY.RINGER LACTATO 1000ML ISS</v>
          </cell>
          <cell r="C311" t="str">
            <v>EA</v>
          </cell>
          <cell r="D311" t="str">
            <v>BX</v>
          </cell>
          <cell r="E311">
            <v>18</v>
          </cell>
          <cell r="F311" t="str">
            <v>EA</v>
          </cell>
        </row>
        <row r="312">
          <cell r="A312" t="str">
            <v>SRB3401</v>
          </cell>
          <cell r="B312" t="str">
            <v>INYECCON DE FLAGYL (ISS)</v>
          </cell>
          <cell r="C312" t="str">
            <v>EA</v>
          </cell>
          <cell r="D312" t="str">
            <v>BX</v>
          </cell>
          <cell r="E312">
            <v>70</v>
          </cell>
          <cell r="F312" t="str">
            <v>EA</v>
          </cell>
        </row>
        <row r="313">
          <cell r="A313" t="str">
            <v>SRD5633</v>
          </cell>
          <cell r="B313" t="str">
            <v>OSMORIN 500</v>
          </cell>
          <cell r="C313" t="str">
            <v>EA</v>
          </cell>
          <cell r="D313" t="str">
            <v>BX</v>
          </cell>
          <cell r="E313">
            <v>30</v>
          </cell>
          <cell r="F313" t="str">
            <v>EA</v>
          </cell>
        </row>
        <row r="314">
          <cell r="A314" t="str">
            <v>VRB0162</v>
          </cell>
          <cell r="B314" t="str">
            <v>DEXTROSA AL 10% EN AGUA X 250M</v>
          </cell>
          <cell r="C314" t="str">
            <v>EA</v>
          </cell>
          <cell r="D314" t="str">
            <v>CA</v>
          </cell>
          <cell r="E314">
            <v>48</v>
          </cell>
          <cell r="F314" t="str">
            <v>EA</v>
          </cell>
        </row>
        <row r="315">
          <cell r="A315" t="str">
            <v>VRB0253</v>
          </cell>
          <cell r="B315" t="str">
            <v>DEXTROSA AL 50% EN AGUA X 500M</v>
          </cell>
          <cell r="C315" t="str">
            <v>EA</v>
          </cell>
          <cell r="D315" t="str">
            <v>BX</v>
          </cell>
          <cell r="E315">
            <v>30</v>
          </cell>
          <cell r="F315" t="str">
            <v>EA</v>
          </cell>
        </row>
        <row r="316">
          <cell r="A316" t="str">
            <v>VRB1073</v>
          </cell>
          <cell r="B316" t="str">
            <v>DEXTROSA 5% NACL 0.45%</v>
          </cell>
          <cell r="C316" t="str">
            <v>EA</v>
          </cell>
          <cell r="D316" t="str">
            <v>CA</v>
          </cell>
          <cell r="E316">
            <v>30</v>
          </cell>
          <cell r="F316" t="str">
            <v>EA</v>
          </cell>
        </row>
        <row r="317">
          <cell r="A317" t="str">
            <v>VRB1083</v>
          </cell>
          <cell r="B317" t="str">
            <v>DEXTROSA 5% NACL 0.33%</v>
          </cell>
          <cell r="C317" t="str">
            <v>EA</v>
          </cell>
          <cell r="D317" t="str">
            <v>CA</v>
          </cell>
          <cell r="E317">
            <v>30</v>
          </cell>
          <cell r="F317" t="str">
            <v>EA</v>
          </cell>
        </row>
        <row r="318">
          <cell r="A318" t="str">
            <v>VRB1301</v>
          </cell>
          <cell r="B318" t="str">
            <v>CLORURO DE SODIO 0.9% 50ML(VEN</v>
          </cell>
          <cell r="C318" t="str">
            <v>EA</v>
          </cell>
          <cell r="D318" t="str">
            <v>CA</v>
          </cell>
          <cell r="E318">
            <v>60</v>
          </cell>
          <cell r="F318" t="str">
            <v>EA</v>
          </cell>
        </row>
        <row r="319">
          <cell r="A319" t="str">
            <v>VRB2303</v>
          </cell>
          <cell r="B319" t="str">
            <v>SOLUCION DE RINGER X 500ML</v>
          </cell>
          <cell r="C319" t="str">
            <v>EA</v>
          </cell>
          <cell r="D319" t="str">
            <v>CA</v>
          </cell>
          <cell r="E319">
            <v>30</v>
          </cell>
          <cell r="F319" t="str">
            <v>EA</v>
          </cell>
        </row>
        <row r="320">
          <cell r="A320" t="str">
            <v>VRB2322</v>
          </cell>
          <cell r="B320" t="str">
            <v>INY.RINGER Y LACTATO 250 ML VE</v>
          </cell>
          <cell r="C320" t="str">
            <v>EA</v>
          </cell>
          <cell r="D320" t="str">
            <v>CA</v>
          </cell>
          <cell r="E320">
            <v>48</v>
          </cell>
          <cell r="F320" t="str">
            <v>EA</v>
          </cell>
        </row>
        <row r="321">
          <cell r="A321" t="str">
            <v>VRB3401</v>
          </cell>
          <cell r="B321" t="str">
            <v>FLEGENTYL</v>
          </cell>
          <cell r="C321" t="str">
            <v>EA</v>
          </cell>
          <cell r="D321" t="str">
            <v>BX</v>
          </cell>
          <cell r="E321">
            <v>60</v>
          </cell>
          <cell r="F321" t="str">
            <v>EA</v>
          </cell>
        </row>
        <row r="322">
          <cell r="A322" t="str">
            <v>VRB5177</v>
          </cell>
          <cell r="B322" t="str">
            <v>DIANEAL 2.5% DEXT 2/3 LT VENE</v>
          </cell>
          <cell r="C322" t="str">
            <v>EA</v>
          </cell>
          <cell r="D322" t="str">
            <v>BX</v>
          </cell>
          <cell r="E322">
            <v>8</v>
          </cell>
          <cell r="F322" t="str">
            <v>EA</v>
          </cell>
        </row>
        <row r="323">
          <cell r="A323" t="str">
            <v>VRB5178</v>
          </cell>
          <cell r="B323" t="str">
            <v>DIANEAL PD-2 C/2.5 DEXTR (2.5L</v>
          </cell>
          <cell r="C323" t="str">
            <v>EA</v>
          </cell>
          <cell r="D323" t="str">
            <v>BX</v>
          </cell>
          <cell r="E323">
            <v>6</v>
          </cell>
          <cell r="F323" t="str">
            <v>EA</v>
          </cell>
        </row>
        <row r="324">
          <cell r="A324" t="str">
            <v>VRB5181</v>
          </cell>
          <cell r="B324" t="str">
            <v>DIANEAL PD-2 C/4.25% DEXT SIST</v>
          </cell>
          <cell r="C324" t="str">
            <v>EA</v>
          </cell>
          <cell r="D324" t="str">
            <v>CA</v>
          </cell>
          <cell r="E324">
            <v>20</v>
          </cell>
          <cell r="F324" t="str">
            <v>EA</v>
          </cell>
        </row>
        <row r="325">
          <cell r="A325" t="str">
            <v>VRB5187</v>
          </cell>
          <cell r="B325" t="str">
            <v>DIANEAL 4.25% DEXT 2/3 LT</v>
          </cell>
          <cell r="C325" t="str">
            <v>EA</v>
          </cell>
          <cell r="D325" t="str">
            <v>BX</v>
          </cell>
          <cell r="E325">
            <v>8</v>
          </cell>
          <cell r="F325" t="str">
            <v>EA</v>
          </cell>
        </row>
        <row r="326">
          <cell r="A326" t="str">
            <v>VRB5188</v>
          </cell>
          <cell r="B326" t="str">
            <v>DIANEAL PD-2 C/4.25 DEXT (2.5</v>
          </cell>
          <cell r="C326" t="str">
            <v>EA</v>
          </cell>
          <cell r="D326" t="str">
            <v>BX</v>
          </cell>
          <cell r="E326">
            <v>6</v>
          </cell>
          <cell r="F326" t="str">
            <v>EA</v>
          </cell>
        </row>
        <row r="327">
          <cell r="A327" t="str">
            <v>VRB5193</v>
          </cell>
          <cell r="B327" t="str">
            <v>DIANEAL 1.5% DEXT 5L/5L SISTEM</v>
          </cell>
          <cell r="C327" t="str">
            <v>EA</v>
          </cell>
          <cell r="D327" t="str">
            <v>BX</v>
          </cell>
          <cell r="E327">
            <v>3</v>
          </cell>
          <cell r="F327" t="str">
            <v>EA</v>
          </cell>
        </row>
        <row r="328">
          <cell r="A328" t="str">
            <v>VRB5194</v>
          </cell>
          <cell r="B328" t="str">
            <v>DIANEAL 2.5% DEXT 5L/5L SISTEM</v>
          </cell>
          <cell r="C328" t="str">
            <v>EA</v>
          </cell>
          <cell r="D328" t="str">
            <v>BX</v>
          </cell>
          <cell r="E328">
            <v>3</v>
          </cell>
          <cell r="F328" t="str">
            <v>EA</v>
          </cell>
        </row>
        <row r="329">
          <cell r="A329" t="str">
            <v>VRB5195</v>
          </cell>
          <cell r="B329" t="str">
            <v>DIANEAL 4.25% DEXT 5L/5L STEMA</v>
          </cell>
          <cell r="C329" t="str">
            <v>EA</v>
          </cell>
          <cell r="D329" t="str">
            <v>BX</v>
          </cell>
          <cell r="E329">
            <v>3</v>
          </cell>
          <cell r="F329" t="str">
            <v>EA</v>
          </cell>
        </row>
        <row r="330">
          <cell r="A330" t="str">
            <v>VRB5202</v>
          </cell>
          <cell r="B330" t="str">
            <v>DIANEAL CA FISIOLOGICO C/DEXT</v>
          </cell>
          <cell r="C330" t="str">
            <v>EA</v>
          </cell>
          <cell r="D330" t="str">
            <v>BX</v>
          </cell>
          <cell r="E330">
            <v>3</v>
          </cell>
          <cell r="F330" t="str">
            <v>EA</v>
          </cell>
        </row>
        <row r="331">
          <cell r="A331" t="str">
            <v>VRB7925</v>
          </cell>
          <cell r="B331" t="str">
            <v>AGUA ESTERIL P/IRRIGACION</v>
          </cell>
          <cell r="C331" t="str">
            <v>EA</v>
          </cell>
          <cell r="D331" t="str">
            <v>CA</v>
          </cell>
          <cell r="E331">
            <v>6</v>
          </cell>
          <cell r="F331" t="str">
            <v>EA</v>
          </cell>
        </row>
        <row r="332">
          <cell r="A332" t="str">
            <v>VRB9717</v>
          </cell>
          <cell r="B332" t="str">
            <v>DIANEAL PD-2 2.5MEG/BAJO EN CA</v>
          </cell>
          <cell r="C332" t="str">
            <v>EA</v>
          </cell>
          <cell r="D332" t="str">
            <v>BX</v>
          </cell>
          <cell r="E332">
            <v>8</v>
          </cell>
          <cell r="F332" t="str">
            <v>EA</v>
          </cell>
        </row>
        <row r="333">
          <cell r="A333" t="str">
            <v>VRB9727</v>
          </cell>
          <cell r="B333" t="str">
            <v>DIANEAL PD-2 2.5MEG/BAJO EN CA</v>
          </cell>
          <cell r="C333" t="str">
            <v>EA</v>
          </cell>
          <cell r="D333" t="str">
            <v>CA</v>
          </cell>
          <cell r="E333">
            <v>8</v>
          </cell>
          <cell r="F333" t="str">
            <v>EA</v>
          </cell>
        </row>
        <row r="334">
          <cell r="A334" t="str">
            <v>VRB9747</v>
          </cell>
          <cell r="B334" t="str">
            <v>DIANEAL PD-2 2.5MEG/BAJO EN CA</v>
          </cell>
          <cell r="C334" t="str">
            <v>EA</v>
          </cell>
          <cell r="D334" t="str">
            <v>BX</v>
          </cell>
          <cell r="E334">
            <v>8</v>
          </cell>
          <cell r="F334" t="str">
            <v>EA</v>
          </cell>
        </row>
        <row r="335">
          <cell r="A335" t="str">
            <v>VRD5633</v>
          </cell>
          <cell r="B335" t="str">
            <v>OSMORIN (MANITOL) AL 20% X 500</v>
          </cell>
          <cell r="C335" t="str">
            <v>EA</v>
          </cell>
          <cell r="D335" t="str">
            <v>CA</v>
          </cell>
          <cell r="E335">
            <v>30</v>
          </cell>
          <cell r="F335" t="str">
            <v>EA</v>
          </cell>
        </row>
        <row r="336">
          <cell r="A336" t="str">
            <v>1A0694</v>
          </cell>
          <cell r="B336" t="str">
            <v>NITROGLICERINA X 50 MG</v>
          </cell>
          <cell r="C336" t="str">
            <v>EA</v>
          </cell>
          <cell r="D336" t="str">
            <v>BX</v>
          </cell>
          <cell r="E336">
            <v>1</v>
          </cell>
          <cell r="F336" t="str">
            <v>CA</v>
          </cell>
        </row>
        <row r="337">
          <cell r="A337" t="str">
            <v>1A0694</v>
          </cell>
          <cell r="B337" t="str">
            <v>NITROGLICERINA X 50 MG</v>
          </cell>
          <cell r="C337" t="str">
            <v>EA</v>
          </cell>
          <cell r="D337" t="str">
            <v>BX</v>
          </cell>
          <cell r="E337">
            <v>12</v>
          </cell>
          <cell r="F337" t="str">
            <v>EA</v>
          </cell>
        </row>
        <row r="338">
          <cell r="A338" t="str">
            <v>1A0694</v>
          </cell>
          <cell r="B338" t="str">
            <v>NITROGLICERINA X 50 MG</v>
          </cell>
          <cell r="C338" t="str">
            <v>EA</v>
          </cell>
          <cell r="D338" t="str">
            <v>CA</v>
          </cell>
          <cell r="E338">
            <v>12</v>
          </cell>
          <cell r="F338" t="str">
            <v>EA</v>
          </cell>
        </row>
        <row r="339">
          <cell r="A339" t="str">
            <v>1A0696</v>
          </cell>
          <cell r="B339" t="str">
            <v>NITROGLICERINA X 100 MG</v>
          </cell>
          <cell r="C339" t="str">
            <v>EA</v>
          </cell>
          <cell r="D339" t="str">
            <v>BX</v>
          </cell>
          <cell r="E339">
            <v>1</v>
          </cell>
          <cell r="F339" t="str">
            <v>CA</v>
          </cell>
        </row>
        <row r="340">
          <cell r="A340" t="str">
            <v>1A0696</v>
          </cell>
          <cell r="B340" t="str">
            <v>NITROGLICERINA X 100 MG</v>
          </cell>
          <cell r="C340" t="str">
            <v>EA</v>
          </cell>
          <cell r="D340" t="str">
            <v>BX</v>
          </cell>
          <cell r="E340">
            <v>12</v>
          </cell>
          <cell r="F340" t="str">
            <v>EA</v>
          </cell>
        </row>
        <row r="341">
          <cell r="A341" t="str">
            <v>1A0696</v>
          </cell>
          <cell r="B341" t="str">
            <v>NITROGLICERINA X 100 MG</v>
          </cell>
          <cell r="C341" t="str">
            <v>EA</v>
          </cell>
          <cell r="D341" t="str">
            <v>CA</v>
          </cell>
          <cell r="E341">
            <v>12</v>
          </cell>
          <cell r="F341" t="str">
            <v>EA</v>
          </cell>
        </row>
        <row r="342">
          <cell r="A342" t="str">
            <v>14102L</v>
          </cell>
          <cell r="B342" t="str">
            <v>NEOTRACE 4 DE 2 ML</v>
          </cell>
          <cell r="C342" t="str">
            <v>EA</v>
          </cell>
          <cell r="D342" t="str">
            <v>VI</v>
          </cell>
          <cell r="E342">
            <v>1</v>
          </cell>
          <cell r="F342" t="str">
            <v>EA</v>
          </cell>
        </row>
        <row r="343">
          <cell r="A343" t="str">
            <v>14403L</v>
          </cell>
          <cell r="B343" t="str">
            <v>PTE 5 DE 3 ML</v>
          </cell>
          <cell r="C343" t="str">
            <v>EA</v>
          </cell>
          <cell r="D343" t="str">
            <v>VI</v>
          </cell>
          <cell r="E343">
            <v>1</v>
          </cell>
          <cell r="F343" t="str">
            <v>EA</v>
          </cell>
        </row>
        <row r="344">
          <cell r="A344" t="str">
            <v>2L3301</v>
          </cell>
          <cell r="B344" t="str">
            <v>NUTREN 1.0 EN POLVO</v>
          </cell>
          <cell r="C344" t="str">
            <v>EA</v>
          </cell>
          <cell r="D344" t="str">
            <v>BX</v>
          </cell>
          <cell r="E344">
            <v>24</v>
          </cell>
          <cell r="F344" t="str">
            <v>EA</v>
          </cell>
        </row>
        <row r="345">
          <cell r="A345" t="str">
            <v>2L3302</v>
          </cell>
          <cell r="B345" t="str">
            <v>NUTREN JUNIOR EN POLVO</v>
          </cell>
          <cell r="C345" t="str">
            <v>EA</v>
          </cell>
          <cell r="D345" t="str">
            <v>BX</v>
          </cell>
          <cell r="E345">
            <v>24</v>
          </cell>
          <cell r="F345" t="str">
            <v>EA</v>
          </cell>
        </row>
        <row r="346">
          <cell r="A346" t="str">
            <v>2L6056</v>
          </cell>
          <cell r="B346" t="str">
            <v>NUTREN 1.0 CON FIBRA - VAINILL</v>
          </cell>
          <cell r="C346" t="str">
            <v>EA</v>
          </cell>
          <cell r="D346" t="str">
            <v>BX</v>
          </cell>
          <cell r="E346">
            <v>24</v>
          </cell>
          <cell r="F346" t="str">
            <v>EA</v>
          </cell>
        </row>
        <row r="347">
          <cell r="A347" t="str">
            <v>2L6090</v>
          </cell>
          <cell r="B347" t="str">
            <v>PEPTAMEN X 1000 ML</v>
          </cell>
          <cell r="C347" t="str">
            <v>EA</v>
          </cell>
          <cell r="D347" t="str">
            <v>BX</v>
          </cell>
          <cell r="E347">
            <v>6</v>
          </cell>
          <cell r="F347" t="str">
            <v>EA</v>
          </cell>
        </row>
        <row r="348">
          <cell r="A348" t="str">
            <v>2L6091</v>
          </cell>
          <cell r="B348" t="str">
            <v>PEPTAMEN BOLSA X 1500 ML</v>
          </cell>
          <cell r="C348" t="str">
            <v>EA</v>
          </cell>
          <cell r="D348" t="str">
            <v>BX</v>
          </cell>
          <cell r="E348">
            <v>4</v>
          </cell>
          <cell r="F348" t="str">
            <v>EA</v>
          </cell>
        </row>
        <row r="349">
          <cell r="A349" t="str">
            <v>2L6204</v>
          </cell>
          <cell r="B349" t="str">
            <v>PROBALANCE</v>
          </cell>
          <cell r="C349" t="str">
            <v>EA</v>
          </cell>
          <cell r="D349" t="str">
            <v>BX</v>
          </cell>
          <cell r="E349">
            <v>24</v>
          </cell>
          <cell r="F349" t="str">
            <v>EA</v>
          </cell>
        </row>
        <row r="350">
          <cell r="A350" t="str">
            <v>2L6210</v>
          </cell>
          <cell r="B350" t="str">
            <v>NUTREN 1.0 VAINILLA</v>
          </cell>
          <cell r="C350" t="str">
            <v>EA</v>
          </cell>
          <cell r="D350" t="str">
            <v>BX</v>
          </cell>
          <cell r="E350">
            <v>24</v>
          </cell>
          <cell r="F350" t="str">
            <v>EA</v>
          </cell>
        </row>
        <row r="351">
          <cell r="A351" t="str">
            <v>2L6220</v>
          </cell>
          <cell r="B351" t="str">
            <v>NUTREN 1.5 VAINILLA</v>
          </cell>
          <cell r="C351" t="str">
            <v>EA</v>
          </cell>
          <cell r="D351" t="str">
            <v>BX</v>
          </cell>
          <cell r="E351">
            <v>24</v>
          </cell>
          <cell r="F351" t="str">
            <v>EA</v>
          </cell>
        </row>
        <row r="352">
          <cell r="A352" t="str">
            <v>2L6229</v>
          </cell>
          <cell r="B352" t="str">
            <v>NUTREN 1.5 SIN SABOR</v>
          </cell>
          <cell r="C352" t="str">
            <v>EA</v>
          </cell>
          <cell r="D352" t="str">
            <v>BX</v>
          </cell>
          <cell r="E352">
            <v>24</v>
          </cell>
          <cell r="F352" t="str">
            <v>EA</v>
          </cell>
        </row>
        <row r="353">
          <cell r="A353" t="str">
            <v>2L6230</v>
          </cell>
          <cell r="B353" t="str">
            <v>NUTREN 2.0 VAINILLA</v>
          </cell>
          <cell r="C353" t="str">
            <v>EA</v>
          </cell>
          <cell r="D353" t="str">
            <v>BX</v>
          </cell>
          <cell r="E353">
            <v>24</v>
          </cell>
          <cell r="F353" t="str">
            <v>EA</v>
          </cell>
        </row>
        <row r="354">
          <cell r="A354" t="str">
            <v>2L6245</v>
          </cell>
          <cell r="B354" t="str">
            <v>REPLETE CON FIBRA - VAINILLA</v>
          </cell>
          <cell r="C354" t="str">
            <v>EA</v>
          </cell>
          <cell r="D354" t="str">
            <v>BX</v>
          </cell>
          <cell r="E354">
            <v>24</v>
          </cell>
          <cell r="F354" t="str">
            <v>EA</v>
          </cell>
        </row>
        <row r="355">
          <cell r="A355" t="str">
            <v>2L6252</v>
          </cell>
          <cell r="B355" t="str">
            <v>PEPTAMEN JUNIOR VAINILLA</v>
          </cell>
          <cell r="C355" t="str">
            <v>EA</v>
          </cell>
          <cell r="D355" t="str">
            <v>BX</v>
          </cell>
          <cell r="E355">
            <v>24</v>
          </cell>
          <cell r="F355" t="str">
            <v>EA</v>
          </cell>
        </row>
        <row r="356">
          <cell r="A356" t="str">
            <v>2L6253</v>
          </cell>
          <cell r="B356" t="str">
            <v>PEPTAMEN JUNIOR</v>
          </cell>
          <cell r="C356" t="str">
            <v>EA</v>
          </cell>
          <cell r="D356" t="str">
            <v>BX</v>
          </cell>
          <cell r="E356">
            <v>24</v>
          </cell>
          <cell r="F356" t="str">
            <v>EA</v>
          </cell>
        </row>
        <row r="357">
          <cell r="A357" t="str">
            <v>2L6260</v>
          </cell>
          <cell r="B357" t="str">
            <v>PEPTAMEN VAINILLA</v>
          </cell>
          <cell r="C357" t="str">
            <v>EA</v>
          </cell>
          <cell r="D357" t="str">
            <v>BX</v>
          </cell>
          <cell r="E357">
            <v>24</v>
          </cell>
          <cell r="F357" t="str">
            <v>EA</v>
          </cell>
        </row>
        <row r="358">
          <cell r="A358" t="str">
            <v>2L6269</v>
          </cell>
          <cell r="B358" t="str">
            <v>PEPTAMEN INSABORO</v>
          </cell>
          <cell r="C358" t="str">
            <v>EA</v>
          </cell>
          <cell r="D358" t="str">
            <v>BX</v>
          </cell>
          <cell r="E358">
            <v>24</v>
          </cell>
          <cell r="F358" t="str">
            <v>EA</v>
          </cell>
        </row>
        <row r="359">
          <cell r="A359" t="str">
            <v>2L6270</v>
          </cell>
          <cell r="B359" t="str">
            <v>PEPTAMEN VHP VAINILLA</v>
          </cell>
          <cell r="C359" t="str">
            <v>EA</v>
          </cell>
          <cell r="D359" t="str">
            <v>BX</v>
          </cell>
          <cell r="E359">
            <v>24</v>
          </cell>
          <cell r="F359" t="str">
            <v>EA</v>
          </cell>
        </row>
        <row r="360">
          <cell r="A360" t="str">
            <v>2L6272</v>
          </cell>
          <cell r="B360" t="str">
            <v>PEPTAMEN VHP INSABORO</v>
          </cell>
          <cell r="C360" t="str">
            <v>EA</v>
          </cell>
          <cell r="D360" t="str">
            <v>BX</v>
          </cell>
          <cell r="E360">
            <v>24</v>
          </cell>
          <cell r="F360" t="str">
            <v>EA</v>
          </cell>
        </row>
        <row r="361">
          <cell r="A361" t="str">
            <v>2L6275</v>
          </cell>
          <cell r="B361" t="str">
            <v>GLYTROL</v>
          </cell>
          <cell r="C361" t="str">
            <v>EA</v>
          </cell>
          <cell r="D361" t="str">
            <v>BX</v>
          </cell>
          <cell r="E361">
            <v>24</v>
          </cell>
          <cell r="F361" t="str">
            <v>EA</v>
          </cell>
        </row>
        <row r="362">
          <cell r="A362" t="str">
            <v>2L6280</v>
          </cell>
          <cell r="B362" t="str">
            <v>CRUCIAL DIETA ELEMENTAL</v>
          </cell>
          <cell r="C362" t="str">
            <v>EA</v>
          </cell>
          <cell r="D362" t="str">
            <v>BX</v>
          </cell>
          <cell r="E362">
            <v>24</v>
          </cell>
          <cell r="F362" t="str">
            <v>EA</v>
          </cell>
        </row>
        <row r="363">
          <cell r="A363" t="str">
            <v>2L6283</v>
          </cell>
          <cell r="B363" t="str">
            <v>CRUCIAL ULTRAPACK</v>
          </cell>
          <cell r="C363" t="str">
            <v>EA</v>
          </cell>
          <cell r="D363" t="str">
            <v>BX</v>
          </cell>
          <cell r="E363">
            <v>6</v>
          </cell>
          <cell r="F363" t="str">
            <v>EA</v>
          </cell>
        </row>
        <row r="364">
          <cell r="A364" t="str">
            <v>2L6350</v>
          </cell>
          <cell r="B364" t="str">
            <v>ULTRAPACK NUTREN 1.0 EN 1000 M</v>
          </cell>
          <cell r="C364" t="str">
            <v>EA</v>
          </cell>
          <cell r="D364" t="str">
            <v>BX</v>
          </cell>
          <cell r="E364">
            <v>6</v>
          </cell>
          <cell r="F364" t="str">
            <v>EA</v>
          </cell>
        </row>
        <row r="365">
          <cell r="A365" t="str">
            <v>2L6351</v>
          </cell>
          <cell r="B365" t="str">
            <v>ULTRAPACK NUTREN 1.0 EN 1500 M</v>
          </cell>
          <cell r="C365" t="str">
            <v>EA</v>
          </cell>
          <cell r="D365" t="str">
            <v>BX</v>
          </cell>
          <cell r="E365">
            <v>4</v>
          </cell>
          <cell r="F365" t="str">
            <v>EA</v>
          </cell>
        </row>
        <row r="366">
          <cell r="A366" t="str">
            <v>2L6352</v>
          </cell>
          <cell r="B366" t="str">
            <v>NUTREN 1.0 CON FIBRA BOLSA X10</v>
          </cell>
          <cell r="C366" t="str">
            <v>EA</v>
          </cell>
          <cell r="D366" t="str">
            <v>BX</v>
          </cell>
          <cell r="E366">
            <v>6</v>
          </cell>
          <cell r="F366" t="str">
            <v>EA</v>
          </cell>
        </row>
        <row r="367">
          <cell r="A367" t="str">
            <v>2L6353</v>
          </cell>
          <cell r="B367" t="str">
            <v>NUTREN 1.0 CON FIBRA BOLSAX150</v>
          </cell>
          <cell r="C367" t="str">
            <v>EA</v>
          </cell>
          <cell r="D367" t="str">
            <v>BX</v>
          </cell>
          <cell r="E367">
            <v>4</v>
          </cell>
          <cell r="F367" t="str">
            <v>EA</v>
          </cell>
        </row>
        <row r="368">
          <cell r="A368" t="str">
            <v>2L6354</v>
          </cell>
          <cell r="B368" t="str">
            <v>ULTRAPACK NUTREN 1.5 EN 1000 M</v>
          </cell>
          <cell r="C368" t="str">
            <v>EA</v>
          </cell>
          <cell r="D368" t="str">
            <v>BX</v>
          </cell>
          <cell r="E368">
            <v>6</v>
          </cell>
          <cell r="F368" t="str">
            <v>EA</v>
          </cell>
        </row>
        <row r="369">
          <cell r="A369" t="str">
            <v>2L6356</v>
          </cell>
          <cell r="B369" t="str">
            <v>REPLETE BOLSA X 100 ML</v>
          </cell>
          <cell r="C369" t="str">
            <v>EA</v>
          </cell>
          <cell r="D369" t="str">
            <v>BX</v>
          </cell>
          <cell r="E369">
            <v>6</v>
          </cell>
          <cell r="F369" t="str">
            <v>EA</v>
          </cell>
        </row>
        <row r="370">
          <cell r="A370" t="str">
            <v>2L6357</v>
          </cell>
          <cell r="B370" t="str">
            <v>REPLETE BOLSA X 1500 ML</v>
          </cell>
          <cell r="C370" t="str">
            <v>EA</v>
          </cell>
          <cell r="D370" t="str">
            <v>BX</v>
          </cell>
          <cell r="E370">
            <v>4</v>
          </cell>
          <cell r="F370" t="str">
            <v>EA</v>
          </cell>
        </row>
        <row r="371">
          <cell r="A371" t="str">
            <v>2L6362</v>
          </cell>
          <cell r="B371" t="str">
            <v>NUTRIVENT BOLSA X100 ML</v>
          </cell>
          <cell r="C371" t="str">
            <v>EA</v>
          </cell>
          <cell r="D371" t="str">
            <v>BX</v>
          </cell>
          <cell r="E371">
            <v>6</v>
          </cell>
          <cell r="F371" t="str">
            <v>EA</v>
          </cell>
        </row>
        <row r="372">
          <cell r="A372" t="str">
            <v>2L6364</v>
          </cell>
          <cell r="B372" t="str">
            <v>NUTREN 1.0X1.000 ML ULTRAPACK</v>
          </cell>
          <cell r="C372" t="str">
            <v>EA</v>
          </cell>
          <cell r="D372" t="str">
            <v>BX</v>
          </cell>
          <cell r="E372">
            <v>6</v>
          </cell>
          <cell r="F372" t="str">
            <v>EA</v>
          </cell>
        </row>
        <row r="373">
          <cell r="A373" t="str">
            <v>2L6370</v>
          </cell>
          <cell r="B373" t="str">
            <v>ULTRAPACK NUTREN 1.5 X 1000 ML</v>
          </cell>
          <cell r="C373" t="str">
            <v>EA</v>
          </cell>
          <cell r="D373" t="str">
            <v>BX</v>
          </cell>
          <cell r="E373">
            <v>6</v>
          </cell>
          <cell r="F373" t="str">
            <v>EA</v>
          </cell>
        </row>
        <row r="374">
          <cell r="A374" t="str">
            <v>2L6376</v>
          </cell>
          <cell r="B374" t="str">
            <v>ULTRAPACK GLYTROL 1L</v>
          </cell>
          <cell r="C374" t="str">
            <v>EA</v>
          </cell>
          <cell r="D374" t="str">
            <v>BX</v>
          </cell>
          <cell r="E374">
            <v>6</v>
          </cell>
          <cell r="F374" t="str">
            <v>EA</v>
          </cell>
        </row>
        <row r="375">
          <cell r="A375" t="str">
            <v>2L6377</v>
          </cell>
          <cell r="B375" t="str">
            <v>GLYTROL ULTRAPACK 1.5 L</v>
          </cell>
          <cell r="C375" t="str">
            <v>EA</v>
          </cell>
          <cell r="D375" t="str">
            <v>BX</v>
          </cell>
          <cell r="E375">
            <v>4</v>
          </cell>
          <cell r="F375" t="str">
            <v>EA</v>
          </cell>
        </row>
        <row r="376">
          <cell r="A376" t="str">
            <v>2L6480</v>
          </cell>
          <cell r="B376" t="str">
            <v>NUTRIVENT</v>
          </cell>
          <cell r="C376" t="str">
            <v>EA</v>
          </cell>
          <cell r="D376" t="str">
            <v>BX</v>
          </cell>
          <cell r="E376">
            <v>24</v>
          </cell>
          <cell r="F376" t="str">
            <v>EA</v>
          </cell>
        </row>
        <row r="377">
          <cell r="A377" t="str">
            <v>2L7100</v>
          </cell>
          <cell r="B377" t="str">
            <v>NUBASICS VAINILLA</v>
          </cell>
          <cell r="C377" t="str">
            <v>EA</v>
          </cell>
          <cell r="D377" t="str">
            <v>BX</v>
          </cell>
          <cell r="E377">
            <v>24</v>
          </cell>
          <cell r="F377" t="str">
            <v>EA</v>
          </cell>
        </row>
        <row r="378">
          <cell r="A378" t="str">
            <v>2L7101</v>
          </cell>
          <cell r="B378" t="str">
            <v>NUBASICS CHOCOLATE</v>
          </cell>
          <cell r="C378" t="str">
            <v>EA</v>
          </cell>
          <cell r="D378" t="str">
            <v>BX</v>
          </cell>
          <cell r="E378">
            <v>24</v>
          </cell>
          <cell r="F378" t="str">
            <v>EA</v>
          </cell>
        </row>
        <row r="379">
          <cell r="A379" t="str">
            <v>2L7102</v>
          </cell>
          <cell r="B379" t="str">
            <v>NUBASICS FRESA</v>
          </cell>
          <cell r="C379" t="str">
            <v>EA</v>
          </cell>
          <cell r="D379" t="str">
            <v>BX</v>
          </cell>
          <cell r="E379">
            <v>24</v>
          </cell>
          <cell r="F379" t="str">
            <v>EA</v>
          </cell>
        </row>
        <row r="380">
          <cell r="A380" t="str">
            <v>2L8004</v>
          </cell>
          <cell r="B380" t="str">
            <v>BOLSA VACIA CLINTEC x 1300 ml</v>
          </cell>
          <cell r="C380" t="str">
            <v>EA</v>
          </cell>
          <cell r="D380" t="str">
            <v>BX</v>
          </cell>
          <cell r="E380">
            <v>30</v>
          </cell>
          <cell r="F380" t="str">
            <v>EA</v>
          </cell>
        </row>
        <row r="381">
          <cell r="A381" t="str">
            <v>2L8005</v>
          </cell>
          <cell r="B381" t="str">
            <v>BOLSA VACIA CLINTEC x 500 ml</v>
          </cell>
          <cell r="C381" t="str">
            <v>EA</v>
          </cell>
          <cell r="D381" t="str">
            <v>BX</v>
          </cell>
          <cell r="E381">
            <v>30</v>
          </cell>
          <cell r="F381" t="str">
            <v>EA</v>
          </cell>
        </row>
        <row r="382">
          <cell r="A382" t="str">
            <v>2910L</v>
          </cell>
          <cell r="B382" t="str">
            <v>MTE 5 CONCENTRADO 10 ML</v>
          </cell>
          <cell r="C382" t="str">
            <v>EA</v>
          </cell>
          <cell r="D382" t="str">
            <v>EA</v>
          </cell>
          <cell r="E382">
            <v>1</v>
          </cell>
          <cell r="F382" t="str">
            <v>VI</v>
          </cell>
        </row>
        <row r="383">
          <cell r="A383" t="str">
            <v>8605P</v>
          </cell>
          <cell r="B383" t="str">
            <v>POTASSIUM PHOSPATE 5 ML</v>
          </cell>
          <cell r="C383" t="str">
            <v>EA</v>
          </cell>
          <cell r="D383" t="str">
            <v>VI</v>
          </cell>
          <cell r="E383">
            <v>1</v>
          </cell>
          <cell r="F383" t="str">
            <v>EA</v>
          </cell>
        </row>
        <row r="384">
          <cell r="A384" t="str">
            <v>8615P</v>
          </cell>
          <cell r="B384" t="str">
            <v>POTASSIUM PHOSPATE 15 ML</v>
          </cell>
          <cell r="C384" t="str">
            <v>EA</v>
          </cell>
          <cell r="D384" t="str">
            <v>VI</v>
          </cell>
          <cell r="E384">
            <v>1</v>
          </cell>
          <cell r="F384" t="str">
            <v>EA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LE"/>
      <sheetName val="ECUADOR"/>
      <sheetName val="VENEZUELA"/>
      <sheetName val="PANAMA"/>
      <sheetName val="PERU"/>
      <sheetName val="BRASIL"/>
      <sheetName val="CA"/>
      <sheetName val="MEXICO"/>
      <sheetName val="OTRO"/>
      <sheetName val="RESUMEN UNIDADES"/>
      <sheetName val="RESUMEN VENTAS x PAIS"/>
      <sheetName val="RESUMEN VENTAS x MES"/>
      <sheetName val="RESUMEN COSTO x M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de1"/>
      <sheetName val="LISTAS CATALOGOS"/>
      <sheetName val="LISTAS SAP"/>
      <sheetName val="side1.xls"/>
    </sheetNames>
    <definedNames>
      <definedName name="GEN_BotonIngresoCancel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LALRACION SALARIOS"/>
      <sheetName val="TARJETAS ALO"/>
      <sheetName val="DATOS OPERATIVOS "/>
      <sheetName val="CIF-1"/>
      <sheetName val="CIF-1$"/>
      <sheetName val="CIF-2"/>
      <sheetName val="CIF-2$"/>
      <sheetName val="CIF-3"/>
      <sheetName val="CIF-3$"/>
      <sheetName val=" CIF-04BAL Q y $"/>
      <sheetName val="CIF-4RES"/>
      <sheetName val="CIF-4RES US$"/>
      <sheetName val="COMITE CORREGIDO"/>
      <sheetName val="Comentarios al Balance"/>
      <sheetName val="Comentarios Resultados"/>
      <sheetName val="BALCOMQ"/>
      <sheetName val="BALCOM DOLARES"/>
      <sheetName val="BALCOM DOLARES (2)"/>
      <sheetName val="BALCOM  PESOS"/>
      <sheetName val="REscom Q"/>
      <sheetName val="Rescom Dolares"/>
      <sheetName val="Rescom Pesos"/>
      <sheetName val="CONS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G1" t="str">
            <v>SERCOM, S.A.</v>
          </cell>
          <cell r="J1" t="str">
            <v xml:space="preserve">                         SERCOM, S.A.</v>
          </cell>
          <cell r="N1" t="str">
            <v>SERVICIOS DE COMUNICACIONES PERSONALES INALAMBRICAS, S.A.</v>
          </cell>
        </row>
        <row r="2">
          <cell r="F2" t="str">
            <v xml:space="preserve">                                                        ESTADO DE SITUACION FINANCIERA</v>
          </cell>
          <cell r="J2" t="str">
            <v xml:space="preserve">                                                        ESTADO DE SITUACION FINANCIERA</v>
          </cell>
          <cell r="N2" t="str">
            <v>ESTADO DE RESULTADOS</v>
          </cell>
          <cell r="AE2" t="str">
            <v>CIF: 3</v>
          </cell>
        </row>
        <row r="3">
          <cell r="H3" t="e">
            <v>#REF!</v>
          </cell>
          <cell r="J3" t="e">
            <v>#REF!</v>
          </cell>
          <cell r="N3" t="str">
            <v>AL 30 DE JUNIO DEL 2000</v>
          </cell>
        </row>
        <row r="4">
          <cell r="F4" t="str">
            <v xml:space="preserve">                                    (EN DOLARES)</v>
          </cell>
          <cell r="J4" t="str">
            <v xml:space="preserve">                                    (EN QUETZALES)</v>
          </cell>
          <cell r="N4" t="str">
            <v>QUETZALES</v>
          </cell>
        </row>
        <row r="5">
          <cell r="B5" t="str">
            <v>ENERO</v>
          </cell>
          <cell r="D5" t="str">
            <v>FEBRERO</v>
          </cell>
          <cell r="F5" t="str">
            <v>MARZO</v>
          </cell>
          <cell r="J5" t="str">
            <v>ABRIL</v>
          </cell>
          <cell r="N5" t="str">
            <v>MAYO</v>
          </cell>
          <cell r="R5" t="str">
            <v>JUNIO</v>
          </cell>
          <cell r="V5" t="str">
            <v xml:space="preserve">% </v>
          </cell>
          <cell r="X5" t="str">
            <v>JUNIO</v>
          </cell>
          <cell r="Y5" t="str">
            <v>JUNIO</v>
          </cell>
          <cell r="AC5" t="str">
            <v xml:space="preserve">% </v>
          </cell>
          <cell r="AE5" t="str">
            <v>%</v>
          </cell>
        </row>
        <row r="6">
          <cell r="B6" t="str">
            <v>REAL</v>
          </cell>
          <cell r="C6" t="str">
            <v>PTO.</v>
          </cell>
          <cell r="D6" t="str">
            <v>REAL</v>
          </cell>
          <cell r="E6" t="str">
            <v>PTO.</v>
          </cell>
          <cell r="F6" t="str">
            <v>REAL</v>
          </cell>
          <cell r="G6" t="str">
            <v>VARIACION</v>
          </cell>
          <cell r="H6" t="str">
            <v>%</v>
          </cell>
          <cell r="I6" t="str">
            <v>PTO.</v>
          </cell>
          <cell r="J6" t="str">
            <v>REAL</v>
          </cell>
          <cell r="K6" t="str">
            <v>VARIACION</v>
          </cell>
          <cell r="L6" t="str">
            <v>%</v>
          </cell>
          <cell r="M6" t="str">
            <v>PTO.</v>
          </cell>
          <cell r="N6" t="str">
            <v>REAL</v>
          </cell>
          <cell r="O6" t="str">
            <v>VARIACION</v>
          </cell>
          <cell r="P6" t="str">
            <v>%</v>
          </cell>
          <cell r="Q6" t="str">
            <v>PTO.</v>
          </cell>
          <cell r="R6" t="str">
            <v>REAL</v>
          </cell>
          <cell r="S6" t="str">
            <v>VARIACION</v>
          </cell>
          <cell r="T6" t="str">
            <v>%</v>
          </cell>
          <cell r="U6" t="str">
            <v>PTO</v>
          </cell>
          <cell r="V6" t="str">
            <v xml:space="preserve">DE </v>
          </cell>
          <cell r="W6" t="str">
            <v>CONCEPTO</v>
          </cell>
          <cell r="X6" t="str">
            <v>REAL</v>
          </cell>
          <cell r="Y6" t="str">
            <v>REAL</v>
          </cell>
          <cell r="Z6" t="str">
            <v>VARIACION</v>
          </cell>
          <cell r="AA6" t="str">
            <v>%</v>
          </cell>
          <cell r="AB6" t="str">
            <v>PTO.</v>
          </cell>
          <cell r="AC6" t="str">
            <v xml:space="preserve">DE </v>
          </cell>
          <cell r="AD6" t="str">
            <v>META</v>
          </cell>
          <cell r="AE6" t="str">
            <v>CUMPLIM.</v>
          </cell>
        </row>
        <row r="7">
          <cell r="B7">
            <v>2000</v>
          </cell>
          <cell r="C7">
            <v>2000</v>
          </cell>
          <cell r="D7">
            <v>2000</v>
          </cell>
          <cell r="E7">
            <v>2000</v>
          </cell>
          <cell r="F7">
            <v>2000</v>
          </cell>
          <cell r="G7" t="str">
            <v>99/00</v>
          </cell>
          <cell r="H7" t="str">
            <v>VARIAC.</v>
          </cell>
          <cell r="I7">
            <v>2000</v>
          </cell>
          <cell r="J7">
            <v>2000</v>
          </cell>
          <cell r="K7" t="str">
            <v>99/00</v>
          </cell>
          <cell r="L7" t="str">
            <v>VARIAC.</v>
          </cell>
          <cell r="M7">
            <v>2000</v>
          </cell>
          <cell r="N7">
            <v>2000</v>
          </cell>
          <cell r="O7" t="str">
            <v>99/00</v>
          </cell>
          <cell r="P7" t="str">
            <v>VARIAC.</v>
          </cell>
          <cell r="Q7">
            <v>2000</v>
          </cell>
          <cell r="R7">
            <v>2000</v>
          </cell>
          <cell r="S7" t="str">
            <v>99/00</v>
          </cell>
          <cell r="T7" t="str">
            <v>VARIAC.</v>
          </cell>
          <cell r="U7">
            <v>2000</v>
          </cell>
          <cell r="V7" t="str">
            <v>AVA.</v>
          </cell>
          <cell r="X7">
            <v>1999</v>
          </cell>
          <cell r="Y7">
            <v>2000</v>
          </cell>
          <cell r="Z7" t="str">
            <v>99/00</v>
          </cell>
          <cell r="AA7" t="str">
            <v>VARIAC.</v>
          </cell>
          <cell r="AB7">
            <v>2000</v>
          </cell>
          <cell r="AC7" t="str">
            <v>AVA.</v>
          </cell>
          <cell r="AD7">
            <v>2000</v>
          </cell>
          <cell r="AE7" t="str">
            <v>S/META</v>
          </cell>
        </row>
        <row r="9">
          <cell r="W9" t="str">
            <v>INGRESOS TOTALES</v>
          </cell>
        </row>
        <row r="10">
          <cell r="B10">
            <v>18985250.984820001</v>
          </cell>
          <cell r="C10">
            <v>19613763.359999999</v>
          </cell>
          <cell r="D10">
            <v>19244576.66</v>
          </cell>
          <cell r="E10">
            <v>38879168</v>
          </cell>
          <cell r="F10">
            <v>21918087.030000001</v>
          </cell>
          <cell r="I10">
            <v>39985299</v>
          </cell>
          <cell r="J10">
            <v>24647398.440000001</v>
          </cell>
          <cell r="M10">
            <v>41101255</v>
          </cell>
          <cell r="N10">
            <v>22688349.420000002</v>
          </cell>
          <cell r="O10">
            <v>22433756.420000002</v>
          </cell>
          <cell r="P10">
            <v>88.116155668066298</v>
          </cell>
          <cell r="Q10">
            <v>42195375</v>
          </cell>
          <cell r="R10">
            <v>18866815.41</v>
          </cell>
          <cell r="S10">
            <v>18612222.41</v>
          </cell>
          <cell r="T10">
            <v>0.98650577776549098</v>
          </cell>
          <cell r="U10">
            <v>43347119</v>
          </cell>
          <cell r="V10">
            <v>0.43524958163886279</v>
          </cell>
          <cell r="W10" t="str">
            <v>TRAFICO LOCAL</v>
          </cell>
          <cell r="X10">
            <v>254593</v>
          </cell>
          <cell r="Y10">
            <v>126768320.94482</v>
          </cell>
          <cell r="AB10">
            <v>225121979.36000001</v>
          </cell>
          <cell r="AC10">
            <v>0.56310948093655744</v>
          </cell>
          <cell r="AD10">
            <v>65587221</v>
          </cell>
          <cell r="AE10">
            <v>1.9328204337979193</v>
          </cell>
        </row>
        <row r="11">
          <cell r="B11">
            <v>433915.65091000003</v>
          </cell>
          <cell r="C11">
            <v>445969.07999999996</v>
          </cell>
          <cell r="D11">
            <v>1653206.46</v>
          </cell>
          <cell r="E11">
            <v>4759138</v>
          </cell>
          <cell r="F11">
            <v>1438721.13</v>
          </cell>
          <cell r="I11">
            <v>4894538</v>
          </cell>
          <cell r="J11">
            <v>1797860.14</v>
          </cell>
          <cell r="M11">
            <v>5031140</v>
          </cell>
          <cell r="N11">
            <v>2958673.77</v>
          </cell>
          <cell r="O11">
            <v>-1383883.23</v>
          </cell>
          <cell r="P11">
            <v>-0.3186793472140953</v>
          </cell>
          <cell r="Q11">
            <v>5165070</v>
          </cell>
          <cell r="R11">
            <v>2112623.9500000002</v>
          </cell>
          <cell r="S11">
            <v>-2229933.0499999998</v>
          </cell>
          <cell r="T11">
            <v>-1.0555276768494457</v>
          </cell>
          <cell r="U11">
            <v>5306053</v>
          </cell>
          <cell r="V11">
            <v>0.39815357102539312</v>
          </cell>
          <cell r="W11" t="str">
            <v>TRAFICO INTERNACIONAL</v>
          </cell>
          <cell r="X11">
            <v>4342557</v>
          </cell>
          <cell r="Y11">
            <v>10395001.100910001</v>
          </cell>
          <cell r="AB11">
            <v>25601908.079999998</v>
          </cell>
          <cell r="AC11">
            <v>0.40602446772436041</v>
          </cell>
          <cell r="AD11">
            <v>535806398</v>
          </cell>
          <cell r="AE11">
            <v>1.9400666247568771E-2</v>
          </cell>
        </row>
        <row r="12">
          <cell r="B12">
            <v>-1357605.0978900001</v>
          </cell>
          <cell r="C12">
            <v>1755566.9999999998</v>
          </cell>
          <cell r="D12">
            <v>5539344</v>
          </cell>
          <cell r="E12">
            <v>0</v>
          </cell>
          <cell r="F12">
            <v>1701728</v>
          </cell>
          <cell r="I12">
            <v>0</v>
          </cell>
          <cell r="J12">
            <v>1876617.55</v>
          </cell>
          <cell r="M12">
            <v>0</v>
          </cell>
          <cell r="N12">
            <v>2528505.4499999997</v>
          </cell>
          <cell r="O12">
            <v>2528505.4499999997</v>
          </cell>
          <cell r="R12">
            <v>1573336.79</v>
          </cell>
          <cell r="S12">
            <v>1573336.79</v>
          </cell>
          <cell r="T12">
            <v>1</v>
          </cell>
          <cell r="U12">
            <v>0</v>
          </cell>
          <cell r="V12">
            <v>0</v>
          </cell>
          <cell r="W12" t="str">
            <v>VENTA APARATOS  TARIFARIOS</v>
          </cell>
          <cell r="X12">
            <v>0</v>
          </cell>
          <cell r="Y12">
            <v>11861926.692109998</v>
          </cell>
          <cell r="AB12">
            <v>1755566.9999999998</v>
          </cell>
          <cell r="AC12">
            <v>6.7567496382137504</v>
          </cell>
          <cell r="AE12">
            <v>0</v>
          </cell>
        </row>
        <row r="13">
          <cell r="B13">
            <v>3776848.5082</v>
          </cell>
          <cell r="C13">
            <v>12530918.879999999</v>
          </cell>
          <cell r="D13">
            <v>5105224.08</v>
          </cell>
          <cell r="E13">
            <v>2311244</v>
          </cell>
          <cell r="F13">
            <v>3067809.01</v>
          </cell>
          <cell r="I13">
            <v>2377000</v>
          </cell>
          <cell r="J13">
            <v>-594280.17999999993</v>
          </cell>
          <cell r="M13">
            <v>2443340</v>
          </cell>
          <cell r="N13">
            <v>1228509.54</v>
          </cell>
          <cell r="O13">
            <v>1228509.54</v>
          </cell>
          <cell r="Q13">
            <v>2508382</v>
          </cell>
          <cell r="R13">
            <v>11606771.82</v>
          </cell>
          <cell r="S13">
            <v>11606771.82</v>
          </cell>
          <cell r="T13">
            <v>1</v>
          </cell>
          <cell r="U13">
            <v>2576849</v>
          </cell>
          <cell r="V13">
            <v>4.5042498881385757</v>
          </cell>
          <cell r="W13" t="str">
            <v>VENTA APARATOS PRE-PAGO</v>
          </cell>
          <cell r="X13">
            <v>0</v>
          </cell>
          <cell r="Y13">
            <v>25323653.778200001</v>
          </cell>
          <cell r="AB13">
            <v>24747733.879999999</v>
          </cell>
          <cell r="AC13">
            <v>1.0232716215954396</v>
          </cell>
          <cell r="AE13">
            <v>0</v>
          </cell>
        </row>
        <row r="14">
          <cell r="B14">
            <v>9328183.3634799998</v>
          </cell>
          <cell r="C14">
            <v>10361832.119999999</v>
          </cell>
          <cell r="D14">
            <v>196610.92</v>
          </cell>
          <cell r="E14">
            <v>0</v>
          </cell>
          <cell r="F14">
            <v>1582092.73</v>
          </cell>
          <cell r="J14">
            <v>1671444.54</v>
          </cell>
          <cell r="N14">
            <v>6692121.8200000003</v>
          </cell>
          <cell r="O14">
            <v>6692121.8200000003</v>
          </cell>
          <cell r="Q14">
            <v>0</v>
          </cell>
          <cell r="R14">
            <v>6041341.2699999996</v>
          </cell>
          <cell r="S14">
            <v>6041341.2699999996</v>
          </cell>
          <cell r="T14">
            <v>1</v>
          </cell>
          <cell r="U14">
            <v>0</v>
          </cell>
          <cell r="V14">
            <v>0</v>
          </cell>
          <cell r="W14" t="str">
            <v>TRAFICO LOCAL PREPAGO</v>
          </cell>
          <cell r="X14">
            <v>0</v>
          </cell>
          <cell r="Y14">
            <v>25511794.643479999</v>
          </cell>
          <cell r="AB14">
            <v>10361832.119999999</v>
          </cell>
          <cell r="AC14">
            <v>2.4620930302700175</v>
          </cell>
          <cell r="AD14">
            <v>31852000</v>
          </cell>
          <cell r="AE14">
            <v>0.80094796695592108</v>
          </cell>
        </row>
        <row r="15">
          <cell r="B15">
            <v>6288.4027700000006</v>
          </cell>
          <cell r="C15">
            <v>6458.4</v>
          </cell>
          <cell r="D15">
            <v>7584.55</v>
          </cell>
          <cell r="E15">
            <v>0</v>
          </cell>
          <cell r="F15">
            <v>152322.07</v>
          </cell>
          <cell r="J15">
            <v>67141.08</v>
          </cell>
          <cell r="N15">
            <v>33417.26</v>
          </cell>
          <cell r="O15">
            <v>33417.26</v>
          </cell>
          <cell r="Q15">
            <v>0</v>
          </cell>
          <cell r="R15">
            <v>30860.18</v>
          </cell>
          <cell r="S15">
            <v>30860.18</v>
          </cell>
          <cell r="T15">
            <v>1</v>
          </cell>
          <cell r="U15">
            <v>0</v>
          </cell>
          <cell r="V15">
            <v>0</v>
          </cell>
          <cell r="W15" t="str">
            <v>OTRAS VENTAS</v>
          </cell>
          <cell r="X15">
            <v>0</v>
          </cell>
          <cell r="Y15">
            <v>297613.54277</v>
          </cell>
          <cell r="AB15">
            <v>6458.4</v>
          </cell>
          <cell r="AC15">
            <v>46.081621263780505</v>
          </cell>
          <cell r="AE15">
            <v>0</v>
          </cell>
        </row>
        <row r="16">
          <cell r="B16">
            <v>0</v>
          </cell>
          <cell r="D16">
            <v>12726935.810000001</v>
          </cell>
          <cell r="E16">
            <v>0</v>
          </cell>
          <cell r="F16">
            <v>929579.28</v>
          </cell>
          <cell r="I16">
            <v>0</v>
          </cell>
          <cell r="J16">
            <v>1883841.9</v>
          </cell>
          <cell r="M16">
            <v>0</v>
          </cell>
          <cell r="N16">
            <v>2642122.58</v>
          </cell>
          <cell r="O16">
            <v>2642122.58</v>
          </cell>
          <cell r="Q16">
            <v>0</v>
          </cell>
          <cell r="R16">
            <v>1687657.25</v>
          </cell>
          <cell r="S16">
            <v>1687657.25</v>
          </cell>
          <cell r="T16">
            <v>1</v>
          </cell>
          <cell r="V16">
            <v>0</v>
          </cell>
          <cell r="W16" t="str">
            <v>INTERCONEXION</v>
          </cell>
          <cell r="X16">
            <v>0</v>
          </cell>
          <cell r="Y16">
            <v>19870136.82</v>
          </cell>
          <cell r="AB16">
            <v>0</v>
          </cell>
          <cell r="AC16">
            <v>0</v>
          </cell>
          <cell r="AE16">
            <v>0</v>
          </cell>
        </row>
        <row r="17">
          <cell r="E17">
            <v>0</v>
          </cell>
          <cell r="I17">
            <v>0</v>
          </cell>
          <cell r="M17">
            <v>0</v>
          </cell>
          <cell r="O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e">
            <v>#DIV/0!</v>
          </cell>
          <cell r="W17" t="str">
            <v>DESCUENTOS S/VENTAS</v>
          </cell>
          <cell r="X17">
            <v>0</v>
          </cell>
          <cell r="Y17">
            <v>0</v>
          </cell>
          <cell r="AB17">
            <v>0</v>
          </cell>
          <cell r="AE17">
            <v>0</v>
          </cell>
        </row>
        <row r="18">
          <cell r="F18">
            <v>0</v>
          </cell>
          <cell r="I18">
            <v>0</v>
          </cell>
          <cell r="M18">
            <v>0</v>
          </cell>
          <cell r="N18">
            <v>0</v>
          </cell>
          <cell r="S18">
            <v>0</v>
          </cell>
          <cell r="T18">
            <v>0</v>
          </cell>
          <cell r="V18">
            <v>0</v>
          </cell>
          <cell r="Y18">
            <v>0</v>
          </cell>
          <cell r="AB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S19">
            <v>0</v>
          </cell>
          <cell r="T19">
            <v>0</v>
          </cell>
          <cell r="V19">
            <v>0</v>
          </cell>
          <cell r="AE19">
            <v>0</v>
          </cell>
        </row>
        <row r="20">
          <cell r="B20">
            <v>31172881.812290002</v>
          </cell>
          <cell r="C20">
            <v>44714508.839999989</v>
          </cell>
          <cell r="D20">
            <v>44473482.480000004</v>
          </cell>
          <cell r="E20">
            <v>45949550</v>
          </cell>
          <cell r="F20">
            <v>30790339.250000004</v>
          </cell>
          <cell r="I20">
            <v>47256837</v>
          </cell>
          <cell r="J20">
            <v>31350023.469999999</v>
          </cell>
          <cell r="M20">
            <v>48575735</v>
          </cell>
          <cell r="N20">
            <v>38771699.839999996</v>
          </cell>
          <cell r="Q20">
            <v>49868827</v>
          </cell>
          <cell r="R20">
            <v>41919406.669999994</v>
          </cell>
          <cell r="S20">
            <v>37322256.669999994</v>
          </cell>
          <cell r="T20">
            <v>0.89033361001051592</v>
          </cell>
          <cell r="U20">
            <v>51230021</v>
          </cell>
          <cell r="V20">
            <v>0.81825862749499934</v>
          </cell>
          <cell r="W20" t="str">
            <v>SUMA</v>
          </cell>
          <cell r="Y20">
            <v>220028447.52228999</v>
          </cell>
          <cell r="AB20">
            <v>287595478.83999997</v>
          </cell>
          <cell r="AC20">
            <v>0.76506226179132664</v>
          </cell>
          <cell r="AD20">
            <v>633245619</v>
          </cell>
          <cell r="AE20">
            <v>0.34746146032522335</v>
          </cell>
        </row>
        <row r="22">
          <cell r="W22" t="str">
            <v>COSTOS Y GASTOS TOTALES</v>
          </cell>
        </row>
        <row r="23">
          <cell r="B23">
            <v>31109796.709999997</v>
          </cell>
          <cell r="C23">
            <v>27065024</v>
          </cell>
          <cell r="D23">
            <v>33949846.289999999</v>
          </cell>
          <cell r="E23">
            <v>27812574</v>
          </cell>
          <cell r="F23">
            <v>23734263.719999999</v>
          </cell>
          <cell r="I23">
            <v>28603855</v>
          </cell>
          <cell r="J23">
            <v>18895746.66</v>
          </cell>
          <cell r="M23">
            <v>37154106</v>
          </cell>
          <cell r="N23">
            <v>20180121.909999996</v>
          </cell>
          <cell r="O23">
            <v>-14064662.090000004</v>
          </cell>
          <cell r="P23">
            <v>-0.41070961609803125</v>
          </cell>
          <cell r="Q23">
            <v>38207303</v>
          </cell>
          <cell r="R23">
            <v>47106064.380000003</v>
          </cell>
          <cell r="S23">
            <v>12861280.380000003</v>
          </cell>
          <cell r="T23">
            <v>0.27302812385788194</v>
          </cell>
          <cell r="U23">
            <v>39315295</v>
          </cell>
          <cell r="V23">
            <v>1.1981612850673002</v>
          </cell>
          <cell r="W23" t="str">
            <v>COSTO DE VENTAS</v>
          </cell>
          <cell r="X23">
            <v>34244784</v>
          </cell>
          <cell r="Y23">
            <v>174975839.66999999</v>
          </cell>
          <cell r="AB23">
            <v>158842862</v>
          </cell>
          <cell r="AC23">
            <v>1.1015656446054214</v>
          </cell>
          <cell r="AD23">
            <v>464969223</v>
          </cell>
          <cell r="AE23">
            <v>0.37631703565463726</v>
          </cell>
        </row>
        <row r="24">
          <cell r="B24">
            <v>3536.01</v>
          </cell>
          <cell r="C24">
            <v>0</v>
          </cell>
          <cell r="D24">
            <v>0</v>
          </cell>
          <cell r="E24">
            <v>0</v>
          </cell>
          <cell r="F24">
            <v>5039.8100000000004</v>
          </cell>
          <cell r="I24">
            <v>0</v>
          </cell>
          <cell r="J24">
            <v>7477.46</v>
          </cell>
          <cell r="M24">
            <v>0</v>
          </cell>
          <cell r="N24">
            <v>0</v>
          </cell>
          <cell r="O24">
            <v>-443602</v>
          </cell>
          <cell r="P24">
            <v>-1</v>
          </cell>
          <cell r="Q24">
            <v>0</v>
          </cell>
          <cell r="R24">
            <v>1907.98</v>
          </cell>
          <cell r="S24">
            <v>-441694.02</v>
          </cell>
          <cell r="T24">
            <v>-231.49824421639642</v>
          </cell>
          <cell r="U24">
            <v>0</v>
          </cell>
          <cell r="V24" t="e">
            <v>#DIV/0!</v>
          </cell>
          <cell r="W24" t="str">
            <v>SUELDOS Y SALARIOS</v>
          </cell>
          <cell r="X24">
            <v>443602</v>
          </cell>
          <cell r="Y24">
            <v>17961.259999999998</v>
          </cell>
          <cell r="AC24">
            <v>0</v>
          </cell>
          <cell r="AD24">
            <v>0</v>
          </cell>
          <cell r="AE24">
            <v>0</v>
          </cell>
        </row>
        <row r="25">
          <cell r="B25">
            <v>13814.75</v>
          </cell>
          <cell r="C25">
            <v>923240</v>
          </cell>
          <cell r="D25">
            <v>79552.03</v>
          </cell>
          <cell r="E25">
            <v>948741</v>
          </cell>
          <cell r="F25">
            <v>2646.8300000000004</v>
          </cell>
          <cell r="I25">
            <v>975733</v>
          </cell>
          <cell r="J25">
            <v>13920.25</v>
          </cell>
          <cell r="M25">
            <v>1002965</v>
          </cell>
          <cell r="N25">
            <v>0</v>
          </cell>
          <cell r="O25">
            <v>-173407</v>
          </cell>
          <cell r="P25">
            <v>-1</v>
          </cell>
          <cell r="Q25">
            <v>1029664</v>
          </cell>
          <cell r="R25">
            <v>0</v>
          </cell>
          <cell r="S25">
            <v>-173407</v>
          </cell>
          <cell r="T25">
            <v>0</v>
          </cell>
          <cell r="U25">
            <v>1057769</v>
          </cell>
          <cell r="V25">
            <v>0</v>
          </cell>
          <cell r="W25" t="str">
            <v>PRESTACIONES</v>
          </cell>
          <cell r="X25">
            <v>173407</v>
          </cell>
          <cell r="Y25">
            <v>109933.86</v>
          </cell>
          <cell r="AB25">
            <v>4880343</v>
          </cell>
          <cell r="AC25">
            <v>2.2525847056241742E-2</v>
          </cell>
          <cell r="AD25">
            <v>13074905</v>
          </cell>
          <cell r="AE25">
            <v>8.4080044941053107E-3</v>
          </cell>
        </row>
        <row r="26">
          <cell r="B26">
            <v>56924.909999999996</v>
          </cell>
          <cell r="C26">
            <v>133126</v>
          </cell>
          <cell r="D26">
            <v>77592.41</v>
          </cell>
          <cell r="E26">
            <v>136803</v>
          </cell>
          <cell r="F26">
            <v>254819.97999999998</v>
          </cell>
          <cell r="I26">
            <v>140695</v>
          </cell>
          <cell r="J26">
            <v>184118.41000000003</v>
          </cell>
          <cell r="M26">
            <v>144621</v>
          </cell>
          <cell r="N26">
            <v>87914.329999999987</v>
          </cell>
          <cell r="O26">
            <v>-6287.6700000000128</v>
          </cell>
          <cell r="P26">
            <v>-6.6746672045179645E-2</v>
          </cell>
          <cell r="Q26">
            <v>148471</v>
          </cell>
          <cell r="R26">
            <v>-540919.6</v>
          </cell>
          <cell r="S26">
            <v>-635121.6</v>
          </cell>
          <cell r="T26">
            <v>0</v>
          </cell>
          <cell r="U26">
            <v>152524</v>
          </cell>
          <cell r="V26">
            <v>0</v>
          </cell>
          <cell r="W26" t="str">
            <v>ATENCIONES A EMPLEADOS</v>
          </cell>
          <cell r="X26">
            <v>94202</v>
          </cell>
          <cell r="Y26">
            <v>120450.43999999994</v>
          </cell>
          <cell r="AB26">
            <v>703716</v>
          </cell>
          <cell r="AC26">
            <v>0.17116342388122474</v>
          </cell>
          <cell r="AD26">
            <v>1885321</v>
          </cell>
          <cell r="AE26">
            <v>6.3888557969703802E-2</v>
          </cell>
        </row>
        <row r="27">
          <cell r="B27">
            <v>3042027.9499999997</v>
          </cell>
          <cell r="C27">
            <v>9257679</v>
          </cell>
          <cell r="D27">
            <v>3042027.9499999997</v>
          </cell>
          <cell r="E27">
            <v>9513380</v>
          </cell>
          <cell r="F27">
            <v>3085408.23</v>
          </cell>
          <cell r="I27">
            <v>9784040</v>
          </cell>
          <cell r="J27">
            <v>3098561.34</v>
          </cell>
          <cell r="M27">
            <v>10057105</v>
          </cell>
          <cell r="N27">
            <v>3101048.4499999997</v>
          </cell>
          <cell r="O27">
            <v>695664.44999999972</v>
          </cell>
          <cell r="P27">
            <v>0.28921138994854861</v>
          </cell>
          <cell r="Q27">
            <v>10324826</v>
          </cell>
          <cell r="R27">
            <v>3099796.81</v>
          </cell>
          <cell r="S27">
            <v>694412.81</v>
          </cell>
          <cell r="T27">
            <v>0.22401881560746559</v>
          </cell>
          <cell r="U27">
            <v>10606648</v>
          </cell>
          <cell r="V27">
            <v>0.29225037071089754</v>
          </cell>
          <cell r="W27" t="str">
            <v>DEPRECIACIONES Y AMORTIZACIONES</v>
          </cell>
          <cell r="X27">
            <v>2405384</v>
          </cell>
          <cell r="Y27">
            <v>18468870.729999997</v>
          </cell>
          <cell r="AB27">
            <v>48937030</v>
          </cell>
          <cell r="AC27">
            <v>0.37740072762895494</v>
          </cell>
          <cell r="AD27">
            <v>131106973</v>
          </cell>
          <cell r="AE27">
            <v>0.14086871435892276</v>
          </cell>
        </row>
        <row r="28">
          <cell r="B28">
            <v>544550.00000000012</v>
          </cell>
          <cell r="C28">
            <v>492553</v>
          </cell>
          <cell r="D28">
            <v>210170</v>
          </cell>
          <cell r="E28">
            <v>506158</v>
          </cell>
          <cell r="F28">
            <v>837198.12000000011</v>
          </cell>
          <cell r="I28">
            <v>520558</v>
          </cell>
          <cell r="J28">
            <v>229327.41</v>
          </cell>
          <cell r="M28">
            <v>535086</v>
          </cell>
          <cell r="N28">
            <v>765638.56999999983</v>
          </cell>
          <cell r="O28">
            <v>747353.56999999983</v>
          </cell>
          <cell r="Q28">
            <v>549330</v>
          </cell>
          <cell r="R28">
            <v>737425.07999999984</v>
          </cell>
          <cell r="S28">
            <v>719140.07999999984</v>
          </cell>
          <cell r="T28">
            <v>0.97520426075012256</v>
          </cell>
          <cell r="U28">
            <v>564324</v>
          </cell>
          <cell r="V28">
            <v>1.3067405958279283</v>
          </cell>
          <cell r="W28" t="str">
            <v>ASESORIA Y ASISTENCIA TECNICA</v>
          </cell>
          <cell r="X28">
            <v>18285</v>
          </cell>
          <cell r="Y28">
            <v>3324309.1799999997</v>
          </cell>
          <cell r="AB28">
            <v>2603685</v>
          </cell>
          <cell r="AC28">
            <v>1.2767708766613473</v>
          </cell>
          <cell r="AD28">
            <v>27055363</v>
          </cell>
          <cell r="AE28">
            <v>0.12287061829479057</v>
          </cell>
        </row>
        <row r="29">
          <cell r="B29">
            <v>1004658.5454545453</v>
          </cell>
          <cell r="C29">
            <v>1417871</v>
          </cell>
          <cell r="D29">
            <v>1138232.3636363635</v>
          </cell>
          <cell r="E29">
            <v>1457033</v>
          </cell>
          <cell r="F29">
            <v>1156893.08</v>
          </cell>
          <cell r="I29">
            <v>1498487</v>
          </cell>
          <cell r="J29">
            <v>1232734.33</v>
          </cell>
          <cell r="M29">
            <v>1540308</v>
          </cell>
          <cell r="N29">
            <v>1377485.81</v>
          </cell>
          <cell r="O29">
            <v>1377485.81</v>
          </cell>
          <cell r="Q29">
            <v>1581311</v>
          </cell>
          <cell r="R29">
            <v>1538929.55</v>
          </cell>
          <cell r="S29">
            <v>1538929.55</v>
          </cell>
          <cell r="T29">
            <v>1</v>
          </cell>
          <cell r="U29">
            <v>1624474</v>
          </cell>
          <cell r="V29">
            <v>0.9473402159714468</v>
          </cell>
          <cell r="W29" t="str">
            <v>SERVICIOS PROFESIONALES PLANILLA</v>
          </cell>
          <cell r="X29">
            <v>0</v>
          </cell>
          <cell r="Y29">
            <v>7448933.6790909087</v>
          </cell>
          <cell r="AB29">
            <v>7495010</v>
          </cell>
          <cell r="AC29">
            <v>0.99385240034248234</v>
          </cell>
          <cell r="AD29">
            <v>0</v>
          </cell>
          <cell r="AE29">
            <v>0</v>
          </cell>
        </row>
        <row r="30">
          <cell r="B30">
            <v>125710.34</v>
          </cell>
          <cell r="C30">
            <v>922822</v>
          </cell>
          <cell r="D30">
            <v>378627.06</v>
          </cell>
          <cell r="E30">
            <v>948311</v>
          </cell>
          <cell r="F30">
            <v>895766.92</v>
          </cell>
          <cell r="I30">
            <v>975291</v>
          </cell>
          <cell r="J30">
            <v>820693.70000000019</v>
          </cell>
          <cell r="M30">
            <v>1002511</v>
          </cell>
          <cell r="N30">
            <v>2898894.9400000004</v>
          </cell>
          <cell r="O30">
            <v>2824371.9400000004</v>
          </cell>
          <cell r="P30">
            <v>37.899332286676604</v>
          </cell>
          <cell r="Q30">
            <v>1029198</v>
          </cell>
          <cell r="R30">
            <v>872345.53</v>
          </cell>
          <cell r="S30">
            <v>797822.53</v>
          </cell>
          <cell r="T30">
            <v>0.91457169500255253</v>
          </cell>
          <cell r="U30">
            <v>1057290</v>
          </cell>
          <cell r="V30">
            <v>0.82507687578620814</v>
          </cell>
          <cell r="W30" t="str">
            <v>MANTENIMIENTO</v>
          </cell>
          <cell r="X30">
            <v>74523</v>
          </cell>
          <cell r="Y30">
            <v>5992038.4900000012</v>
          </cell>
          <cell r="AB30">
            <v>4878133</v>
          </cell>
          <cell r="AC30">
            <v>1.2283466830445176</v>
          </cell>
          <cell r="AD30">
            <v>13068984</v>
          </cell>
          <cell r="AE30">
            <v>0.4584930618937173</v>
          </cell>
        </row>
        <row r="31">
          <cell r="B31">
            <v>96902.45</v>
          </cell>
          <cell r="C31">
            <v>450630</v>
          </cell>
          <cell r="D31">
            <v>134390.13999999998</v>
          </cell>
          <cell r="E31">
            <v>463076</v>
          </cell>
          <cell r="F31">
            <v>220021.67</v>
          </cell>
          <cell r="I31">
            <v>476251</v>
          </cell>
          <cell r="J31">
            <v>140758.67000000001</v>
          </cell>
          <cell r="M31">
            <v>489543</v>
          </cell>
          <cell r="N31">
            <v>208723.49000000002</v>
          </cell>
          <cell r="O31">
            <v>103954.49000000002</v>
          </cell>
          <cell r="P31">
            <v>0.99222565835313903</v>
          </cell>
          <cell r="Q31">
            <v>502574</v>
          </cell>
          <cell r="R31">
            <v>25899.47</v>
          </cell>
          <cell r="S31">
            <v>-78869.53</v>
          </cell>
          <cell r="T31">
            <v>-3.0452179137256477</v>
          </cell>
          <cell r="U31">
            <v>516292</v>
          </cell>
          <cell r="V31">
            <v>5.0164383720840144E-2</v>
          </cell>
          <cell r="W31" t="str">
            <v>SUMINISTROS</v>
          </cell>
          <cell r="X31">
            <v>104769</v>
          </cell>
          <cell r="Y31">
            <v>826695.89</v>
          </cell>
          <cell r="AB31">
            <v>2382074</v>
          </cell>
          <cell r="AC31">
            <v>0.34704878605786388</v>
          </cell>
          <cell r="AD31">
            <v>6381802</v>
          </cell>
          <cell r="AE31">
            <v>0.12953957048495079</v>
          </cell>
        </row>
        <row r="32">
          <cell r="C32">
            <v>2235726</v>
          </cell>
          <cell r="D32">
            <v>3263280.84</v>
          </cell>
          <cell r="E32">
            <v>2297477</v>
          </cell>
          <cell r="F32">
            <v>-2396870.19</v>
          </cell>
          <cell r="I32">
            <v>2362842</v>
          </cell>
          <cell r="J32">
            <v>903077.24</v>
          </cell>
          <cell r="M32">
            <v>2428787</v>
          </cell>
          <cell r="N32">
            <v>80941.600000000006</v>
          </cell>
          <cell r="O32">
            <v>80941.600000000006</v>
          </cell>
          <cell r="Q32">
            <v>2493441</v>
          </cell>
          <cell r="R32">
            <v>4638036</v>
          </cell>
          <cell r="S32">
            <v>4638036</v>
          </cell>
          <cell r="T32">
            <v>1</v>
          </cell>
          <cell r="U32">
            <v>2561501</v>
          </cell>
          <cell r="V32">
            <v>1.8106711650707925</v>
          </cell>
          <cell r="W32" t="str">
            <v>PROVISION VARIAS</v>
          </cell>
          <cell r="X32">
            <v>0</v>
          </cell>
          <cell r="Y32">
            <v>6488465.4900000002</v>
          </cell>
          <cell r="AB32">
            <v>11818273</v>
          </cell>
          <cell r="AC32">
            <v>0.54901976710133538</v>
          </cell>
          <cell r="AD32">
            <v>31662281</v>
          </cell>
          <cell r="AE32">
            <v>0.20492729156184294</v>
          </cell>
        </row>
        <row r="33">
          <cell r="B33">
            <v>73128.27</v>
          </cell>
          <cell r="C33">
            <v>929316</v>
          </cell>
          <cell r="D33">
            <v>284273.45</v>
          </cell>
          <cell r="E33">
            <v>954984</v>
          </cell>
          <cell r="F33">
            <v>182489.65000000002</v>
          </cell>
          <cell r="I33">
            <v>982154</v>
          </cell>
          <cell r="J33">
            <v>204240.21</v>
          </cell>
          <cell r="M33">
            <v>1009565</v>
          </cell>
          <cell r="N33">
            <v>354190.24</v>
          </cell>
          <cell r="O33">
            <v>281448.24</v>
          </cell>
          <cell r="P33">
            <v>3.8691298012152537</v>
          </cell>
          <cell r="Q33">
            <v>1036440</v>
          </cell>
          <cell r="R33">
            <v>233217.36</v>
          </cell>
          <cell r="S33">
            <v>160475.35999999999</v>
          </cell>
          <cell r="T33">
            <v>0.6880935450088278</v>
          </cell>
          <cell r="U33">
            <v>1064730</v>
          </cell>
          <cell r="V33">
            <v>0.21903896762559522</v>
          </cell>
          <cell r="W33" t="str">
            <v>ARRENDAMIENTOS</v>
          </cell>
          <cell r="X33">
            <v>72742</v>
          </cell>
          <cell r="Y33">
            <v>1331539.1800000002</v>
          </cell>
          <cell r="AB33">
            <v>4912459</v>
          </cell>
          <cell r="AC33">
            <v>0.27105349479761565</v>
          </cell>
          <cell r="AD33">
            <v>13160949</v>
          </cell>
          <cell r="AE33">
            <v>0.10117349288413778</v>
          </cell>
        </row>
        <row r="34">
          <cell r="B34">
            <v>4875297.9799999995</v>
          </cell>
          <cell r="C34">
            <v>2949127</v>
          </cell>
          <cell r="D34">
            <v>3498064.2099999995</v>
          </cell>
          <cell r="E34">
            <v>3030583</v>
          </cell>
          <cell r="F34">
            <v>2201326.71</v>
          </cell>
          <cell r="I34">
            <v>3116804</v>
          </cell>
          <cell r="J34">
            <v>2698475.88</v>
          </cell>
          <cell r="M34">
            <v>3203792</v>
          </cell>
          <cell r="N34">
            <v>115633.10999999999</v>
          </cell>
          <cell r="O34">
            <v>115633.10999999999</v>
          </cell>
          <cell r="Q34">
            <v>3289077</v>
          </cell>
          <cell r="R34">
            <v>30652.15</v>
          </cell>
          <cell r="S34">
            <v>30652.15</v>
          </cell>
          <cell r="T34">
            <v>1</v>
          </cell>
          <cell r="U34">
            <v>3378854</v>
          </cell>
          <cell r="V34">
            <v>9.0717592414469531E-3</v>
          </cell>
          <cell r="W34" t="str">
            <v>COMISIONES A DISTRIBUIDORES</v>
          </cell>
          <cell r="X34">
            <v>0</v>
          </cell>
          <cell r="Y34">
            <v>13419450.039999997</v>
          </cell>
          <cell r="AB34">
            <v>15589383</v>
          </cell>
          <cell r="AC34">
            <v>0.8608070017908982</v>
          </cell>
          <cell r="AD34">
            <v>41765444</v>
          </cell>
          <cell r="AE34">
            <v>0.32130509710372041</v>
          </cell>
        </row>
        <row r="35">
          <cell r="D35">
            <v>0</v>
          </cell>
          <cell r="E35">
            <v>0</v>
          </cell>
          <cell r="F35">
            <v>0</v>
          </cell>
          <cell r="I35">
            <v>0</v>
          </cell>
          <cell r="J35">
            <v>0</v>
          </cell>
          <cell r="M35">
            <v>0</v>
          </cell>
          <cell r="N35">
            <v>0</v>
          </cell>
          <cell r="O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ENVIO DE FACTURAS</v>
          </cell>
          <cell r="X35">
            <v>0</v>
          </cell>
          <cell r="Y35">
            <v>0</v>
          </cell>
          <cell r="AB35">
            <v>0</v>
          </cell>
          <cell r="AC35">
            <v>0</v>
          </cell>
          <cell r="AE35">
            <v>0</v>
          </cell>
        </row>
        <row r="36">
          <cell r="B36">
            <v>1729682.35</v>
          </cell>
          <cell r="C36">
            <v>442390</v>
          </cell>
          <cell r="D36">
            <v>231593.21999999974</v>
          </cell>
          <cell r="E36">
            <v>454609</v>
          </cell>
          <cell r="F36">
            <v>3928735.23</v>
          </cell>
          <cell r="I36">
            <v>467543</v>
          </cell>
          <cell r="J36">
            <v>174287.08999999985</v>
          </cell>
          <cell r="M36">
            <v>480592</v>
          </cell>
          <cell r="N36">
            <v>129922.18999999948</v>
          </cell>
          <cell r="O36">
            <v>122160.18999999948</v>
          </cell>
          <cell r="P36">
            <v>15.738236279309389</v>
          </cell>
          <cell r="Q36">
            <v>493385</v>
          </cell>
          <cell r="R36">
            <v>283741.0700000003</v>
          </cell>
          <cell r="S36">
            <v>275979.0700000003</v>
          </cell>
          <cell r="T36">
            <v>0.97264407299232358</v>
          </cell>
          <cell r="U36">
            <v>506852</v>
          </cell>
          <cell r="V36">
            <v>0.55981049694980056</v>
          </cell>
          <cell r="W36" t="str">
            <v>OTROS SERVICIOS DIVERSOS</v>
          </cell>
          <cell r="X36">
            <v>7762</v>
          </cell>
          <cell r="Y36">
            <v>6477961.1499999994</v>
          </cell>
          <cell r="AB36">
            <v>2338519</v>
          </cell>
          <cell r="AC36">
            <v>2.7701126867047048</v>
          </cell>
          <cell r="AD36">
            <v>6265118</v>
          </cell>
          <cell r="AE36">
            <v>1.0339727280475801</v>
          </cell>
        </row>
        <row r="37">
          <cell r="D37">
            <v>3292338</v>
          </cell>
          <cell r="F37">
            <v>3079083.53</v>
          </cell>
          <cell r="J37">
            <v>3144183.12</v>
          </cell>
          <cell r="N37">
            <v>2264405.91</v>
          </cell>
          <cell r="O37">
            <v>2264405.91</v>
          </cell>
          <cell r="R37">
            <v>2673790.3199999998</v>
          </cell>
          <cell r="S37">
            <v>2673790.3199999998</v>
          </cell>
          <cell r="T37">
            <v>1</v>
          </cell>
          <cell r="V37">
            <v>0</v>
          </cell>
          <cell r="W37" t="str">
            <v>INTERCONECCION</v>
          </cell>
          <cell r="X37">
            <v>0</v>
          </cell>
          <cell r="Y37">
            <v>14453800.879999999</v>
          </cell>
          <cell r="AB37">
            <v>0</v>
          </cell>
          <cell r="AC37">
            <v>0</v>
          </cell>
          <cell r="AE37">
            <v>0</v>
          </cell>
        </row>
        <row r="38">
          <cell r="B38">
            <v>0</v>
          </cell>
          <cell r="C38">
            <v>789208</v>
          </cell>
          <cell r="D38">
            <v>1575</v>
          </cell>
          <cell r="E38">
            <v>811007</v>
          </cell>
          <cell r="I38">
            <v>834080</v>
          </cell>
          <cell r="J38">
            <v>860181.95</v>
          </cell>
          <cell r="M38">
            <v>857359</v>
          </cell>
          <cell r="N38">
            <v>1281384.95</v>
          </cell>
          <cell r="O38">
            <v>1281384.95</v>
          </cell>
          <cell r="Q38">
            <v>880182</v>
          </cell>
          <cell r="R38">
            <v>-1268784.95</v>
          </cell>
          <cell r="S38">
            <v>-1268784.95</v>
          </cell>
          <cell r="T38">
            <v>0</v>
          </cell>
          <cell r="U38">
            <v>904207</v>
          </cell>
          <cell r="V38">
            <v>0</v>
          </cell>
          <cell r="W38" t="str">
            <v>SEGUROS</v>
          </cell>
          <cell r="X38">
            <v>0</v>
          </cell>
          <cell r="Y38">
            <v>874356.95</v>
          </cell>
          <cell r="AB38">
            <v>4171836</v>
          </cell>
          <cell r="AC38">
            <v>0.20958564766208451</v>
          </cell>
          <cell r="AD38">
            <v>11176744</v>
          </cell>
          <cell r="AE38">
            <v>7.8230023878152699E-2</v>
          </cell>
        </row>
        <row r="39">
          <cell r="B39">
            <v>470486.76</v>
          </cell>
          <cell r="C39">
            <v>935451</v>
          </cell>
          <cell r="D39">
            <v>1988675.16</v>
          </cell>
          <cell r="E39">
            <v>961288</v>
          </cell>
          <cell r="F39">
            <v>1083340.29</v>
          </cell>
          <cell r="I39">
            <v>988637</v>
          </cell>
          <cell r="J39">
            <v>2765344.01</v>
          </cell>
          <cell r="M39">
            <v>1016230</v>
          </cell>
          <cell r="N39">
            <v>3798533.3600000003</v>
          </cell>
          <cell r="O39">
            <v>-599898.63999999966</v>
          </cell>
          <cell r="P39">
            <v>-0.13638920415275255</v>
          </cell>
          <cell r="Q39">
            <v>1043282</v>
          </cell>
          <cell r="R39">
            <v>6974362.2300000004</v>
          </cell>
          <cell r="S39">
            <v>2575930.2300000004</v>
          </cell>
          <cell r="T39">
            <v>0.3693427649799601</v>
          </cell>
          <cell r="U39">
            <v>1071759</v>
          </cell>
          <cell r="V39">
            <v>6.5073978664979721</v>
          </cell>
          <cell r="W39" t="str">
            <v>PUBLICIDAD Y RELACIONES</v>
          </cell>
          <cell r="X39">
            <v>4398432</v>
          </cell>
          <cell r="Y39">
            <v>17080741.810000002</v>
          </cell>
          <cell r="AA39">
            <v>17080741.810000002</v>
          </cell>
          <cell r="AB39">
            <v>4944888</v>
          </cell>
          <cell r="AC39">
            <v>3.4542221805630384</v>
          </cell>
          <cell r="AD39">
            <v>13247826</v>
          </cell>
          <cell r="AE39">
            <v>1.289324135899732</v>
          </cell>
        </row>
        <row r="40">
          <cell r="B40">
            <v>149139.25</v>
          </cell>
          <cell r="C40">
            <v>197622</v>
          </cell>
          <cell r="D40">
            <v>23226.46</v>
          </cell>
          <cell r="E40">
            <v>203080</v>
          </cell>
          <cell r="F40">
            <v>59421.130000000005</v>
          </cell>
          <cell r="I40">
            <v>208858</v>
          </cell>
          <cell r="J40">
            <v>0</v>
          </cell>
          <cell r="M40">
            <v>214687</v>
          </cell>
          <cell r="N40">
            <v>36717.39</v>
          </cell>
          <cell r="O40">
            <v>36717.39</v>
          </cell>
          <cell r="P40" t="e">
            <v>#DIV/0!</v>
          </cell>
          <cell r="Q40">
            <v>220402</v>
          </cell>
          <cell r="R40">
            <v>50642.619999999995</v>
          </cell>
          <cell r="S40">
            <v>50642.619999999995</v>
          </cell>
          <cell r="T40">
            <v>1</v>
          </cell>
          <cell r="U40">
            <v>226418</v>
          </cell>
          <cell r="V40">
            <v>0.22366870125166724</v>
          </cell>
          <cell r="W40" t="str">
            <v>GASTOS DE TRANSPORTE</v>
          </cell>
          <cell r="X40">
            <v>0</v>
          </cell>
          <cell r="Y40">
            <v>319146.84999999998</v>
          </cell>
          <cell r="AB40">
            <v>1044649</v>
          </cell>
          <cell r="AC40">
            <v>0.30550629924500955</v>
          </cell>
          <cell r="AD40">
            <v>2798711</v>
          </cell>
          <cell r="AE40">
            <v>0.11403351399983777</v>
          </cell>
        </row>
        <row r="41">
          <cell r="B41">
            <v>11113.5</v>
          </cell>
          <cell r="C41">
            <v>2141</v>
          </cell>
          <cell r="D41">
            <v>5214.55</v>
          </cell>
          <cell r="E41">
            <v>2200</v>
          </cell>
          <cell r="F41">
            <v>9516.23</v>
          </cell>
          <cell r="I41">
            <v>2262</v>
          </cell>
          <cell r="J41">
            <v>6852.2800000000007</v>
          </cell>
          <cell r="M41">
            <v>2325</v>
          </cell>
          <cell r="N41">
            <v>83773.600000000006</v>
          </cell>
          <cell r="O41">
            <v>75704.600000000006</v>
          </cell>
          <cell r="Q41">
            <v>2387</v>
          </cell>
          <cell r="R41">
            <v>19103.29</v>
          </cell>
          <cell r="S41">
            <v>11034.29</v>
          </cell>
          <cell r="T41">
            <v>0.57761202389745436</v>
          </cell>
          <cell r="U41">
            <v>2453</v>
          </cell>
          <cell r="V41">
            <v>7.7877252344068495</v>
          </cell>
          <cell r="W41" t="str">
            <v>GASTOS DE VEHICULOS</v>
          </cell>
          <cell r="X41">
            <v>8069</v>
          </cell>
          <cell r="Y41">
            <v>135573.45000000001</v>
          </cell>
          <cell r="AB41">
            <v>11315</v>
          </cell>
          <cell r="AC41">
            <v>11.98174547061423</v>
          </cell>
          <cell r="AD41">
            <v>30316</v>
          </cell>
          <cell r="AE41">
            <v>4.4720098297928494</v>
          </cell>
        </row>
        <row r="42">
          <cell r="N42">
            <v>0</v>
          </cell>
          <cell r="S42">
            <v>0</v>
          </cell>
          <cell r="T42">
            <v>0</v>
          </cell>
          <cell r="V42">
            <v>0</v>
          </cell>
          <cell r="W42" t="str">
            <v>OTROS GASTOS (CIF 4)</v>
          </cell>
          <cell r="X42">
            <v>0</v>
          </cell>
          <cell r="Y42">
            <v>0</v>
          </cell>
          <cell r="AB42">
            <v>0</v>
          </cell>
          <cell r="AC42">
            <v>0</v>
          </cell>
          <cell r="AE42">
            <v>0</v>
          </cell>
        </row>
        <row r="43">
          <cell r="B43">
            <v>43306769.775454551</v>
          </cell>
          <cell r="C43">
            <v>49143926</v>
          </cell>
          <cell r="D43">
            <v>51598679.13363637</v>
          </cell>
          <cell r="E43">
            <v>50501304</v>
          </cell>
          <cell r="F43">
            <v>38339100.939999998</v>
          </cell>
          <cell r="I43">
            <v>51938090</v>
          </cell>
          <cell r="J43">
            <v>35379980.009999998</v>
          </cell>
          <cell r="M43">
            <v>61139582</v>
          </cell>
          <cell r="N43">
            <v>36765329.849999994</v>
          </cell>
          <cell r="O43">
            <v>-5280631.1500000032</v>
          </cell>
          <cell r="P43">
            <v>-0.12559187670844302</v>
          </cell>
          <cell r="Q43">
            <v>62831273</v>
          </cell>
          <cell r="R43">
            <v>66476209.289999992</v>
          </cell>
          <cell r="S43">
            <v>24430248.290000003</v>
          </cell>
          <cell r="T43">
            <v>0.36750363101217087</v>
          </cell>
          <cell r="U43">
            <v>64611390</v>
          </cell>
          <cell r="V43">
            <v>1.0288620828309063</v>
          </cell>
          <cell r="W43" t="str">
            <v>SUMA</v>
          </cell>
          <cell r="X43">
            <v>42045961</v>
          </cell>
          <cell r="Y43">
            <v>271866068.99909091</v>
          </cell>
          <cell r="AB43">
            <v>275554175</v>
          </cell>
          <cell r="AC43">
            <v>0.98661567729500343</v>
          </cell>
          <cell r="AD43">
            <v>777649960</v>
          </cell>
          <cell r="AE43">
            <v>0.34959954090281303</v>
          </cell>
        </row>
        <row r="45">
          <cell r="B45">
            <v>-12133887.963164549</v>
          </cell>
          <cell r="C45">
            <v>-4429417.1600000113</v>
          </cell>
          <cell r="D45">
            <v>-7125196.6536363661</v>
          </cell>
          <cell r="E45">
            <v>-4551754</v>
          </cell>
          <cell r="F45">
            <v>-7548761.6899999939</v>
          </cell>
          <cell r="I45">
            <v>-4681253</v>
          </cell>
          <cell r="J45">
            <v>-4029956.5399999991</v>
          </cell>
          <cell r="M45">
            <v>-12563847</v>
          </cell>
          <cell r="N45">
            <v>2006369.9900000021</v>
          </cell>
          <cell r="O45">
            <v>3947001.7899999963</v>
          </cell>
          <cell r="P45">
            <v>-0.1053972525322632</v>
          </cell>
          <cell r="Q45">
            <v>-12962446</v>
          </cell>
          <cell r="R45">
            <v>-24556802.619999997</v>
          </cell>
          <cell r="S45">
            <v>12892008.379999992</v>
          </cell>
          <cell r="T45">
            <v>0.52282997899834505</v>
          </cell>
          <cell r="U45">
            <v>-13381369</v>
          </cell>
          <cell r="V45">
            <v>-1.8351487519699963</v>
          </cell>
          <cell r="W45" t="str">
            <v>UTILIDAD DE OPERACION</v>
          </cell>
          <cell r="X45">
            <v>-37448811</v>
          </cell>
          <cell r="Y45">
            <v>-51837621.476800919</v>
          </cell>
          <cell r="AB45">
            <v>12041303.839999974</v>
          </cell>
          <cell r="AC45">
            <v>0</v>
          </cell>
          <cell r="AD45">
            <v>-144404341</v>
          </cell>
          <cell r="AE45">
            <v>0.35897550667677586</v>
          </cell>
        </row>
        <row r="46">
          <cell r="W46" t="str">
            <v>EBITDA</v>
          </cell>
        </row>
        <row r="49">
          <cell r="B49">
            <v>1135009.57</v>
          </cell>
          <cell r="C49">
            <v>3850455</v>
          </cell>
          <cell r="D49">
            <v>-194935.75000000003</v>
          </cell>
          <cell r="E49">
            <v>3943569</v>
          </cell>
          <cell r="F49">
            <v>3676037.6899999995</v>
          </cell>
          <cell r="I49">
            <v>10110104</v>
          </cell>
          <cell r="J49">
            <v>1266735.6499999997</v>
          </cell>
          <cell r="M49">
            <v>10288483</v>
          </cell>
          <cell r="N49">
            <v>6276492.7400000002</v>
          </cell>
          <cell r="O49">
            <v>6276492.7400000002</v>
          </cell>
          <cell r="Q49">
            <v>10456957</v>
          </cell>
          <cell r="R49">
            <v>2237021.38</v>
          </cell>
          <cell r="S49">
            <v>2243145.44</v>
          </cell>
          <cell r="T49">
            <v>1</v>
          </cell>
          <cell r="U49">
            <v>10638173</v>
          </cell>
          <cell r="W49" t="str">
            <v>COSTO INT. DE FINANCIAMIENTO</v>
          </cell>
          <cell r="X49">
            <v>0</v>
          </cell>
          <cell r="Y49">
            <v>14396361.279999999</v>
          </cell>
          <cell r="AB49">
            <v>38649568</v>
          </cell>
          <cell r="AC49">
            <v>0.37248440344792466</v>
          </cell>
          <cell r="AD49">
            <v>117620884</v>
          </cell>
          <cell r="AE49">
            <v>0.12239630234372324</v>
          </cell>
        </row>
        <row r="50">
          <cell r="B50">
            <v>65008.39</v>
          </cell>
          <cell r="C50">
            <v>851707</v>
          </cell>
          <cell r="D50">
            <v>65841.72</v>
          </cell>
          <cell r="E50">
            <v>861994</v>
          </cell>
          <cell r="F50">
            <v>4210439.72</v>
          </cell>
          <cell r="I50">
            <v>3169247</v>
          </cell>
          <cell r="J50">
            <v>1813429.22</v>
          </cell>
          <cell r="M50">
            <v>7030785</v>
          </cell>
          <cell r="N50">
            <v>6530044.3899999997</v>
          </cell>
          <cell r="O50">
            <v>6530044.3899999997</v>
          </cell>
          <cell r="Q50">
            <v>7112539</v>
          </cell>
          <cell r="R50">
            <v>2289345.7599999998</v>
          </cell>
          <cell r="S50">
            <v>2289345.7599999998</v>
          </cell>
          <cell r="T50">
            <v>1</v>
          </cell>
          <cell r="U50">
            <v>7202467</v>
          </cell>
          <cell r="V50">
            <v>0.31785577913789814</v>
          </cell>
          <cell r="W50" t="str">
            <v>INTERESES GASTO</v>
          </cell>
          <cell r="X50">
            <v>0</v>
          </cell>
          <cell r="Y50">
            <v>14974109.199999999</v>
          </cell>
          <cell r="AB50">
            <v>19026272</v>
          </cell>
          <cell r="AC50">
            <v>0.78702276515336267</v>
          </cell>
          <cell r="AD50">
            <v>75152707</v>
          </cell>
          <cell r="AE50">
            <v>0.19924909957002612</v>
          </cell>
        </row>
        <row r="51">
          <cell r="B51">
            <v>-86003.42</v>
          </cell>
          <cell r="C51">
            <v>0</v>
          </cell>
          <cell r="D51">
            <v>-49364.38</v>
          </cell>
          <cell r="F51">
            <v>-157031.52000000002</v>
          </cell>
          <cell r="J51">
            <v>-254.59</v>
          </cell>
          <cell r="N51">
            <v>-213502.80000000002</v>
          </cell>
          <cell r="O51">
            <v>-213502.80000000002</v>
          </cell>
          <cell r="R51">
            <v>-44100.32</v>
          </cell>
          <cell r="S51">
            <v>-44100.32</v>
          </cell>
          <cell r="T51">
            <v>0</v>
          </cell>
          <cell r="V51">
            <v>0</v>
          </cell>
          <cell r="W51" t="str">
            <v>INTERESES PRODUCTO</v>
          </cell>
          <cell r="X51">
            <v>0</v>
          </cell>
          <cell r="Y51">
            <v>-550257.03</v>
          </cell>
          <cell r="AB51">
            <v>0</v>
          </cell>
          <cell r="AE51">
            <v>0</v>
          </cell>
        </row>
        <row r="52">
          <cell r="B52">
            <v>1156004.6000000001</v>
          </cell>
          <cell r="C52">
            <v>2998748</v>
          </cell>
          <cell r="D52">
            <v>-209774.45</v>
          </cell>
          <cell r="E52">
            <v>3081575</v>
          </cell>
          <cell r="F52">
            <v>-371295.39</v>
          </cell>
          <cell r="I52">
            <v>6940857</v>
          </cell>
          <cell r="J52">
            <v>-545384.43000000005</v>
          </cell>
          <cell r="M52">
            <v>3257698</v>
          </cell>
          <cell r="N52">
            <v>-35673.85</v>
          </cell>
          <cell r="O52">
            <v>-35673.85</v>
          </cell>
          <cell r="Q52">
            <v>3344418</v>
          </cell>
          <cell r="R52">
            <v>-6124.06</v>
          </cell>
          <cell r="T52">
            <v>0</v>
          </cell>
          <cell r="U52">
            <v>3435706</v>
          </cell>
          <cell r="V52">
            <v>-561.01769087827358</v>
          </cell>
          <cell r="W52" t="str">
            <v>DIFERENCIA EN CAMBIOS</v>
          </cell>
          <cell r="X52">
            <v>0</v>
          </cell>
          <cell r="Y52">
            <v>-12247.579999999925</v>
          </cell>
          <cell r="AB52">
            <v>19623296</v>
          </cell>
          <cell r="AC52">
            <v>-1602.2182341327934</v>
          </cell>
          <cell r="AD52">
            <v>42468177</v>
          </cell>
          <cell r="AE52">
            <v>-2.8839429580412472E-4</v>
          </cell>
        </row>
        <row r="53">
          <cell r="B53">
            <v>0</v>
          </cell>
          <cell r="C53">
            <v>0</v>
          </cell>
          <cell r="D53">
            <v>-1638.64</v>
          </cell>
          <cell r="F53">
            <v>-6075.12</v>
          </cell>
          <cell r="J53">
            <v>-1054.55</v>
          </cell>
          <cell r="N53">
            <v>-4375</v>
          </cell>
          <cell r="O53">
            <v>-4375</v>
          </cell>
          <cell r="R53">
            <v>-2100</v>
          </cell>
          <cell r="S53">
            <v>-2100</v>
          </cell>
          <cell r="T53">
            <v>0</v>
          </cell>
          <cell r="V53">
            <v>0</v>
          </cell>
          <cell r="W53" t="str">
            <v>RECARGO POR CHEQUES RECHAZADOS</v>
          </cell>
          <cell r="Y53">
            <v>-15243.31</v>
          </cell>
          <cell r="AB53">
            <v>0</v>
          </cell>
          <cell r="AE53">
            <v>0</v>
          </cell>
        </row>
        <row r="55">
          <cell r="B55">
            <v>-13268897.53316455</v>
          </cell>
          <cell r="C55">
            <v>-8279872.1600000113</v>
          </cell>
          <cell r="D55">
            <v>-6930260.9036363661</v>
          </cell>
          <cell r="E55">
            <v>-8495323</v>
          </cell>
          <cell r="F55">
            <v>-11224799.379999993</v>
          </cell>
          <cell r="I55">
            <v>-14791357</v>
          </cell>
          <cell r="J55">
            <v>-5296692.1899999985</v>
          </cell>
          <cell r="M55">
            <v>-22852330</v>
          </cell>
          <cell r="N55">
            <v>-4270122.7499999981</v>
          </cell>
          <cell r="O55">
            <v>33178688.25</v>
          </cell>
          <cell r="P55">
            <v>-0.88597441050932169</v>
          </cell>
          <cell r="Q55">
            <v>-23419403</v>
          </cell>
          <cell r="R55">
            <v>-26793823.999999996</v>
          </cell>
          <cell r="S55">
            <v>10648862.939999992</v>
          </cell>
          <cell r="T55">
            <v>-0.47717002100165495</v>
          </cell>
          <cell r="U55">
            <v>-24019542</v>
          </cell>
          <cell r="W55" t="str">
            <v>UTILIDAD ANTES DE IMPUESTOS</v>
          </cell>
          <cell r="X55">
            <v>-37448811</v>
          </cell>
          <cell r="Y55">
            <v>-66233982.75680092</v>
          </cell>
          <cell r="AB55">
            <v>-26608264.160000026</v>
          </cell>
          <cell r="AC55">
            <v>2.4892259922903914</v>
          </cell>
          <cell r="AD55">
            <v>-262025225</v>
          </cell>
          <cell r="AE55">
            <v>0.2527771238696615</v>
          </cell>
        </row>
        <row r="57">
          <cell r="W57" t="str">
            <v xml:space="preserve">IMPUESTOS </v>
          </cell>
        </row>
        <row r="58">
          <cell r="B58">
            <v>0</v>
          </cell>
          <cell r="W58" t="str">
            <v>I S R</v>
          </cell>
        </row>
        <row r="59">
          <cell r="B59">
            <v>0</v>
          </cell>
          <cell r="W59" t="str">
            <v>SUMA</v>
          </cell>
        </row>
        <row r="60">
          <cell r="B60">
            <v>0</v>
          </cell>
          <cell r="C60">
            <v>0</v>
          </cell>
        </row>
        <row r="61">
          <cell r="B61">
            <v>-13268897.53316455</v>
          </cell>
          <cell r="C61">
            <v>-8279872.1600000113</v>
          </cell>
          <cell r="D61">
            <v>-6930260.9036363661</v>
          </cell>
          <cell r="E61">
            <v>-8495323</v>
          </cell>
          <cell r="F61">
            <v>-11224799.379999993</v>
          </cell>
          <cell r="I61">
            <v>-14791357</v>
          </cell>
          <cell r="J61">
            <v>-5296692.1899999985</v>
          </cell>
          <cell r="M61">
            <v>-22852330</v>
          </cell>
          <cell r="N61">
            <v>-4270122.7499999981</v>
          </cell>
          <cell r="O61">
            <v>33178688.25</v>
          </cell>
          <cell r="P61">
            <v>-0.88597441050932169</v>
          </cell>
          <cell r="Q61">
            <v>-23419403</v>
          </cell>
          <cell r="R61">
            <v>-26793823.999999996</v>
          </cell>
          <cell r="S61">
            <v>10648862.939999992</v>
          </cell>
          <cell r="T61">
            <v>-0.47717002100165495</v>
          </cell>
          <cell r="U61">
            <v>-24019542</v>
          </cell>
          <cell r="V61">
            <v>0.8964581539387585</v>
          </cell>
          <cell r="W61" t="str">
            <v>UTILIDAD NETA</v>
          </cell>
          <cell r="X61">
            <v>-37448811</v>
          </cell>
          <cell r="Y61">
            <v>-66233982.75680092</v>
          </cell>
          <cell r="AB61">
            <v>-26608264.160000026</v>
          </cell>
          <cell r="AC61">
            <v>2.4892259922903914</v>
          </cell>
          <cell r="AD61">
            <v>-262025225</v>
          </cell>
          <cell r="AE61">
            <v>0.2527771238696615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M H4"/>
      <sheetName val="ERM H3"/>
      <sheetName val="ERA H5"/>
      <sheetName val="CPA H6"/>
      <sheetName val="EST. RES. ACU. H7"/>
      <sheetName val="COSTO PRO. ACU. H8"/>
      <sheetName val="MOVIMIENTO INV. H9"/>
      <sheetName val="GA H11"/>
      <sheetName val="GV H10"/>
      <sheetName val="GF H14"/>
      <sheetName val="MOH13"/>
      <sheetName val="GFA H12"/>
      <sheetName val="BALANCE H1"/>
      <sheetName val="PD.AJUS "/>
      <sheetName val="BALANCE SALDOS"/>
      <sheetName val="CARA"/>
      <sheetName val="INDICE"/>
      <sheetName val="Hoja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  <sheetName val="Hoja1"/>
      <sheetName val="DEPRE"/>
      <sheetName val="PDD"/>
      <sheetName val="Hoja1 (2)"/>
      <sheetName val="1"/>
      <sheetName val="2"/>
      <sheetName val="3"/>
      <sheetName val="RES ENE"/>
      <sheetName val="RESPALDO INV"/>
      <sheetName val="INV"/>
      <sheetName val="INCREM}"/>
      <sheetName val="COSTOS"/>
      <sheetName val="CONTROL"/>
      <sheetName val="F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2">
          <cell r="A2" t="str">
            <v>Product Code</v>
          </cell>
          <cell r="B2" t="str">
            <v>DESCRIPCION</v>
          </cell>
          <cell r="C2" t="str">
            <v>L.COST Q</v>
          </cell>
          <cell r="D2" t="str">
            <v>Transfer Price in EA in US$</v>
          </cell>
          <cell r="E2" t="str">
            <v>Manufac. Cost $</v>
          </cell>
          <cell r="F2" t="str">
            <v>Allocation</v>
          </cell>
          <cell r="G2" t="str">
            <v>BODEGA</v>
          </cell>
          <cell r="H2" t="str">
            <v>SBU</v>
          </cell>
          <cell r="I2" t="str">
            <v>CTA</v>
          </cell>
        </row>
        <row r="3">
          <cell r="A3">
            <v>74</v>
          </cell>
          <cell r="B3" t="str">
            <v>Filtro de agua blancos</v>
          </cell>
          <cell r="C3">
            <v>56.180968364641615</v>
          </cell>
          <cell r="D3">
            <v>6.6691557887751216</v>
          </cell>
          <cell r="E3">
            <v>6.0628688988864736</v>
          </cell>
          <cell r="F3">
            <v>0.60628688988864798</v>
          </cell>
          <cell r="G3" t="str">
            <v xml:space="preserve">    3030REPU</v>
          </cell>
          <cell r="H3" t="str">
            <v>HE</v>
          </cell>
        </row>
        <row r="4">
          <cell r="A4">
            <v>1527</v>
          </cell>
          <cell r="B4" t="str">
            <v>CINTA ADHESIVA 1/2 X 10 YARDAS</v>
          </cell>
          <cell r="C4">
            <v>4.1498999999999997</v>
          </cell>
          <cell r="D4">
            <v>0.48333333333333334</v>
          </cell>
          <cell r="E4">
            <v>0.48333333333333334</v>
          </cell>
          <cell r="F4">
            <v>0</v>
          </cell>
          <cell r="G4" t="str">
            <v xml:space="preserve">    3030PTGT</v>
          </cell>
          <cell r="H4" t="str">
            <v>PD</v>
          </cell>
        </row>
        <row r="5">
          <cell r="A5">
            <v>1815</v>
          </cell>
          <cell r="B5" t="str">
            <v>FACEMASK</v>
          </cell>
          <cell r="C5">
            <v>0.72440081999999983</v>
          </cell>
          <cell r="D5">
            <v>8.4370000000000001E-2</v>
          </cell>
          <cell r="E5">
            <v>6.4899999999999999E-2</v>
          </cell>
          <cell r="F5">
            <v>1.9470000000000001E-2</v>
          </cell>
          <cell r="G5" t="str">
            <v xml:space="preserve">    3030PTGT</v>
          </cell>
          <cell r="H5" t="str">
            <v>PD</v>
          </cell>
        </row>
        <row r="6">
          <cell r="A6">
            <v>1815</v>
          </cell>
          <cell r="B6" t="str">
            <v>FACEMASK</v>
          </cell>
          <cell r="C6">
            <v>0.72440081999999983</v>
          </cell>
          <cell r="D6">
            <v>8.4370000000000001E-2</v>
          </cell>
          <cell r="E6">
            <v>6.4899999999999999E-2</v>
          </cell>
          <cell r="F6">
            <v>1.9470000000000001E-2</v>
          </cell>
          <cell r="G6" t="str">
            <v xml:space="preserve">    3030PTGT</v>
          </cell>
          <cell r="H6" t="str">
            <v>PD</v>
          </cell>
        </row>
        <row r="7">
          <cell r="A7">
            <v>9103</v>
          </cell>
          <cell r="B7" t="str">
            <v>Basic Pack</v>
          </cell>
          <cell r="C7">
            <v>80.370540899999995</v>
          </cell>
          <cell r="D7">
            <v>9.3606499999999997</v>
          </cell>
          <cell r="E7">
            <v>7.2004999999999999</v>
          </cell>
          <cell r="F7">
            <v>2.1601499999999998</v>
          </cell>
          <cell r="G7" t="str">
            <v xml:space="preserve">    3030PTGT</v>
          </cell>
          <cell r="H7" t="str">
            <v>CO</v>
          </cell>
        </row>
        <row r="8">
          <cell r="A8">
            <v>9194</v>
          </cell>
          <cell r="B8" t="str">
            <v>Convertor Cuello y Cabeza</v>
          </cell>
          <cell r="C8">
            <v>99.415920240000005</v>
          </cell>
          <cell r="D8">
            <v>11.578840000000001</v>
          </cell>
          <cell r="E8">
            <v>8.9068000000000005</v>
          </cell>
          <cell r="F8">
            <v>2.6720400000000009</v>
          </cell>
          <cell r="G8" t="str">
            <v xml:space="preserve">    3030PTGT</v>
          </cell>
          <cell r="H8" t="str">
            <v>CO</v>
          </cell>
        </row>
        <row r="9">
          <cell r="A9">
            <v>15008</v>
          </cell>
          <cell r="B9" t="str">
            <v>Honvan 300 mg. 10 ampollas</v>
          </cell>
          <cell r="C9">
            <v>11.6883</v>
          </cell>
          <cell r="D9">
            <v>1.3</v>
          </cell>
          <cell r="E9">
            <v>1</v>
          </cell>
          <cell r="F9">
            <v>0.3</v>
          </cell>
          <cell r="G9" t="str">
            <v xml:space="preserve">    3030PTGT</v>
          </cell>
          <cell r="H9" t="str">
            <v>OP</v>
          </cell>
        </row>
        <row r="10">
          <cell r="A10">
            <v>15012</v>
          </cell>
          <cell r="B10" t="str">
            <v>Tamoxifeno F. 30 tab. 20 mg.</v>
          </cell>
          <cell r="C10">
            <v>22.675301999999995</v>
          </cell>
          <cell r="D10">
            <v>2.5219999999999998</v>
          </cell>
          <cell r="E10">
            <v>1.94</v>
          </cell>
          <cell r="F10">
            <v>0.58199999999999985</v>
          </cell>
          <cell r="G10" t="str">
            <v xml:space="preserve">    3030PTGT</v>
          </cell>
          <cell r="H10" t="str">
            <v>OP</v>
          </cell>
        </row>
        <row r="11">
          <cell r="A11">
            <v>29107</v>
          </cell>
          <cell r="B11" t="str">
            <v>Universal Pack</v>
          </cell>
          <cell r="C11">
            <v>147.61480499999999</v>
          </cell>
          <cell r="D11">
            <v>17.192499999999999</v>
          </cell>
          <cell r="E11">
            <v>13.225</v>
          </cell>
          <cell r="F11">
            <v>3.9674999999999998</v>
          </cell>
          <cell r="G11" t="str">
            <v xml:space="preserve">    3030PTGT</v>
          </cell>
          <cell r="H11" t="str">
            <v>CO</v>
          </cell>
        </row>
        <row r="12">
          <cell r="A12">
            <v>29140</v>
          </cell>
          <cell r="B12" t="str">
            <v>Lap Pack</v>
          </cell>
          <cell r="C12">
            <v>105.19215174000001</v>
          </cell>
          <cell r="D12">
            <v>12.251590000000002</v>
          </cell>
          <cell r="E12">
            <v>9.4243000000000006</v>
          </cell>
          <cell r="F12">
            <v>2.8272900000000014</v>
          </cell>
          <cell r="G12" t="str">
            <v xml:space="preserve">    3030PTGT</v>
          </cell>
          <cell r="H12" t="str">
            <v>CO</v>
          </cell>
        </row>
        <row r="13">
          <cell r="A13">
            <v>29740</v>
          </cell>
          <cell r="B13" t="str">
            <v>PAQUETE DE OBSTETRICIA</v>
          </cell>
          <cell r="C13">
            <v>98.025159959999996</v>
          </cell>
          <cell r="D13">
            <v>11.41686</v>
          </cell>
          <cell r="E13">
            <v>8.7821999999999996</v>
          </cell>
          <cell r="F13">
            <v>2.6346600000000002</v>
          </cell>
          <cell r="G13" t="str">
            <v xml:space="preserve">    3030PTGT</v>
          </cell>
          <cell r="H13" t="str">
            <v>CO</v>
          </cell>
        </row>
        <row r="14">
          <cell r="A14">
            <v>29750</v>
          </cell>
          <cell r="B14" t="str">
            <v>O. B. pack</v>
          </cell>
          <cell r="C14">
            <v>97.319734199999999</v>
          </cell>
          <cell r="D14">
            <v>11.3347</v>
          </cell>
          <cell r="E14">
            <v>8.7189999999999994</v>
          </cell>
          <cell r="F14">
            <v>2.6157000000000004</v>
          </cell>
          <cell r="G14" t="str">
            <v xml:space="preserve">    3030PTGT</v>
          </cell>
          <cell r="H14" t="str">
            <v>CO</v>
          </cell>
        </row>
        <row r="15">
          <cell r="A15">
            <v>60033</v>
          </cell>
          <cell r="B15" t="str">
            <v>BUMINATE 25%, 50ML HYL</v>
          </cell>
          <cell r="C15">
            <v>178.03405854000002</v>
          </cell>
          <cell r="D15">
            <v>20.735390000000002</v>
          </cell>
          <cell r="E15">
            <v>15.9503</v>
          </cell>
          <cell r="F15">
            <v>4.7850900000000021</v>
          </cell>
          <cell r="G15" t="str">
            <v xml:space="preserve">    3030PTGT</v>
          </cell>
          <cell r="H15" t="str">
            <v>PP</v>
          </cell>
        </row>
        <row r="16">
          <cell r="A16">
            <v>60386</v>
          </cell>
          <cell r="C16">
            <v>1303.565157</v>
          </cell>
          <cell r="D16">
            <v>151.8245</v>
          </cell>
          <cell r="E16">
            <v>142.27892911571647</v>
          </cell>
          <cell r="F16">
            <v>9.545570884283535</v>
          </cell>
          <cell r="G16" t="str">
            <v xml:space="preserve">    3030PTGT</v>
          </cell>
          <cell r="H16" t="str">
            <v>PP</v>
          </cell>
        </row>
        <row r="17">
          <cell r="A17">
            <v>60387</v>
          </cell>
          <cell r="C17">
            <v>2665.1218752</v>
          </cell>
          <cell r="D17">
            <v>310.40320000000003</v>
          </cell>
          <cell r="E17">
            <v>277.89679999999998</v>
          </cell>
          <cell r="F17">
            <v>32.506400000000042</v>
          </cell>
          <cell r="G17" t="str">
            <v xml:space="preserve">    3030PTGT</v>
          </cell>
          <cell r="H17" t="str">
            <v>PP</v>
          </cell>
        </row>
        <row r="18">
          <cell r="A18">
            <v>60616</v>
          </cell>
          <cell r="B18" t="str">
            <v>AHF,HEMOFIL-M,BP,I/C,HIGH</v>
          </cell>
          <cell r="C18">
            <v>2539.4568357600006</v>
          </cell>
          <cell r="D18">
            <v>295.76716000000005</v>
          </cell>
          <cell r="E18">
            <v>227.51320000000001</v>
          </cell>
          <cell r="F18">
            <v>68.253960000000035</v>
          </cell>
          <cell r="G18" t="str">
            <v xml:space="preserve">    3030PTGT</v>
          </cell>
          <cell r="H18" t="str">
            <v>PP</v>
          </cell>
        </row>
        <row r="19">
          <cell r="A19">
            <v>60618</v>
          </cell>
          <cell r="C19">
            <v>349.33514759999997</v>
          </cell>
          <cell r="D19">
            <v>40.686599999999999</v>
          </cell>
          <cell r="E19">
            <v>59.671500000000002</v>
          </cell>
          <cell r="F19">
            <v>-18.984900000000003</v>
          </cell>
          <cell r="G19" t="str">
            <v xml:space="preserve">    3030PTGT</v>
          </cell>
          <cell r="H19" t="str">
            <v>PP</v>
          </cell>
        </row>
        <row r="20">
          <cell r="A20">
            <v>60619</v>
          </cell>
          <cell r="B20" t="str">
            <v>AHF-M,HEMOFIL-M,440-849,IC</v>
          </cell>
          <cell r="C20">
            <v>1310.3830420200002</v>
          </cell>
          <cell r="D20">
            <v>152.61857000000001</v>
          </cell>
          <cell r="E20">
            <v>117.3989</v>
          </cell>
          <cell r="F20">
            <v>35.219670000000008</v>
          </cell>
          <cell r="G20" t="str">
            <v xml:space="preserve">    3030PTGT</v>
          </cell>
          <cell r="H20" t="str">
            <v>PP</v>
          </cell>
        </row>
        <row r="21">
          <cell r="A21">
            <v>60620</v>
          </cell>
          <cell r="B21" t="str">
            <v>AHF-M,HEMOFIL-M,850-1240,IC</v>
          </cell>
          <cell r="C21">
            <v>2553.6323217599997</v>
          </cell>
          <cell r="D21">
            <v>297.41816</v>
          </cell>
          <cell r="E21">
            <v>228.78319999999999</v>
          </cell>
          <cell r="F21">
            <v>68.634960000000007</v>
          </cell>
          <cell r="G21" t="str">
            <v xml:space="preserve">    3030PTGT</v>
          </cell>
          <cell r="H21" t="str">
            <v>PP</v>
          </cell>
        </row>
        <row r="22">
          <cell r="A22">
            <v>60739</v>
          </cell>
          <cell r="B22" t="str">
            <v>FACTOR IX, PROPLEX T</v>
          </cell>
          <cell r="C22">
            <v>3667.1067014399996</v>
          </cell>
          <cell r="D22">
            <v>427.10304000000002</v>
          </cell>
          <cell r="E22">
            <v>328.54079999999999</v>
          </cell>
          <cell r="F22">
            <v>98.562240000000031</v>
          </cell>
          <cell r="G22" t="str">
            <v xml:space="preserve">    3030PTGT</v>
          </cell>
          <cell r="H22" t="str">
            <v>PP</v>
          </cell>
        </row>
        <row r="23">
          <cell r="A23">
            <v>210162</v>
          </cell>
          <cell r="C23">
            <v>590.64935939999998</v>
          </cell>
          <cell r="D23">
            <v>65.693399999999997</v>
          </cell>
          <cell r="E23">
            <v>20.041699999999999</v>
          </cell>
          <cell r="F23">
            <v>45.651699999999998</v>
          </cell>
          <cell r="G23" t="str">
            <v xml:space="preserve">    3030PTGT</v>
          </cell>
          <cell r="H23" t="str">
            <v>AN</v>
          </cell>
        </row>
        <row r="24">
          <cell r="A24">
            <v>210194</v>
          </cell>
          <cell r="C24">
            <v>59.871968099999997</v>
          </cell>
          <cell r="D24">
            <v>6.6590999999999996</v>
          </cell>
          <cell r="E24">
            <v>5.2617000000000003</v>
          </cell>
          <cell r="F24">
            <v>1.3973999999999993</v>
          </cell>
          <cell r="G24" t="str">
            <v xml:space="preserve">    3030PTGT</v>
          </cell>
          <cell r="H24" t="str">
            <v>AN</v>
          </cell>
        </row>
        <row r="25">
          <cell r="A25">
            <v>218081</v>
          </cell>
          <cell r="C25">
            <v>598.7178828000001</v>
          </cell>
          <cell r="D25">
            <v>66.590800000000002</v>
          </cell>
          <cell r="E25">
            <v>20.041699999999999</v>
          </cell>
          <cell r="F25">
            <v>46.549100000000003</v>
          </cell>
          <cell r="G25" t="str">
            <v xml:space="preserve">    3030PTGT</v>
          </cell>
          <cell r="H25" t="str">
            <v>AN</v>
          </cell>
        </row>
        <row r="26">
          <cell r="A26">
            <v>218094</v>
          </cell>
          <cell r="C26">
            <v>59.064576299999999</v>
          </cell>
          <cell r="D26">
            <v>6.5693000000000001</v>
          </cell>
          <cell r="E26">
            <v>5.2617000000000003</v>
          </cell>
          <cell r="F26">
            <v>1.3075999999999999</v>
          </cell>
          <cell r="G26" t="str">
            <v xml:space="preserve">    3030PTGT</v>
          </cell>
          <cell r="H26" t="str">
            <v>AN</v>
          </cell>
        </row>
        <row r="27">
          <cell r="A27">
            <v>226094</v>
          </cell>
          <cell r="C27">
            <v>29.532737699999998</v>
          </cell>
          <cell r="D27">
            <v>3.2847</v>
          </cell>
          <cell r="E27">
            <v>5.2617000000000003</v>
          </cell>
          <cell r="F27">
            <v>-1.9770000000000003</v>
          </cell>
          <cell r="G27" t="str">
            <v xml:space="preserve">    3030PTGT</v>
          </cell>
          <cell r="H27" t="str">
            <v>AN</v>
          </cell>
        </row>
        <row r="28">
          <cell r="A28">
            <v>253081</v>
          </cell>
          <cell r="C28">
            <v>598.7178828000001</v>
          </cell>
          <cell r="D28">
            <v>66.590800000000002</v>
          </cell>
          <cell r="E28">
            <v>19.391999999999999</v>
          </cell>
          <cell r="F28">
            <v>47.198800000000006</v>
          </cell>
          <cell r="G28" t="str">
            <v xml:space="preserve">    3030PTGT</v>
          </cell>
          <cell r="H28" t="str">
            <v>AN</v>
          </cell>
        </row>
        <row r="29">
          <cell r="A29">
            <v>253094</v>
          </cell>
          <cell r="C29">
            <v>19.688491800000001</v>
          </cell>
          <cell r="D29">
            <v>2.1898</v>
          </cell>
          <cell r="E29">
            <v>5.2617000000000003</v>
          </cell>
          <cell r="F29">
            <v>-3.0719000000000003</v>
          </cell>
          <cell r="G29" t="str">
            <v xml:space="preserve">    3030PTGT</v>
          </cell>
          <cell r="H29" t="str">
            <v>AN</v>
          </cell>
        </row>
        <row r="30">
          <cell r="A30" t="str">
            <v>ABR6332</v>
          </cell>
          <cell r="C30">
            <v>18.759794400000001</v>
          </cell>
          <cell r="D30">
            <v>2.0316000000000001</v>
          </cell>
          <cell r="E30">
            <v>1.8468898305084744</v>
          </cell>
          <cell r="F30">
            <v>0.18471016949152563</v>
          </cell>
          <cell r="G30" t="str">
            <v xml:space="preserve">    3030PTGT</v>
          </cell>
          <cell r="H30" t="str">
            <v>BP</v>
          </cell>
        </row>
        <row r="31">
          <cell r="A31">
            <v>21167010</v>
          </cell>
          <cell r="B31" t="str">
            <v>SENSOR PHOTOELECTRIC</v>
          </cell>
          <cell r="C31">
            <v>780.6015359999999</v>
          </cell>
          <cell r="D31">
            <v>92.664000000000001</v>
          </cell>
          <cell r="E31">
            <v>84.24</v>
          </cell>
          <cell r="F31">
            <v>8.4240000000000066</v>
          </cell>
          <cell r="G31" t="str">
            <v xml:space="preserve">    3030REPU</v>
          </cell>
          <cell r="H31" t="str">
            <v>PT</v>
          </cell>
        </row>
        <row r="32">
          <cell r="A32">
            <v>21171002</v>
          </cell>
          <cell r="B32" t="str">
            <v>ELECTRONIC BOARD TESTED</v>
          </cell>
          <cell r="C32">
            <v>5480.2416240000002</v>
          </cell>
          <cell r="D32">
            <v>650.55100000000004</v>
          </cell>
          <cell r="E32">
            <v>591.41</v>
          </cell>
          <cell r="F32">
            <v>59.141000000000076</v>
          </cell>
          <cell r="G32" t="str">
            <v xml:space="preserve">    3030REPU</v>
          </cell>
          <cell r="H32" t="str">
            <v>PT</v>
          </cell>
        </row>
        <row r="33">
          <cell r="A33">
            <v>21171026</v>
          </cell>
          <cell r="B33" t="str">
            <v>IR DIOD LD-274-2</v>
          </cell>
          <cell r="C33">
            <v>33.637031999999998</v>
          </cell>
          <cell r="D33">
            <v>3.9930000000000003</v>
          </cell>
          <cell r="E33">
            <v>3.63</v>
          </cell>
          <cell r="F33">
            <v>0.36300000000000043</v>
          </cell>
          <cell r="G33" t="str">
            <v xml:space="preserve">    3030REPU</v>
          </cell>
          <cell r="H33" t="str">
            <v>PT</v>
          </cell>
        </row>
        <row r="34">
          <cell r="A34">
            <v>21171051</v>
          </cell>
          <cell r="B34" t="str">
            <v>LED REED SENSOR</v>
          </cell>
          <cell r="C34">
            <v>82.56362399999999</v>
          </cell>
          <cell r="D34">
            <v>9.8010000000000002</v>
          </cell>
          <cell r="E34">
            <v>8.91</v>
          </cell>
          <cell r="F34">
            <v>0.89100000000000001</v>
          </cell>
          <cell r="G34" t="str">
            <v xml:space="preserve">    3030REPU</v>
          </cell>
          <cell r="H34" t="str">
            <v>PT</v>
          </cell>
        </row>
        <row r="35">
          <cell r="A35">
            <v>32532307</v>
          </cell>
          <cell r="B35" t="str">
            <v>monitor test pack</v>
          </cell>
          <cell r="C35">
            <v>194.70467016000003</v>
          </cell>
          <cell r="D35">
            <v>23.113090000000003</v>
          </cell>
          <cell r="E35">
            <v>21.011900000000001</v>
          </cell>
          <cell r="F35">
            <v>2.1011900000000026</v>
          </cell>
          <cell r="G35" t="str">
            <v xml:space="preserve">    3030REPU</v>
          </cell>
          <cell r="H35" t="str">
            <v>DP</v>
          </cell>
        </row>
        <row r="36">
          <cell r="A36">
            <v>710100122</v>
          </cell>
          <cell r="B36" t="str">
            <v>MOTOR CTRLR AND XFRMR</v>
          </cell>
          <cell r="C36">
            <v>2713.8542745600007</v>
          </cell>
          <cell r="D36">
            <v>322.15744000000007</v>
          </cell>
          <cell r="E36">
            <v>292.87040000000002</v>
          </cell>
          <cell r="F36">
            <v>29.287040000000047</v>
          </cell>
          <cell r="G36" t="str">
            <v xml:space="preserve">    3030REPU</v>
          </cell>
          <cell r="H36" t="str">
            <v>BP</v>
          </cell>
        </row>
        <row r="37">
          <cell r="A37">
            <v>710400006</v>
          </cell>
          <cell r="B37" t="str">
            <v>INSERT WBC SEPRATION</v>
          </cell>
          <cell r="C37">
            <v>737.87509223999996</v>
          </cell>
          <cell r="D37">
            <v>87.592010000000002</v>
          </cell>
          <cell r="E37">
            <v>79.629099999999994</v>
          </cell>
          <cell r="F37">
            <v>7.9629100000000079</v>
          </cell>
          <cell r="G37" t="str">
            <v xml:space="preserve">    3030REPU</v>
          </cell>
          <cell r="H37" t="str">
            <v>PT</v>
          </cell>
        </row>
        <row r="38">
          <cell r="A38" t="str">
            <v>710400008</v>
          </cell>
          <cell r="B38" t="str">
            <v>Insert Plt Coll A35</v>
          </cell>
          <cell r="C38">
            <v>737.87509223999996</v>
          </cell>
          <cell r="D38">
            <v>87.592010000000002</v>
          </cell>
          <cell r="E38">
            <v>79.629099999999994</v>
          </cell>
          <cell r="F38">
            <v>7.9629100000000079</v>
          </cell>
          <cell r="G38" t="str">
            <v xml:space="preserve">    3030REPU</v>
          </cell>
          <cell r="H38" t="str">
            <v>PT</v>
          </cell>
        </row>
        <row r="39">
          <cell r="A39" t="str">
            <v>710400037</v>
          </cell>
          <cell r="B39" t="str">
            <v>ROTO CONTROLLER COMPLETE GOLD</v>
          </cell>
          <cell r="C39">
            <v>12142.870328159999</v>
          </cell>
          <cell r="D39">
            <v>1441.4613400000001</v>
          </cell>
          <cell r="E39">
            <v>1310.4194</v>
          </cell>
          <cell r="F39">
            <v>131.04194000000007</v>
          </cell>
          <cell r="G39" t="str">
            <v xml:space="preserve">    3030REPU</v>
          </cell>
          <cell r="H39" t="str">
            <v>PT</v>
          </cell>
        </row>
        <row r="40">
          <cell r="A40" t="str">
            <v>710400604</v>
          </cell>
          <cell r="B40" t="str">
            <v>PRESS TRANSDUCER BLOCK</v>
          </cell>
          <cell r="C40">
            <v>3671.4783362399999</v>
          </cell>
          <cell r="D40">
            <v>435.83551</v>
          </cell>
          <cell r="E40">
            <v>396.21409999999997</v>
          </cell>
          <cell r="F40">
            <v>39.621410000000026</v>
          </cell>
          <cell r="G40" t="str">
            <v xml:space="preserve">    3030REPU</v>
          </cell>
          <cell r="H40" t="str">
            <v>PT</v>
          </cell>
        </row>
        <row r="41">
          <cell r="A41" t="str">
            <v>710400759</v>
          </cell>
          <cell r="B41" t="str">
            <v>STROBELITE PWR SUP PC.BD. TEST</v>
          </cell>
          <cell r="C41">
            <v>3019.3711891200001</v>
          </cell>
          <cell r="D41">
            <v>358.42488000000003</v>
          </cell>
          <cell r="E41">
            <v>325.8408</v>
          </cell>
          <cell r="F41">
            <v>32.584080000000029</v>
          </cell>
          <cell r="G41" t="str">
            <v xml:space="preserve">    3030REPU</v>
          </cell>
          <cell r="H41" t="str">
            <v>PT</v>
          </cell>
        </row>
        <row r="42">
          <cell r="A42" t="str">
            <v>710800013</v>
          </cell>
          <cell r="B42" t="str">
            <v>PCB BUBLE SET SYSTEMS</v>
          </cell>
          <cell r="C42">
            <v>1480.09612608</v>
          </cell>
          <cell r="D42">
            <v>175.69992000000002</v>
          </cell>
          <cell r="E42">
            <v>159.72720000000001</v>
          </cell>
          <cell r="F42">
            <v>15.97272000000001</v>
          </cell>
          <cell r="G42" t="str">
            <v xml:space="preserve">    3030REPU</v>
          </cell>
          <cell r="H42" t="str">
            <v>PT</v>
          </cell>
        </row>
        <row r="43">
          <cell r="A43" t="str">
            <v>730000338</v>
          </cell>
          <cell r="B43" t="str">
            <v>TIME BELT GROVE</v>
          </cell>
          <cell r="C43">
            <v>46.660030560000003</v>
          </cell>
          <cell r="D43">
            <v>5.5389400000000002</v>
          </cell>
          <cell r="E43">
            <v>5.0354000000000001</v>
          </cell>
          <cell r="F43">
            <v>0.5035400000000001</v>
          </cell>
          <cell r="G43" t="str">
            <v xml:space="preserve">    3030REPU</v>
          </cell>
          <cell r="H43" t="str">
            <v>PT</v>
          </cell>
        </row>
        <row r="44">
          <cell r="A44" t="str">
            <v>770400243</v>
          </cell>
          <cell r="B44" t="str">
            <v>INSERT TNX-6 SEP</v>
          </cell>
          <cell r="C44">
            <v>737.87509223999996</v>
          </cell>
          <cell r="D44">
            <v>87.592010000000002</v>
          </cell>
          <cell r="E44">
            <v>79.629099999999994</v>
          </cell>
          <cell r="F44">
            <v>7.9629100000000079</v>
          </cell>
          <cell r="G44" t="str">
            <v xml:space="preserve">    3030REPU</v>
          </cell>
          <cell r="H44" t="str">
            <v>PT</v>
          </cell>
        </row>
        <row r="45">
          <cell r="A45" t="str">
            <v>1001964124</v>
          </cell>
          <cell r="C45">
            <v>598.7178828000001</v>
          </cell>
          <cell r="D45">
            <v>66.590800000000002</v>
          </cell>
          <cell r="E45">
            <v>19.078499999999998</v>
          </cell>
          <cell r="F45">
            <v>47.512300000000003</v>
          </cell>
          <cell r="G45" t="str">
            <v xml:space="preserve">    3030PTGT</v>
          </cell>
          <cell r="H45">
            <v>0</v>
          </cell>
        </row>
        <row r="46">
          <cell r="A46">
            <v>1570536980</v>
          </cell>
          <cell r="B46" t="str">
            <v>cell conductivity 450/550</v>
          </cell>
          <cell r="C46">
            <v>516.87608544</v>
          </cell>
          <cell r="D46">
            <v>61.357560000000007</v>
          </cell>
          <cell r="E46">
            <v>55.779600000000002</v>
          </cell>
          <cell r="F46">
            <v>5.5779600000000045</v>
          </cell>
          <cell r="G46" t="str">
            <v xml:space="preserve">    3030REPU</v>
          </cell>
          <cell r="H46" t="str">
            <v>HE</v>
          </cell>
        </row>
        <row r="47">
          <cell r="A47">
            <v>1571214135</v>
          </cell>
          <cell r="B47" t="str">
            <v>VALVE ASSY SLIPPER</v>
          </cell>
          <cell r="C47">
            <v>390.02277600000002</v>
          </cell>
          <cell r="D47">
            <v>46.299000000000007</v>
          </cell>
          <cell r="E47">
            <v>42.09</v>
          </cell>
          <cell r="F47">
            <v>4.2090000000000032</v>
          </cell>
          <cell r="G47" t="str">
            <v xml:space="preserve">    3030REPU</v>
          </cell>
          <cell r="H47" t="str">
            <v>HE</v>
          </cell>
        </row>
        <row r="48">
          <cell r="A48">
            <v>1571214212</v>
          </cell>
          <cell r="B48" t="str">
            <v>FLOW CONTROLLER ASSY</v>
          </cell>
          <cell r="C48">
            <v>423.84513599999997</v>
          </cell>
          <cell r="D48">
            <v>50.314000000000007</v>
          </cell>
          <cell r="E48">
            <v>45.74</v>
          </cell>
          <cell r="F48">
            <v>4.5740000000000052</v>
          </cell>
          <cell r="G48" t="str">
            <v xml:space="preserve">    3030REPU</v>
          </cell>
          <cell r="H48" t="str">
            <v>HE</v>
          </cell>
        </row>
        <row r="49">
          <cell r="A49">
            <v>1571214234</v>
          </cell>
          <cell r="B49" t="str">
            <v>thermistor temp comp. Gps</v>
          </cell>
          <cell r="C49">
            <v>353.13416423999996</v>
          </cell>
          <cell r="D49">
            <v>41.920009999999998</v>
          </cell>
          <cell r="E49">
            <v>38.109099999999998</v>
          </cell>
          <cell r="F49">
            <v>3.8109099999999998</v>
          </cell>
          <cell r="G49" t="str">
            <v xml:space="preserve">    3030REPU</v>
          </cell>
          <cell r="H49" t="str">
            <v>HE</v>
          </cell>
        </row>
        <row r="50">
          <cell r="A50">
            <v>1571214266</v>
          </cell>
          <cell r="B50" t="str">
            <v>TUBING VESSEL ASSY</v>
          </cell>
          <cell r="C50">
            <v>111.1968</v>
          </cell>
          <cell r="D50">
            <v>13.2</v>
          </cell>
          <cell r="E50">
            <v>12</v>
          </cell>
          <cell r="F50">
            <v>1.2</v>
          </cell>
          <cell r="G50" t="str">
            <v xml:space="preserve">    3030REPU</v>
          </cell>
          <cell r="H50" t="str">
            <v>HE</v>
          </cell>
        </row>
        <row r="51">
          <cell r="A51">
            <v>1571214277</v>
          </cell>
          <cell r="B51" t="str">
            <v>solenoid valve assy</v>
          </cell>
          <cell r="C51">
            <v>0.71536608000000002</v>
          </cell>
          <cell r="D51">
            <v>8.4920000000000009E-2</v>
          </cell>
          <cell r="E51">
            <v>7.7200000000000005E-2</v>
          </cell>
          <cell r="F51">
            <v>7.7200000000000046E-3</v>
          </cell>
          <cell r="G51" t="str">
            <v xml:space="preserve">    3030REPU</v>
          </cell>
          <cell r="H51" t="str">
            <v>HE</v>
          </cell>
        </row>
        <row r="52">
          <cell r="A52">
            <v>1571214400</v>
          </cell>
          <cell r="B52" t="str">
            <v>VALVE CHECK ASSY SPS EA</v>
          </cell>
          <cell r="C52">
            <v>14.548248000000001</v>
          </cell>
          <cell r="D52">
            <v>1.7270000000000003</v>
          </cell>
          <cell r="E52">
            <v>1.57</v>
          </cell>
          <cell r="F52">
            <v>0.15700000000000025</v>
          </cell>
          <cell r="G52" t="str">
            <v xml:space="preserve">    3030REPU</v>
          </cell>
          <cell r="H52" t="str">
            <v>HE</v>
          </cell>
        </row>
        <row r="53">
          <cell r="A53">
            <v>1571214428</v>
          </cell>
          <cell r="B53" t="str">
            <v>BLOOD PUMP COVER</v>
          </cell>
          <cell r="C53">
            <v>103.13503200000001</v>
          </cell>
          <cell r="D53">
            <v>12.243000000000002</v>
          </cell>
          <cell r="E53">
            <v>11.13</v>
          </cell>
          <cell r="F53">
            <v>1.1130000000000013</v>
          </cell>
          <cell r="G53" t="str">
            <v xml:space="preserve">    3030REPU</v>
          </cell>
          <cell r="H53" t="str">
            <v>HE</v>
          </cell>
        </row>
        <row r="54">
          <cell r="A54">
            <v>1571214483</v>
          </cell>
          <cell r="B54" t="str">
            <v>male rinse fitting</v>
          </cell>
          <cell r="C54">
            <v>0.71536608000000002</v>
          </cell>
          <cell r="D54">
            <v>8.4920000000000009E-2</v>
          </cell>
          <cell r="E54">
            <v>7.7200000000000005E-2</v>
          </cell>
          <cell r="F54">
            <v>7.7200000000000046E-3</v>
          </cell>
          <cell r="G54" t="str">
            <v xml:space="preserve">    3030REPU</v>
          </cell>
          <cell r="H54" t="str">
            <v>HE</v>
          </cell>
        </row>
        <row r="55">
          <cell r="A55">
            <v>1571215232</v>
          </cell>
          <cell r="B55" t="str">
            <v>TAPONES PARA CONCENTRADO</v>
          </cell>
          <cell r="C55">
            <v>47.814624000000009</v>
          </cell>
          <cell r="D55">
            <v>5.676000000000001</v>
          </cell>
          <cell r="E55">
            <v>5.16</v>
          </cell>
          <cell r="F55">
            <v>0.5160000000000009</v>
          </cell>
          <cell r="G55" t="str">
            <v xml:space="preserve">    3030REPU</v>
          </cell>
          <cell r="H55" t="str">
            <v>HE</v>
          </cell>
        </row>
        <row r="56">
          <cell r="A56">
            <v>1571215233</v>
          </cell>
          <cell r="B56" t="str">
            <v>WHEEL LARGE CASTERS SPS</v>
          </cell>
          <cell r="C56">
            <v>263.721744</v>
          </cell>
          <cell r="D56">
            <v>31.306000000000004</v>
          </cell>
          <cell r="E56">
            <v>28.46</v>
          </cell>
          <cell r="F56">
            <v>2.8460000000000036</v>
          </cell>
          <cell r="G56" t="str">
            <v xml:space="preserve">    3030REPU</v>
          </cell>
          <cell r="H56" t="str">
            <v>HE</v>
          </cell>
        </row>
        <row r="57">
          <cell r="A57">
            <v>1571215235</v>
          </cell>
          <cell r="B57" t="str">
            <v>deareation regulator</v>
          </cell>
          <cell r="C57">
            <v>1089.1930420800002</v>
          </cell>
          <cell r="D57">
            <v>129.29642000000001</v>
          </cell>
          <cell r="E57">
            <v>117.54219999999999</v>
          </cell>
          <cell r="F57">
            <v>11.754220000000018</v>
          </cell>
          <cell r="G57" t="str">
            <v xml:space="preserve">    3030REPU</v>
          </cell>
          <cell r="H57" t="str">
            <v>HE</v>
          </cell>
        </row>
        <row r="58">
          <cell r="A58">
            <v>1571235112</v>
          </cell>
          <cell r="B58" t="str">
            <v>FOAM DETECTOR ARMING</v>
          </cell>
          <cell r="C58">
            <v>131.675544</v>
          </cell>
          <cell r="D58">
            <v>15.631000000000002</v>
          </cell>
          <cell r="E58">
            <v>14.21</v>
          </cell>
          <cell r="F58">
            <v>1.4210000000000012</v>
          </cell>
          <cell r="G58" t="str">
            <v xml:space="preserve">    3030REPU</v>
          </cell>
          <cell r="H58" t="str">
            <v>HE</v>
          </cell>
        </row>
        <row r="59">
          <cell r="A59">
            <v>1571235201</v>
          </cell>
          <cell r="B59" t="str">
            <v>INPUT OUTPUT PRINTED</v>
          </cell>
          <cell r="C59">
            <v>981.21909600000004</v>
          </cell>
          <cell r="D59">
            <v>116.47900000000001</v>
          </cell>
          <cell r="E59">
            <v>105.89</v>
          </cell>
          <cell r="F59">
            <v>10.589000000000013</v>
          </cell>
          <cell r="G59" t="str">
            <v xml:space="preserve">    3030REPU</v>
          </cell>
          <cell r="H59" t="str">
            <v>HE</v>
          </cell>
        </row>
        <row r="60">
          <cell r="A60">
            <v>1571235206</v>
          </cell>
          <cell r="B60" t="str">
            <v>MOTHERBOARD FOR UFC</v>
          </cell>
          <cell r="C60">
            <v>232.58664000000002</v>
          </cell>
          <cell r="D60">
            <v>27.61</v>
          </cell>
          <cell r="E60">
            <v>25.1</v>
          </cell>
          <cell r="F60">
            <v>2.5099999999999998</v>
          </cell>
          <cell r="G60" t="str">
            <v xml:space="preserve">    3030REPU</v>
          </cell>
          <cell r="H60" t="str">
            <v>HE</v>
          </cell>
        </row>
        <row r="61">
          <cell r="A61">
            <v>1571235207</v>
          </cell>
          <cell r="B61" t="str">
            <v>POWER SUPPLY BLOOD LEAK PC</v>
          </cell>
          <cell r="C61">
            <v>839.81383200000005</v>
          </cell>
          <cell r="D61">
            <v>99.692999999999998</v>
          </cell>
          <cell r="E61">
            <v>90.63</v>
          </cell>
          <cell r="F61">
            <v>9.0630000000000024</v>
          </cell>
          <cell r="G61" t="str">
            <v xml:space="preserve">    3030REPU</v>
          </cell>
          <cell r="H61" t="str">
            <v>HE</v>
          </cell>
        </row>
        <row r="62">
          <cell r="A62">
            <v>1571235208</v>
          </cell>
          <cell r="B62" t="str">
            <v>MOTHER BOARD</v>
          </cell>
          <cell r="C62">
            <v>1539.94039056</v>
          </cell>
          <cell r="D62">
            <v>182.80394000000001</v>
          </cell>
          <cell r="E62">
            <v>166.18539999999999</v>
          </cell>
          <cell r="F62">
            <v>16.618540000000024</v>
          </cell>
          <cell r="G62" t="str">
            <v xml:space="preserve">    3030REPU</v>
          </cell>
          <cell r="H62" t="str">
            <v>HE</v>
          </cell>
        </row>
        <row r="63">
          <cell r="A63">
            <v>1571235209</v>
          </cell>
          <cell r="B63" t="str">
            <v>BLOOD PUMP POWER DIST.</v>
          </cell>
          <cell r="C63">
            <v>430.05362400000001</v>
          </cell>
          <cell r="D63">
            <v>51.051000000000002</v>
          </cell>
          <cell r="E63">
            <v>46.41</v>
          </cell>
          <cell r="F63">
            <v>4.6410000000000053</v>
          </cell>
          <cell r="G63" t="str">
            <v xml:space="preserve">    3030REPU</v>
          </cell>
          <cell r="H63" t="str">
            <v>HE</v>
          </cell>
        </row>
        <row r="64">
          <cell r="A64">
            <v>1571235212</v>
          </cell>
          <cell r="B64" t="str">
            <v>PRESSURE DISPLAY PCB</v>
          </cell>
          <cell r="C64">
            <v>3744.3817382399998</v>
          </cell>
          <cell r="D64">
            <v>444.48975999999999</v>
          </cell>
          <cell r="E64">
            <v>404.08159999999998</v>
          </cell>
          <cell r="F64">
            <v>40.408160000000009</v>
          </cell>
          <cell r="G64" t="str">
            <v xml:space="preserve">    3030REPU</v>
          </cell>
          <cell r="H64" t="str">
            <v>HE</v>
          </cell>
        </row>
        <row r="65">
          <cell r="A65">
            <v>1571235213</v>
          </cell>
          <cell r="B65" t="str">
            <v>PRESSURE CONTROL CPU PC</v>
          </cell>
          <cell r="C65">
            <v>1971.9232790399999</v>
          </cell>
          <cell r="D65">
            <v>234.08396000000002</v>
          </cell>
          <cell r="E65">
            <v>212.80359999999999</v>
          </cell>
          <cell r="F65">
            <v>21.28036000000003</v>
          </cell>
          <cell r="G65" t="str">
            <v xml:space="preserve">    3030REPU</v>
          </cell>
          <cell r="H65" t="str">
            <v>HE</v>
          </cell>
        </row>
        <row r="66">
          <cell r="A66">
            <v>1571235214</v>
          </cell>
          <cell r="B66" t="str">
            <v>VELOCIDAD DE BOMBA</v>
          </cell>
          <cell r="C66">
            <v>394.84130400000004</v>
          </cell>
          <cell r="D66">
            <v>46.871000000000002</v>
          </cell>
          <cell r="E66">
            <v>42.61</v>
          </cell>
          <cell r="F66">
            <v>4.2610000000000028</v>
          </cell>
          <cell r="G66" t="str">
            <v xml:space="preserve">    3030REPU</v>
          </cell>
          <cell r="H66" t="str">
            <v>HE</v>
          </cell>
        </row>
        <row r="67">
          <cell r="A67">
            <v>1571235215</v>
          </cell>
          <cell r="B67" t="str">
            <v>HEPARIN PUMP P.C. BOARD</v>
          </cell>
          <cell r="C67">
            <v>981.01430856000002</v>
          </cell>
          <cell r="D67">
            <v>116.45469000000001</v>
          </cell>
          <cell r="E67">
            <v>105.86790000000001</v>
          </cell>
          <cell r="F67">
            <v>10.586790000000008</v>
          </cell>
          <cell r="G67" t="str">
            <v xml:space="preserve">    3030REPU</v>
          </cell>
          <cell r="H67" t="str">
            <v>HE</v>
          </cell>
        </row>
        <row r="68">
          <cell r="A68">
            <v>1571235216</v>
          </cell>
          <cell r="B68" t="str">
            <v>PCB PC2B COND FOAM</v>
          </cell>
          <cell r="C68">
            <v>3334.9773599999999</v>
          </cell>
          <cell r="D68">
            <v>395.89</v>
          </cell>
          <cell r="E68">
            <v>359.9</v>
          </cell>
          <cell r="F68">
            <v>35.99</v>
          </cell>
          <cell r="G68" t="str">
            <v xml:space="preserve">    3030REPU</v>
          </cell>
          <cell r="H68" t="str">
            <v>HE</v>
          </cell>
        </row>
        <row r="69">
          <cell r="A69">
            <v>1571235220</v>
          </cell>
          <cell r="B69" t="str">
            <v>SWITCH</v>
          </cell>
          <cell r="C69">
            <v>745.57454400000006</v>
          </cell>
          <cell r="D69">
            <v>88.506</v>
          </cell>
          <cell r="E69">
            <v>80.459999999999994</v>
          </cell>
          <cell r="F69">
            <v>8.0460000000000065</v>
          </cell>
          <cell r="G69" t="str">
            <v xml:space="preserve">    3030REPU</v>
          </cell>
          <cell r="H69" t="str">
            <v>HE</v>
          </cell>
        </row>
        <row r="70">
          <cell r="A70">
            <v>1571235242</v>
          </cell>
          <cell r="B70" t="str">
            <v>TPM REGULATOR ASSY SPS EA</v>
          </cell>
          <cell r="C70">
            <v>1493.558352</v>
          </cell>
          <cell r="D70">
            <v>177.29800000000003</v>
          </cell>
          <cell r="E70">
            <v>161.18</v>
          </cell>
          <cell r="F70">
            <v>16.118000000000023</v>
          </cell>
          <cell r="G70" t="str">
            <v xml:space="preserve">    3030REPU</v>
          </cell>
          <cell r="H70" t="str">
            <v>HE</v>
          </cell>
        </row>
        <row r="71">
          <cell r="A71">
            <v>1571235253</v>
          </cell>
          <cell r="B71" t="str">
            <v>lampara para fuga de sangre</v>
          </cell>
          <cell r="C71">
            <v>323.17681967999988</v>
          </cell>
          <cell r="D71">
            <v>38.363819999999997</v>
          </cell>
          <cell r="E71">
            <v>34.876199999999997</v>
          </cell>
          <cell r="F71">
            <v>3.4876199999999997</v>
          </cell>
          <cell r="G71" t="str">
            <v xml:space="preserve">    3030REPU</v>
          </cell>
          <cell r="H71" t="str">
            <v>HE</v>
          </cell>
        </row>
        <row r="72">
          <cell r="A72">
            <v>1571235254</v>
          </cell>
          <cell r="B72" t="str">
            <v>light det assy</v>
          </cell>
          <cell r="C72">
            <v>323.17681967999988</v>
          </cell>
          <cell r="D72">
            <v>38.363819999999997</v>
          </cell>
          <cell r="E72">
            <v>34.876199999999997</v>
          </cell>
          <cell r="F72">
            <v>3.4876199999999997</v>
          </cell>
          <cell r="G72" t="str">
            <v xml:space="preserve">    3030REPU</v>
          </cell>
          <cell r="H72" t="str">
            <v>HE</v>
          </cell>
        </row>
        <row r="73">
          <cell r="A73">
            <v>1571235266</v>
          </cell>
          <cell r="B73" t="str">
            <v>tubo arterio venoso</v>
          </cell>
          <cell r="C73">
            <v>323.17681967999988</v>
          </cell>
          <cell r="D73">
            <v>38.363819999999997</v>
          </cell>
          <cell r="E73">
            <v>34.876199999999997</v>
          </cell>
          <cell r="F73">
            <v>3.4876199999999997</v>
          </cell>
          <cell r="G73" t="str">
            <v xml:space="preserve">    3030REPU</v>
          </cell>
          <cell r="H73" t="str">
            <v>HE</v>
          </cell>
        </row>
        <row r="74">
          <cell r="A74">
            <v>1571235271</v>
          </cell>
          <cell r="B74" t="str">
            <v>hi-low probe/450</v>
          </cell>
          <cell r="C74">
            <v>323.17681967999988</v>
          </cell>
          <cell r="D74">
            <v>38.363819999999997</v>
          </cell>
          <cell r="E74">
            <v>34.876199999999997</v>
          </cell>
          <cell r="F74">
            <v>3.4876199999999997</v>
          </cell>
          <cell r="G74" t="str">
            <v xml:space="preserve">    3030REPU</v>
          </cell>
          <cell r="H74" t="str">
            <v>HE</v>
          </cell>
        </row>
        <row r="75">
          <cell r="A75">
            <v>1571235369</v>
          </cell>
          <cell r="B75" t="str">
            <v>REGULADOR DE PTM</v>
          </cell>
          <cell r="C75">
            <v>954.16120799999999</v>
          </cell>
          <cell r="D75">
            <v>113.26700000000001</v>
          </cell>
          <cell r="E75">
            <v>102.97</v>
          </cell>
          <cell r="F75">
            <v>10.297000000000011</v>
          </cell>
          <cell r="G75" t="str">
            <v xml:space="preserve">    3030REPU</v>
          </cell>
          <cell r="H75" t="str">
            <v>HE</v>
          </cell>
        </row>
        <row r="76">
          <cell r="A76">
            <v>1571235382</v>
          </cell>
          <cell r="B76" t="str">
            <v>CONTROLLER PRINTED</v>
          </cell>
          <cell r="C76">
            <v>1292.7554640000001</v>
          </cell>
          <cell r="D76">
            <v>153.46100000000001</v>
          </cell>
          <cell r="E76">
            <v>139.51</v>
          </cell>
          <cell r="F76">
            <v>13.951000000000022</v>
          </cell>
          <cell r="G76" t="str">
            <v xml:space="preserve">    3030REPU</v>
          </cell>
          <cell r="H76" t="str">
            <v>HE</v>
          </cell>
        </row>
        <row r="77">
          <cell r="A77">
            <v>1571235466</v>
          </cell>
          <cell r="B77" t="str">
            <v>Trt temperature</v>
          </cell>
          <cell r="C77">
            <v>219.54696191999997</v>
          </cell>
          <cell r="D77">
            <v>26.062080000000002</v>
          </cell>
          <cell r="E77">
            <v>23.692799999999998</v>
          </cell>
          <cell r="F77">
            <v>2.3692800000000034</v>
          </cell>
          <cell r="G77" t="str">
            <v xml:space="preserve">    3030REPU</v>
          </cell>
          <cell r="H77" t="str">
            <v>HE</v>
          </cell>
        </row>
        <row r="78">
          <cell r="A78">
            <v>1571237110</v>
          </cell>
          <cell r="B78" t="str">
            <v>DEARATION GAUCE KIT</v>
          </cell>
          <cell r="C78">
            <v>1329.4504080000002</v>
          </cell>
          <cell r="D78">
            <v>157.81700000000001</v>
          </cell>
          <cell r="E78">
            <v>143.47</v>
          </cell>
          <cell r="F78">
            <v>14.347000000000008</v>
          </cell>
          <cell r="G78" t="str">
            <v xml:space="preserve">    3030REPU</v>
          </cell>
          <cell r="H78" t="str">
            <v>HE</v>
          </cell>
        </row>
        <row r="79">
          <cell r="A79">
            <v>1571237115</v>
          </cell>
          <cell r="B79" t="str">
            <v>SPS 450/550 YEARLY MAINTENANCE</v>
          </cell>
          <cell r="C79">
            <v>581.09594400000003</v>
          </cell>
          <cell r="D79">
            <v>68.981000000000009</v>
          </cell>
          <cell r="E79">
            <v>62.71</v>
          </cell>
          <cell r="F79">
            <v>6.2710000000000079</v>
          </cell>
          <cell r="G79" t="str">
            <v xml:space="preserve">    3030REPU</v>
          </cell>
          <cell r="H79" t="str">
            <v>HE</v>
          </cell>
        </row>
        <row r="80">
          <cell r="A80">
            <v>1571237116</v>
          </cell>
          <cell r="B80" t="str">
            <v>SPS 450/550 QUARTERLY MAINTENA</v>
          </cell>
          <cell r="C80">
            <v>176.80291199999999</v>
          </cell>
          <cell r="D80">
            <v>20.988</v>
          </cell>
          <cell r="E80">
            <v>19.079999999999998</v>
          </cell>
          <cell r="F80">
            <v>1.9080000000000013</v>
          </cell>
          <cell r="G80" t="str">
            <v xml:space="preserve">    3030REPU</v>
          </cell>
          <cell r="H80" t="str">
            <v>HE</v>
          </cell>
        </row>
        <row r="81">
          <cell r="A81">
            <v>1571237155</v>
          </cell>
          <cell r="B81" t="str">
            <v>PC20B PCB/KIT550</v>
          </cell>
          <cell r="C81">
            <v>1502.639424</v>
          </cell>
          <cell r="D81">
            <v>178.376</v>
          </cell>
          <cell r="E81">
            <v>162.16</v>
          </cell>
          <cell r="F81">
            <v>16.216000000000008</v>
          </cell>
          <cell r="G81" t="str">
            <v xml:space="preserve">    3030REPU</v>
          </cell>
          <cell r="H81" t="str">
            <v>HE</v>
          </cell>
        </row>
        <row r="82">
          <cell r="A82">
            <v>1571237202</v>
          </cell>
          <cell r="B82" t="str">
            <v>UFC DRIVER/SIG COND</v>
          </cell>
          <cell r="C82">
            <v>721.75989600000003</v>
          </cell>
          <cell r="D82">
            <v>85.679000000000002</v>
          </cell>
          <cell r="E82">
            <v>77.89</v>
          </cell>
          <cell r="F82">
            <v>7.7890000000000015</v>
          </cell>
          <cell r="G82" t="str">
            <v xml:space="preserve">    3030REPU</v>
          </cell>
          <cell r="H82" t="str">
            <v>HE</v>
          </cell>
        </row>
        <row r="83">
          <cell r="A83">
            <v>1571237203</v>
          </cell>
          <cell r="B83" t="str">
            <v>UFC MOTHER BOARD</v>
          </cell>
          <cell r="C83">
            <v>876.41611200000011</v>
          </cell>
          <cell r="D83">
            <v>104.03800000000001</v>
          </cell>
          <cell r="E83">
            <v>94.58</v>
          </cell>
          <cell r="F83">
            <v>9.4580000000000126</v>
          </cell>
          <cell r="G83" t="str">
            <v xml:space="preserve">    3030REPU</v>
          </cell>
          <cell r="H83" t="str">
            <v>HE</v>
          </cell>
        </row>
        <row r="84">
          <cell r="A84">
            <v>1571237214</v>
          </cell>
          <cell r="B84" t="str">
            <v>PC3C LOGIC PCB</v>
          </cell>
          <cell r="C84">
            <v>1543.689576</v>
          </cell>
          <cell r="D84">
            <v>183.24900000000002</v>
          </cell>
          <cell r="E84">
            <v>166.59</v>
          </cell>
          <cell r="F84">
            <v>16.65900000000002</v>
          </cell>
          <cell r="G84" t="str">
            <v xml:space="preserve">    3030REPU</v>
          </cell>
          <cell r="H84" t="str">
            <v>HE</v>
          </cell>
        </row>
        <row r="85">
          <cell r="A85">
            <v>1571237222</v>
          </cell>
          <cell r="B85" t="str">
            <v>MAIN MOTHER BOARD 6.1</v>
          </cell>
          <cell r="C85">
            <v>2741.2791119999997</v>
          </cell>
          <cell r="D85">
            <v>325.41300000000001</v>
          </cell>
          <cell r="E85">
            <v>295.83</v>
          </cell>
          <cell r="F85">
            <v>29.583000000000027</v>
          </cell>
          <cell r="G85" t="str">
            <v xml:space="preserve">    3030REPU</v>
          </cell>
          <cell r="H85" t="str">
            <v>HE</v>
          </cell>
        </row>
        <row r="86">
          <cell r="A86">
            <v>1571237227</v>
          </cell>
          <cell r="B86" t="str">
            <v>Bic tracker/vs pcb</v>
          </cell>
          <cell r="C86">
            <v>544.95698400000003</v>
          </cell>
          <cell r="D86">
            <v>64.691000000000003</v>
          </cell>
          <cell r="E86">
            <v>58.81</v>
          </cell>
          <cell r="F86">
            <v>5.8810000000000002</v>
          </cell>
          <cell r="G86" t="str">
            <v xml:space="preserve">    3030REPU</v>
          </cell>
          <cell r="H86" t="str">
            <v>HE</v>
          </cell>
        </row>
        <row r="87">
          <cell r="A87">
            <v>1571237365</v>
          </cell>
          <cell r="B87" t="str">
            <v>SYSTEM DISPLAY PCD</v>
          </cell>
          <cell r="C87">
            <v>774.85636800000009</v>
          </cell>
          <cell r="D87">
            <v>91.982000000000014</v>
          </cell>
          <cell r="E87">
            <v>83.62</v>
          </cell>
          <cell r="F87">
            <v>8.362000000000009</v>
          </cell>
          <cell r="G87" t="str">
            <v xml:space="preserve">    3030REPU</v>
          </cell>
          <cell r="H87" t="str">
            <v>HE</v>
          </cell>
        </row>
        <row r="88">
          <cell r="A88">
            <v>1571237379</v>
          </cell>
          <cell r="B88" t="str">
            <v>cable ground</v>
          </cell>
          <cell r="C88">
            <v>801.95966136000004</v>
          </cell>
          <cell r="D88">
            <v>95.199390000000008</v>
          </cell>
          <cell r="E88">
            <v>86.544899999999998</v>
          </cell>
          <cell r="F88">
            <v>8.6544900000000098</v>
          </cell>
          <cell r="G88" t="str">
            <v xml:space="preserve">    3030REPU</v>
          </cell>
          <cell r="H88" t="str">
            <v>HE</v>
          </cell>
        </row>
        <row r="89">
          <cell r="A89">
            <v>1571237420</v>
          </cell>
          <cell r="B89" t="str">
            <v>conector</v>
          </cell>
          <cell r="C89">
            <v>205.33323095999998</v>
          </cell>
          <cell r="D89">
            <v>24.374790000000001</v>
          </cell>
          <cell r="E89">
            <v>22.158899999999999</v>
          </cell>
          <cell r="F89">
            <v>2.2158900000000017</v>
          </cell>
          <cell r="G89" t="str">
            <v xml:space="preserve">    3030REPU</v>
          </cell>
          <cell r="H89" t="str">
            <v>HE</v>
          </cell>
        </row>
        <row r="90">
          <cell r="A90">
            <v>1571238107</v>
          </cell>
          <cell r="B90" t="str">
            <v>kit sps 650 spare ports</v>
          </cell>
          <cell r="C90">
            <v>1483.0326482399996</v>
          </cell>
          <cell r="D90">
            <v>176.04850999999999</v>
          </cell>
          <cell r="E90">
            <v>160.04409999999999</v>
          </cell>
          <cell r="F90">
            <v>16.004410000000007</v>
          </cell>
          <cell r="G90" t="str">
            <v xml:space="preserve">    3030REPU</v>
          </cell>
          <cell r="H90" t="str">
            <v>HE</v>
          </cell>
        </row>
        <row r="91">
          <cell r="A91">
            <v>1571238121</v>
          </cell>
          <cell r="B91" t="str">
            <v>1550 SYSTEMS 4.1 UPGRADE KIT</v>
          </cell>
          <cell r="C91">
            <v>2161.0681092</v>
          </cell>
          <cell r="D91">
            <v>256.53705000000002</v>
          </cell>
          <cell r="E91">
            <v>233.21549999999999</v>
          </cell>
          <cell r="F91">
            <v>23.32155000000003</v>
          </cell>
          <cell r="G91" t="str">
            <v xml:space="preserve">    3030REPU</v>
          </cell>
          <cell r="H91" t="str">
            <v>HE</v>
          </cell>
        </row>
        <row r="92">
          <cell r="A92">
            <v>1571238124</v>
          </cell>
          <cell r="B92" t="str">
            <v>KIT, SYSTEM 4.1 EPROM</v>
          </cell>
          <cell r="C92">
            <v>338.22360000000003</v>
          </cell>
          <cell r="D92">
            <v>40.15</v>
          </cell>
          <cell r="E92">
            <v>36.5</v>
          </cell>
          <cell r="F92">
            <v>3.6500000000000057</v>
          </cell>
          <cell r="G92" t="str">
            <v xml:space="preserve">    3030REPU</v>
          </cell>
          <cell r="H92" t="str">
            <v>HE</v>
          </cell>
        </row>
        <row r="93">
          <cell r="A93">
            <v>1571238130</v>
          </cell>
          <cell r="B93" t="str">
            <v>sps station monitor (5M5503A)</v>
          </cell>
          <cell r="C93">
            <v>0.78764400000000012</v>
          </cell>
          <cell r="D93">
            <v>9.3500000000000014E-2</v>
          </cell>
          <cell r="E93">
            <v>8.5000000000000006E-2</v>
          </cell>
          <cell r="F93">
            <v>8.5000000000000075E-3</v>
          </cell>
          <cell r="G93" t="str">
            <v xml:space="preserve">    3030REPU</v>
          </cell>
          <cell r="H93" t="str">
            <v>HE</v>
          </cell>
        </row>
        <row r="94">
          <cell r="A94">
            <v>1571238433</v>
          </cell>
          <cell r="B94" t="str">
            <v>monitor CPU PC 17</v>
          </cell>
          <cell r="C94">
            <v>227.85336288000005</v>
          </cell>
          <cell r="D94">
            <v>27.048120000000004</v>
          </cell>
          <cell r="E94">
            <v>24.589200000000002</v>
          </cell>
          <cell r="F94">
            <v>2.4589200000000027</v>
          </cell>
          <cell r="G94" t="str">
            <v xml:space="preserve">    3030REPU</v>
          </cell>
          <cell r="H94" t="str">
            <v>HE</v>
          </cell>
        </row>
        <row r="95">
          <cell r="A95">
            <v>1571241134</v>
          </cell>
          <cell r="B95" t="str">
            <v>BATERIA RECARGABLE 12V. 2.4AH</v>
          </cell>
          <cell r="C95">
            <v>286.23909600000002</v>
          </cell>
          <cell r="D95">
            <v>33.979000000000006</v>
          </cell>
          <cell r="E95">
            <v>30.89</v>
          </cell>
          <cell r="F95">
            <v>3.0890000000000057</v>
          </cell>
          <cell r="G95" t="str">
            <v xml:space="preserve">    3030REPU</v>
          </cell>
          <cell r="H95" t="str">
            <v>HE</v>
          </cell>
        </row>
        <row r="96">
          <cell r="A96">
            <v>1571251123</v>
          </cell>
          <cell r="B96" t="str">
            <v>KIT, V10.81 SOFTWARE W/O</v>
          </cell>
          <cell r="C96">
            <v>1170.7169760000004</v>
          </cell>
          <cell r="D96">
            <v>138.97400000000002</v>
          </cell>
          <cell r="E96">
            <v>126.34</v>
          </cell>
          <cell r="F96">
            <v>12.634000000000015</v>
          </cell>
          <cell r="G96" t="str">
            <v xml:space="preserve">    3030REPU</v>
          </cell>
          <cell r="H96" t="str">
            <v>HE</v>
          </cell>
        </row>
        <row r="97">
          <cell r="A97">
            <v>1571251931</v>
          </cell>
          <cell r="B97" t="str">
            <v>KIT, PRESSURE CUFF TEST</v>
          </cell>
          <cell r="C97">
            <v>109.99216799999999</v>
          </cell>
          <cell r="D97">
            <v>13.057</v>
          </cell>
          <cell r="E97">
            <v>11.87</v>
          </cell>
          <cell r="F97">
            <v>1.1870000000000012</v>
          </cell>
          <cell r="G97" t="str">
            <v xml:space="preserve">    3030REPU</v>
          </cell>
          <cell r="H97" t="str">
            <v>HE</v>
          </cell>
        </row>
        <row r="98">
          <cell r="A98">
            <v>1571260313</v>
          </cell>
          <cell r="B98" t="str">
            <v>POWER ENTRY MODULE HOMECHOICE</v>
          </cell>
          <cell r="C98">
            <v>248.43218399999998</v>
          </cell>
          <cell r="D98">
            <v>29.491</v>
          </cell>
          <cell r="E98">
            <v>26.81</v>
          </cell>
          <cell r="F98">
            <v>2.6810000000000009</v>
          </cell>
          <cell r="G98" t="str">
            <v xml:space="preserve">    3030REPU</v>
          </cell>
          <cell r="H98" t="str">
            <v>HE</v>
          </cell>
        </row>
        <row r="99">
          <cell r="A99">
            <v>1571276004</v>
          </cell>
          <cell r="B99" t="str">
            <v>Sys 1000 Cond. Cal Assy</v>
          </cell>
          <cell r="C99">
            <v>1834.2838800000002</v>
          </cell>
          <cell r="D99">
            <v>217.745</v>
          </cell>
          <cell r="E99">
            <v>197.95</v>
          </cell>
          <cell r="F99">
            <v>19.795000000000002</v>
          </cell>
          <cell r="G99" t="str">
            <v xml:space="preserve">    3030REPU</v>
          </cell>
          <cell r="H99" t="str">
            <v>HE</v>
          </cell>
        </row>
        <row r="100">
          <cell r="A100">
            <v>1571276224</v>
          </cell>
          <cell r="B100" t="str">
            <v>ASSY AIR DET ATTEN CONN SYS</v>
          </cell>
          <cell r="C100">
            <v>58.748975999999999</v>
          </cell>
          <cell r="D100">
            <v>6.9740000000000002</v>
          </cell>
          <cell r="E100">
            <v>6.34</v>
          </cell>
          <cell r="F100">
            <v>0.63400000000000034</v>
          </cell>
          <cell r="G100" t="str">
            <v xml:space="preserve">    3030REPU</v>
          </cell>
          <cell r="H100" t="str">
            <v>HE</v>
          </cell>
        </row>
        <row r="101">
          <cell r="A101">
            <v>1571276946</v>
          </cell>
          <cell r="B101" t="str">
            <v>INSTLN AIR OPT ATTENUADOR</v>
          </cell>
          <cell r="C101">
            <v>6.1158239999999999</v>
          </cell>
          <cell r="D101">
            <v>0.72600000000000009</v>
          </cell>
          <cell r="E101">
            <v>0.66</v>
          </cell>
          <cell r="F101">
            <v>6.6000000000000059E-2</v>
          </cell>
          <cell r="G101" t="str">
            <v xml:space="preserve">    3030REPU</v>
          </cell>
          <cell r="H101" t="str">
            <v>HE</v>
          </cell>
        </row>
        <row r="102">
          <cell r="A102">
            <v>1571302043</v>
          </cell>
          <cell r="B102" t="str">
            <v>FTC SOFTWARE V8.E</v>
          </cell>
          <cell r="C102">
            <v>133.15260816000003</v>
          </cell>
          <cell r="D102">
            <v>15.806340000000002</v>
          </cell>
          <cell r="E102">
            <v>14.369400000000001</v>
          </cell>
          <cell r="F102">
            <v>1.4369400000000017</v>
          </cell>
          <cell r="G102" t="str">
            <v xml:space="preserve">    3030REPU</v>
          </cell>
          <cell r="H102" t="str">
            <v>HE</v>
          </cell>
        </row>
        <row r="103">
          <cell r="A103">
            <v>4019993004</v>
          </cell>
          <cell r="B103" t="str">
            <v>DRIVE PINS BLD PMP</v>
          </cell>
          <cell r="C103">
            <v>2.5019280000000004</v>
          </cell>
          <cell r="D103">
            <v>0.29700000000000004</v>
          </cell>
          <cell r="E103">
            <v>0.27</v>
          </cell>
          <cell r="F103">
            <v>2.7000000000000024E-2</v>
          </cell>
          <cell r="G103" t="str">
            <v xml:space="preserve">    3030REPU</v>
          </cell>
          <cell r="H103" t="str">
            <v>HE</v>
          </cell>
        </row>
        <row r="104">
          <cell r="A104">
            <v>4020098004</v>
          </cell>
          <cell r="B104" t="str">
            <v>Nut with spacer 1/40D tube</v>
          </cell>
          <cell r="C104">
            <v>3.057912</v>
          </cell>
          <cell r="D104">
            <v>0.36300000000000004</v>
          </cell>
          <cell r="E104">
            <v>0.33</v>
          </cell>
          <cell r="F104">
            <v>3.3000000000000029E-2</v>
          </cell>
          <cell r="G104" t="str">
            <v xml:space="preserve">    3030REPU</v>
          </cell>
          <cell r="H104" t="str">
            <v>HE</v>
          </cell>
        </row>
        <row r="105">
          <cell r="A105">
            <v>4020098006</v>
          </cell>
          <cell r="B105" t="str">
            <v>Nut 1/40D tube</v>
          </cell>
          <cell r="C105">
            <v>2.1312720000000005</v>
          </cell>
          <cell r="D105">
            <v>0.25300000000000006</v>
          </cell>
          <cell r="E105">
            <v>0.23</v>
          </cell>
          <cell r="F105">
            <v>2.3000000000000048E-2</v>
          </cell>
          <cell r="G105" t="str">
            <v xml:space="preserve">    3030REPU</v>
          </cell>
          <cell r="H105" t="str">
            <v>HE</v>
          </cell>
        </row>
        <row r="106">
          <cell r="A106">
            <v>4028500044</v>
          </cell>
          <cell r="B106" t="str">
            <v>SNAP CONNECTOR 1/4 NPT 1550</v>
          </cell>
          <cell r="C106">
            <v>14.270256000000002</v>
          </cell>
          <cell r="D106">
            <v>1.6940000000000002</v>
          </cell>
          <cell r="E106">
            <v>1.54</v>
          </cell>
          <cell r="F106">
            <v>0.15400000000000014</v>
          </cell>
          <cell r="G106" t="str">
            <v xml:space="preserve">    3030REPU</v>
          </cell>
          <cell r="H106" t="str">
            <v>HE</v>
          </cell>
        </row>
        <row r="107">
          <cell r="A107">
            <v>4028506001</v>
          </cell>
          <cell r="B107" t="str">
            <v>fitting con rosca</v>
          </cell>
          <cell r="C107">
            <v>1.9913493600000001</v>
          </cell>
          <cell r="D107">
            <v>0.23639000000000002</v>
          </cell>
          <cell r="E107">
            <v>0.21490000000000001</v>
          </cell>
          <cell r="F107">
            <v>2.1490000000000009E-2</v>
          </cell>
          <cell r="G107" t="str">
            <v xml:space="preserve">    3030REPU</v>
          </cell>
          <cell r="H107" t="str">
            <v>HE</v>
          </cell>
        </row>
        <row r="108">
          <cell r="A108">
            <v>4028506010</v>
          </cell>
          <cell r="B108" t="str">
            <v>CONECTOR</v>
          </cell>
          <cell r="C108">
            <v>2.6872559999999996</v>
          </cell>
          <cell r="D108">
            <v>0.31900000000000001</v>
          </cell>
          <cell r="E108">
            <v>0.28999999999999998</v>
          </cell>
          <cell r="F108">
            <v>2.9000000000000026E-2</v>
          </cell>
          <cell r="G108" t="str">
            <v xml:space="preserve">    3030REPU</v>
          </cell>
          <cell r="H108" t="str">
            <v>HE</v>
          </cell>
        </row>
        <row r="109">
          <cell r="A109">
            <v>4028506012</v>
          </cell>
          <cell r="B109" t="str">
            <v>LITTING</v>
          </cell>
          <cell r="C109">
            <v>1.2046319999999999</v>
          </cell>
          <cell r="D109">
            <v>0.14300000000000002</v>
          </cell>
          <cell r="E109">
            <v>0.13</v>
          </cell>
          <cell r="F109">
            <v>1.3000000000000012E-2</v>
          </cell>
          <cell r="G109" t="str">
            <v xml:space="preserve">    3030REPU</v>
          </cell>
          <cell r="H109" t="str">
            <v>HE</v>
          </cell>
        </row>
        <row r="110">
          <cell r="A110">
            <v>4028506024</v>
          </cell>
          <cell r="B110" t="str">
            <v>Fitting minibard</v>
          </cell>
          <cell r="C110">
            <v>2.3166000000000002</v>
          </cell>
          <cell r="D110">
            <v>0.27500000000000002</v>
          </cell>
          <cell r="E110">
            <v>0.25</v>
          </cell>
          <cell r="F110">
            <v>2.5000000000000001E-2</v>
          </cell>
          <cell r="G110" t="str">
            <v xml:space="preserve">    3030REPU</v>
          </cell>
          <cell r="H110" t="str">
            <v>HE</v>
          </cell>
        </row>
        <row r="111">
          <cell r="A111">
            <v>4028506025</v>
          </cell>
          <cell r="B111" t="str">
            <v>CONECTOR</v>
          </cell>
          <cell r="C111">
            <v>2.038608</v>
          </cell>
          <cell r="D111">
            <v>0.24200000000000002</v>
          </cell>
          <cell r="E111">
            <v>0.22</v>
          </cell>
          <cell r="F111">
            <v>2.200000000000002E-2</v>
          </cell>
          <cell r="G111" t="str">
            <v xml:space="preserve">    3030REPU</v>
          </cell>
          <cell r="H111" t="str">
            <v>HE</v>
          </cell>
        </row>
        <row r="112">
          <cell r="A112">
            <v>4028506026</v>
          </cell>
          <cell r="B112" t="str">
            <v>FITTING</v>
          </cell>
          <cell r="C112">
            <v>2.1312720000000005</v>
          </cell>
          <cell r="D112">
            <v>0.25300000000000006</v>
          </cell>
          <cell r="E112">
            <v>0.23</v>
          </cell>
          <cell r="F112">
            <v>2.3000000000000048E-2</v>
          </cell>
          <cell r="G112" t="str">
            <v xml:space="preserve">    3030REPU</v>
          </cell>
          <cell r="H112" t="str">
            <v>HE</v>
          </cell>
        </row>
        <row r="113">
          <cell r="A113">
            <v>4028506029</v>
          </cell>
          <cell r="B113" t="str">
            <v>CONECTOR T</v>
          </cell>
          <cell r="C113">
            <v>4.16988</v>
          </cell>
          <cell r="D113">
            <v>0.495</v>
          </cell>
          <cell r="E113">
            <v>0.45</v>
          </cell>
          <cell r="F113">
            <v>4.4999999999999998E-2</v>
          </cell>
          <cell r="G113" t="str">
            <v xml:space="preserve">    3030REPU</v>
          </cell>
          <cell r="H113" t="str">
            <v>HE</v>
          </cell>
        </row>
        <row r="114">
          <cell r="A114">
            <v>4028506032</v>
          </cell>
          <cell r="B114" t="str">
            <v>fitting</v>
          </cell>
          <cell r="C114">
            <v>1.6123536000000001</v>
          </cell>
          <cell r="D114">
            <v>0.19140000000000001</v>
          </cell>
          <cell r="E114">
            <v>0.17399999999999999</v>
          </cell>
          <cell r="F114">
            <v>1.7400000000000027E-2</v>
          </cell>
          <cell r="G114" t="str">
            <v xml:space="preserve">    3030REPU</v>
          </cell>
          <cell r="H114" t="str">
            <v>HE</v>
          </cell>
        </row>
        <row r="115">
          <cell r="A115">
            <v>4028514001</v>
          </cell>
          <cell r="B115" t="str">
            <v>LEVR LOCK / SD</v>
          </cell>
          <cell r="C115">
            <v>37.806912000000004</v>
          </cell>
          <cell r="D115">
            <v>4.4880000000000004</v>
          </cell>
          <cell r="E115">
            <v>4.08</v>
          </cell>
          <cell r="F115">
            <v>0.40800000000000036</v>
          </cell>
          <cell r="G115" t="str">
            <v xml:space="preserve">    3030REPU</v>
          </cell>
          <cell r="H115" t="str">
            <v>HE</v>
          </cell>
        </row>
        <row r="116">
          <cell r="A116">
            <v>4029860010</v>
          </cell>
          <cell r="B116" t="str">
            <v>CONECTOR DE MANGUERA 3/4</v>
          </cell>
          <cell r="C116">
            <v>6.5791440000000003</v>
          </cell>
          <cell r="D116">
            <v>0.78100000000000003</v>
          </cell>
          <cell r="E116">
            <v>0.71</v>
          </cell>
          <cell r="F116">
            <v>7.1000000000000063E-2</v>
          </cell>
          <cell r="G116" t="str">
            <v xml:space="preserve">    3030REPU</v>
          </cell>
          <cell r="H116" t="str">
            <v>HE</v>
          </cell>
        </row>
        <row r="117">
          <cell r="A117">
            <v>4029862132</v>
          </cell>
          <cell r="B117" t="str">
            <v>LUER FEMALE LOCKING DM70</v>
          </cell>
          <cell r="C117">
            <v>1.5752880000000002</v>
          </cell>
          <cell r="D117">
            <v>0.18700000000000003</v>
          </cell>
          <cell r="E117">
            <v>0.17</v>
          </cell>
          <cell r="F117">
            <v>1.7000000000000015E-2</v>
          </cell>
          <cell r="G117" t="str">
            <v xml:space="preserve">    3030REPU</v>
          </cell>
          <cell r="H117" t="str">
            <v>HE</v>
          </cell>
        </row>
        <row r="118">
          <cell r="A118">
            <v>4029873022</v>
          </cell>
          <cell r="B118" t="str">
            <v>HANSEN PLASTIC MALE</v>
          </cell>
          <cell r="C118">
            <v>7.1351280000000008</v>
          </cell>
          <cell r="D118">
            <v>0.84700000000000009</v>
          </cell>
          <cell r="E118">
            <v>0.77</v>
          </cell>
          <cell r="F118">
            <v>7.7000000000000068E-2</v>
          </cell>
          <cell r="G118" t="str">
            <v xml:space="preserve">    3030REPU</v>
          </cell>
          <cell r="H118" t="str">
            <v>HE</v>
          </cell>
        </row>
        <row r="119">
          <cell r="A119">
            <v>4038501015</v>
          </cell>
          <cell r="B119" t="str">
            <v>VALVE RISE DM70</v>
          </cell>
          <cell r="C119">
            <v>353.42049600000001</v>
          </cell>
          <cell r="D119">
            <v>41.954000000000001</v>
          </cell>
          <cell r="E119">
            <v>38.14</v>
          </cell>
          <cell r="F119">
            <v>3.8140000000000001</v>
          </cell>
          <cell r="G119" t="str">
            <v xml:space="preserve">    3030REPU</v>
          </cell>
          <cell r="H119" t="str">
            <v>HE</v>
          </cell>
        </row>
        <row r="120">
          <cell r="A120">
            <v>4039993043</v>
          </cell>
          <cell r="B120" t="str">
            <v>REGULATOR INLET WATPRESSURE</v>
          </cell>
          <cell r="C120">
            <v>275.02675200000004</v>
          </cell>
          <cell r="D120">
            <v>32.648000000000003</v>
          </cell>
          <cell r="E120">
            <v>29.68</v>
          </cell>
          <cell r="F120">
            <v>2.9680000000000035</v>
          </cell>
          <cell r="G120" t="str">
            <v xml:space="preserve">    3030REPU</v>
          </cell>
          <cell r="H120" t="str">
            <v>HE</v>
          </cell>
        </row>
        <row r="121">
          <cell r="A121">
            <v>4078500025</v>
          </cell>
          <cell r="B121" t="str">
            <v>VALVE MANIFOLD ( 2 WAY)</v>
          </cell>
          <cell r="C121">
            <v>95.165928000000008</v>
          </cell>
          <cell r="D121">
            <v>11.297000000000001</v>
          </cell>
          <cell r="E121">
            <v>10.27</v>
          </cell>
          <cell r="F121">
            <v>1.027000000000001</v>
          </cell>
          <cell r="G121" t="str">
            <v xml:space="preserve">    3030REPU</v>
          </cell>
          <cell r="H121" t="str">
            <v>HE</v>
          </cell>
        </row>
        <row r="122">
          <cell r="A122">
            <v>4078500026</v>
          </cell>
          <cell r="B122" t="str">
            <v>VALVE MANIFOLD (3 WAY)</v>
          </cell>
          <cell r="C122">
            <v>95.165928000000008</v>
          </cell>
          <cell r="D122">
            <v>11.297000000000001</v>
          </cell>
          <cell r="E122">
            <v>10.27</v>
          </cell>
          <cell r="F122">
            <v>1.027000000000001</v>
          </cell>
          <cell r="G122" t="str">
            <v xml:space="preserve">    3030REPU</v>
          </cell>
          <cell r="H122" t="str">
            <v>HE</v>
          </cell>
        </row>
        <row r="123">
          <cell r="A123">
            <v>4078500027</v>
          </cell>
          <cell r="B123" t="str">
            <v>BRASS VALVE 3 WAY MANIFOLD</v>
          </cell>
          <cell r="C123">
            <v>95.165928000000008</v>
          </cell>
          <cell r="D123">
            <v>11.297000000000001</v>
          </cell>
          <cell r="E123">
            <v>10.27</v>
          </cell>
          <cell r="F123">
            <v>1.027000000000001</v>
          </cell>
          <cell r="G123" t="str">
            <v xml:space="preserve">    3030REPU</v>
          </cell>
          <cell r="H123" t="str">
            <v>HE</v>
          </cell>
        </row>
        <row r="124">
          <cell r="A124">
            <v>4078500028</v>
          </cell>
          <cell r="B124" t="str">
            <v>VALVE MANIFOLD (3 WAY)</v>
          </cell>
          <cell r="C124">
            <v>95.165928000000008</v>
          </cell>
          <cell r="D124">
            <v>11.297000000000001</v>
          </cell>
          <cell r="E124">
            <v>10.27</v>
          </cell>
          <cell r="F124">
            <v>1.027000000000001</v>
          </cell>
          <cell r="G124" t="str">
            <v xml:space="preserve">    3030REPU</v>
          </cell>
          <cell r="H124" t="str">
            <v>HE</v>
          </cell>
        </row>
        <row r="125">
          <cell r="A125">
            <v>4078500029</v>
          </cell>
          <cell r="B125" t="str">
            <v>VALVE MANIFOLD (3 WAY)</v>
          </cell>
          <cell r="C125">
            <v>95.165928000000008</v>
          </cell>
          <cell r="D125">
            <v>11.297000000000001</v>
          </cell>
          <cell r="E125">
            <v>10.27</v>
          </cell>
          <cell r="F125">
            <v>1.027000000000001</v>
          </cell>
          <cell r="G125" t="str">
            <v xml:space="preserve">    3030REPU</v>
          </cell>
          <cell r="H125" t="str">
            <v>HE</v>
          </cell>
        </row>
        <row r="126">
          <cell r="A126">
            <v>4078500041</v>
          </cell>
          <cell r="B126" t="str">
            <v>VALVE INLET WATER SOLENOIDE</v>
          </cell>
          <cell r="C126">
            <v>582.30057600000009</v>
          </cell>
          <cell r="D126">
            <v>69.124000000000009</v>
          </cell>
          <cell r="E126">
            <v>62.84</v>
          </cell>
          <cell r="F126">
            <v>6.284000000000006</v>
          </cell>
          <cell r="G126" t="str">
            <v xml:space="preserve">    3030REPU</v>
          </cell>
          <cell r="H126" t="str">
            <v>HE</v>
          </cell>
        </row>
        <row r="127">
          <cell r="A127">
            <v>4078502017</v>
          </cell>
          <cell r="B127" t="str">
            <v>INLINE CONCETRATE FILTER</v>
          </cell>
          <cell r="C127">
            <v>7.413120000000001</v>
          </cell>
          <cell r="D127">
            <v>0.88</v>
          </cell>
          <cell r="E127">
            <v>0.8</v>
          </cell>
          <cell r="F127">
            <v>8.0000000000000071E-2</v>
          </cell>
          <cell r="G127" t="str">
            <v xml:space="preserve">    3030REPU</v>
          </cell>
          <cell r="H127" t="str">
            <v>HE</v>
          </cell>
        </row>
        <row r="128">
          <cell r="A128">
            <v>4078502024</v>
          </cell>
          <cell r="B128" t="str">
            <v>DIP TUBE FILTER</v>
          </cell>
          <cell r="C128">
            <v>6.7644719999999996</v>
          </cell>
          <cell r="D128">
            <v>0.80300000000000005</v>
          </cell>
          <cell r="E128">
            <v>0.73</v>
          </cell>
          <cell r="F128">
            <v>7.3000000000000065E-2</v>
          </cell>
          <cell r="G128" t="str">
            <v xml:space="preserve">    3030REPU</v>
          </cell>
          <cell r="H128" t="str">
            <v>HE</v>
          </cell>
        </row>
        <row r="129">
          <cell r="A129">
            <v>4078502037</v>
          </cell>
          <cell r="B129" t="str">
            <v>DEAERATION FILTER (HYTREX II)</v>
          </cell>
          <cell r="C129">
            <v>44.386055999999996</v>
          </cell>
          <cell r="D129">
            <v>5.2690000000000001</v>
          </cell>
          <cell r="E129">
            <v>4.79</v>
          </cell>
          <cell r="F129">
            <v>0.47900000000000009</v>
          </cell>
          <cell r="G129" t="str">
            <v xml:space="preserve">    3030REPU</v>
          </cell>
          <cell r="H129" t="str">
            <v>HE</v>
          </cell>
        </row>
        <row r="130">
          <cell r="A130">
            <v>4078503014</v>
          </cell>
          <cell r="B130" t="str">
            <v>DUCKBILL CHECK VALVE</v>
          </cell>
          <cell r="C130">
            <v>3.6138960000000004</v>
          </cell>
          <cell r="D130">
            <v>0.42900000000000005</v>
          </cell>
          <cell r="E130">
            <v>0.39</v>
          </cell>
          <cell r="F130">
            <v>3.9000000000000035E-2</v>
          </cell>
          <cell r="G130" t="str">
            <v xml:space="preserve">    3030REPU</v>
          </cell>
          <cell r="H130" t="str">
            <v>HE</v>
          </cell>
        </row>
        <row r="131">
          <cell r="A131">
            <v>4078503016</v>
          </cell>
          <cell r="B131" t="str">
            <v>VALVE (CHECK) INLET WATER</v>
          </cell>
          <cell r="C131">
            <v>45.127368000000004</v>
          </cell>
          <cell r="D131">
            <v>5.3570000000000002</v>
          </cell>
          <cell r="E131">
            <v>4.87</v>
          </cell>
          <cell r="F131">
            <v>0.4870000000000001</v>
          </cell>
          <cell r="G131" t="str">
            <v xml:space="preserve">    3030REPU</v>
          </cell>
          <cell r="H131" t="str">
            <v>HE</v>
          </cell>
        </row>
        <row r="132">
          <cell r="A132">
            <v>4089990026</v>
          </cell>
          <cell r="B132" t="str">
            <v>UFC O-RING</v>
          </cell>
          <cell r="C132">
            <v>2.3166000000000002</v>
          </cell>
          <cell r="D132">
            <v>0.27500000000000002</v>
          </cell>
          <cell r="E132">
            <v>0.25</v>
          </cell>
          <cell r="F132">
            <v>2.5000000000000001E-2</v>
          </cell>
          <cell r="G132" t="str">
            <v xml:space="preserve">    3030REPU</v>
          </cell>
          <cell r="H132" t="str">
            <v>HE</v>
          </cell>
        </row>
        <row r="133">
          <cell r="A133">
            <v>4089990035</v>
          </cell>
          <cell r="B133" t="str">
            <v>MALE RINSE FITTING O_RINGS</v>
          </cell>
          <cell r="C133">
            <v>3.1505760000000005</v>
          </cell>
          <cell r="D133">
            <v>0.37400000000000005</v>
          </cell>
          <cell r="E133">
            <v>0.34</v>
          </cell>
          <cell r="F133">
            <v>3.400000000000003E-2</v>
          </cell>
          <cell r="G133" t="str">
            <v xml:space="preserve">    3030REPU</v>
          </cell>
          <cell r="H133" t="str">
            <v>HE</v>
          </cell>
        </row>
        <row r="134">
          <cell r="A134">
            <v>4089990037</v>
          </cell>
          <cell r="B134" t="str">
            <v>O RING (MIXING VESSEL)</v>
          </cell>
          <cell r="C134">
            <v>2.5019280000000004</v>
          </cell>
          <cell r="D134">
            <v>0.29700000000000004</v>
          </cell>
          <cell r="E134">
            <v>0.27</v>
          </cell>
          <cell r="F134">
            <v>2.7000000000000024E-2</v>
          </cell>
          <cell r="G134" t="str">
            <v xml:space="preserve">    3030REPU</v>
          </cell>
          <cell r="H134" t="str">
            <v>HE</v>
          </cell>
        </row>
        <row r="135">
          <cell r="A135">
            <v>4089990042</v>
          </cell>
          <cell r="B135" t="str">
            <v>PROPORTIONER BIB FLAT SEAL</v>
          </cell>
          <cell r="C135">
            <v>3.7065600000000005</v>
          </cell>
          <cell r="D135">
            <v>0.44</v>
          </cell>
          <cell r="E135">
            <v>0.4</v>
          </cell>
          <cell r="F135">
            <v>0.04</v>
          </cell>
          <cell r="G135" t="str">
            <v xml:space="preserve">    3030REPU</v>
          </cell>
          <cell r="H135" t="str">
            <v>HE</v>
          </cell>
        </row>
        <row r="136">
          <cell r="A136">
            <v>4089992020</v>
          </cell>
          <cell r="B136" t="str">
            <v>VOLUME SENSOR O-RING</v>
          </cell>
          <cell r="C136">
            <v>2.5019280000000004</v>
          </cell>
          <cell r="D136">
            <v>0.29700000000000004</v>
          </cell>
          <cell r="E136">
            <v>0.27</v>
          </cell>
          <cell r="F136">
            <v>2.7000000000000024E-2</v>
          </cell>
          <cell r="G136" t="str">
            <v xml:space="preserve">    3030REPU</v>
          </cell>
          <cell r="H136" t="str">
            <v>HE</v>
          </cell>
        </row>
        <row r="137">
          <cell r="A137">
            <v>4089996011</v>
          </cell>
          <cell r="B137" t="str">
            <v>ORING</v>
          </cell>
          <cell r="C137">
            <v>0.37065599999999999</v>
          </cell>
          <cell r="D137">
            <v>4.4000000000000004E-2</v>
          </cell>
          <cell r="E137">
            <v>0.04</v>
          </cell>
          <cell r="F137">
            <v>4.0000000000000036E-3</v>
          </cell>
          <cell r="G137" t="str">
            <v xml:space="preserve">    3030REPU</v>
          </cell>
          <cell r="H137" t="str">
            <v>HE</v>
          </cell>
        </row>
        <row r="138">
          <cell r="A138">
            <v>4560020021</v>
          </cell>
          <cell r="B138" t="str">
            <v>BOTONES</v>
          </cell>
          <cell r="C138">
            <v>55.783728000000004</v>
          </cell>
          <cell r="D138">
            <v>6.6219999999999999</v>
          </cell>
          <cell r="E138">
            <v>6.02</v>
          </cell>
          <cell r="F138">
            <v>0.60200000000000031</v>
          </cell>
          <cell r="G138" t="str">
            <v xml:space="preserve">    3030REPU</v>
          </cell>
          <cell r="H138" t="str">
            <v>HE</v>
          </cell>
        </row>
        <row r="139">
          <cell r="A139">
            <v>4560020051</v>
          </cell>
          <cell r="B139" t="str">
            <v>TMP KNOB</v>
          </cell>
          <cell r="C139">
            <v>32.339736000000002</v>
          </cell>
          <cell r="D139">
            <v>3.8390000000000004</v>
          </cell>
          <cell r="E139">
            <v>3.49</v>
          </cell>
          <cell r="F139">
            <v>0.3490000000000002</v>
          </cell>
          <cell r="G139" t="str">
            <v xml:space="preserve">    3030REPU</v>
          </cell>
          <cell r="H139" t="str">
            <v>HE</v>
          </cell>
        </row>
        <row r="140">
          <cell r="A140">
            <v>4560020052</v>
          </cell>
          <cell r="B140" t="str">
            <v>botones</v>
          </cell>
          <cell r="C140">
            <v>12.75334632</v>
          </cell>
          <cell r="D140">
            <v>1.5139300000000002</v>
          </cell>
          <cell r="E140">
            <v>1.3763000000000001</v>
          </cell>
          <cell r="F140">
            <v>0.13763000000000014</v>
          </cell>
          <cell r="G140" t="str">
            <v xml:space="preserve">    3030REPU</v>
          </cell>
          <cell r="H140" t="str">
            <v>HE</v>
          </cell>
        </row>
        <row r="141">
          <cell r="A141">
            <v>4560020059</v>
          </cell>
          <cell r="B141" t="str">
            <v>TEMP REGULATOR KNOB (GRAY)</v>
          </cell>
          <cell r="C141">
            <v>24.926615999999999</v>
          </cell>
          <cell r="D141">
            <v>2.9590000000000001</v>
          </cell>
          <cell r="E141">
            <v>2.69</v>
          </cell>
          <cell r="F141">
            <v>0.26900000000000013</v>
          </cell>
          <cell r="G141" t="str">
            <v xml:space="preserve">    3030REPU</v>
          </cell>
          <cell r="H141" t="str">
            <v>HE</v>
          </cell>
        </row>
        <row r="142">
          <cell r="A142">
            <v>4560030024</v>
          </cell>
          <cell r="B142" t="str">
            <v>BYPASS SWITCH</v>
          </cell>
          <cell r="C142">
            <v>27.706536</v>
          </cell>
          <cell r="D142">
            <v>3.2890000000000006</v>
          </cell>
          <cell r="E142">
            <v>2.99</v>
          </cell>
          <cell r="F142">
            <v>0.29900000000000038</v>
          </cell>
          <cell r="G142" t="str">
            <v xml:space="preserve">    3030REPU</v>
          </cell>
          <cell r="H142" t="str">
            <v>HE</v>
          </cell>
        </row>
        <row r="143">
          <cell r="A143">
            <v>4560082061</v>
          </cell>
          <cell r="B143" t="str">
            <v>fuse 10 amp</v>
          </cell>
          <cell r="C143">
            <v>3.3359040000000002</v>
          </cell>
          <cell r="D143">
            <v>0.39600000000000002</v>
          </cell>
          <cell r="E143">
            <v>0.36</v>
          </cell>
          <cell r="F143">
            <v>3.6000000000000032E-2</v>
          </cell>
          <cell r="G143" t="str">
            <v xml:space="preserve">    3030REPU</v>
          </cell>
          <cell r="H143" t="str">
            <v>HE</v>
          </cell>
        </row>
        <row r="144">
          <cell r="A144">
            <v>4560082081</v>
          </cell>
          <cell r="B144" t="str">
            <v>fuse 15 amp</v>
          </cell>
          <cell r="C144">
            <v>3.8918879999999998</v>
          </cell>
          <cell r="D144">
            <v>0.46200000000000002</v>
          </cell>
          <cell r="E144">
            <v>0.42</v>
          </cell>
          <cell r="F144">
            <v>4.2000000000000037E-2</v>
          </cell>
          <cell r="G144" t="str">
            <v xml:space="preserve">    3030REPU</v>
          </cell>
          <cell r="H144" t="str">
            <v>HE</v>
          </cell>
        </row>
        <row r="145">
          <cell r="A145">
            <v>4560102017</v>
          </cell>
          <cell r="B145" t="str">
            <v>BONBILLAS</v>
          </cell>
          <cell r="C145">
            <v>6.1158239999999999</v>
          </cell>
          <cell r="D145">
            <v>0.72600000000000009</v>
          </cell>
          <cell r="E145">
            <v>0.66</v>
          </cell>
          <cell r="F145">
            <v>6.6000000000000059E-2</v>
          </cell>
          <cell r="G145" t="str">
            <v xml:space="preserve">    3030REPU</v>
          </cell>
          <cell r="H145" t="str">
            <v>HE</v>
          </cell>
        </row>
        <row r="146">
          <cell r="A146">
            <v>4560123172</v>
          </cell>
          <cell r="B146" t="str">
            <v>FUSIBLES</v>
          </cell>
          <cell r="C146">
            <v>1.3899600000000001</v>
          </cell>
          <cell r="D146">
            <v>0.16500000000000001</v>
          </cell>
          <cell r="E146">
            <v>0.15</v>
          </cell>
          <cell r="F146">
            <v>1.4999999999999999E-2</v>
          </cell>
          <cell r="G146" t="str">
            <v xml:space="preserve">    3030REPU</v>
          </cell>
          <cell r="H146" t="str">
            <v>HE</v>
          </cell>
        </row>
        <row r="147">
          <cell r="A147">
            <v>4560234016</v>
          </cell>
          <cell r="B147" t="str">
            <v>AISLANTE</v>
          </cell>
          <cell r="C147">
            <v>14.640912</v>
          </cell>
          <cell r="D147">
            <v>1.7380000000000002</v>
          </cell>
          <cell r="E147">
            <v>1.58</v>
          </cell>
          <cell r="F147">
            <v>0.15800000000000014</v>
          </cell>
          <cell r="G147" t="str">
            <v xml:space="preserve">    3030REPU</v>
          </cell>
          <cell r="H147" t="str">
            <v>HE</v>
          </cell>
        </row>
        <row r="148">
          <cell r="A148">
            <v>4560237011</v>
          </cell>
          <cell r="B148" t="str">
            <v>audible alarma</v>
          </cell>
          <cell r="C148">
            <v>60.694919999999996</v>
          </cell>
          <cell r="D148">
            <v>7.2050000000000001</v>
          </cell>
          <cell r="E148">
            <v>6.55</v>
          </cell>
          <cell r="F148">
            <v>0.65500000000000003</v>
          </cell>
          <cell r="G148" t="str">
            <v xml:space="preserve">    3030REPU</v>
          </cell>
          <cell r="H148" t="str">
            <v>HE</v>
          </cell>
        </row>
        <row r="149">
          <cell r="A149">
            <v>4560387009</v>
          </cell>
          <cell r="B149" t="str">
            <v>RESISTENCIAS FUSIBLES</v>
          </cell>
          <cell r="C149">
            <v>5.3745119999999993</v>
          </cell>
          <cell r="D149">
            <v>0.63800000000000001</v>
          </cell>
          <cell r="E149">
            <v>0.57999999999999996</v>
          </cell>
          <cell r="F149">
            <v>5.8000000000000052E-2</v>
          </cell>
          <cell r="G149" t="str">
            <v xml:space="preserve">    3030REPU</v>
          </cell>
          <cell r="H149" t="str">
            <v>HE</v>
          </cell>
        </row>
        <row r="150">
          <cell r="A150">
            <v>4560387014</v>
          </cell>
          <cell r="B150" t="str">
            <v>FUSE 15 AMP. SLO</v>
          </cell>
          <cell r="C150">
            <v>2.5945920000000005</v>
          </cell>
          <cell r="D150">
            <v>0.30800000000000005</v>
          </cell>
          <cell r="E150">
            <v>0.28000000000000003</v>
          </cell>
          <cell r="F150">
            <v>2.8000000000000025E-2</v>
          </cell>
          <cell r="G150" t="str">
            <v xml:space="preserve">    3030REPU</v>
          </cell>
          <cell r="H150" t="str">
            <v>HE</v>
          </cell>
        </row>
        <row r="151">
          <cell r="A151">
            <v>4560387073</v>
          </cell>
          <cell r="B151" t="str">
            <v>Fuse, 2A 125V, Digital PCA</v>
          </cell>
          <cell r="C151">
            <v>9.6370559999999994</v>
          </cell>
          <cell r="D151">
            <v>1.1440000000000001</v>
          </cell>
          <cell r="E151">
            <v>1.04</v>
          </cell>
          <cell r="F151">
            <v>0.10400000000000009</v>
          </cell>
          <cell r="G151" t="str">
            <v xml:space="preserve">    3030REPU</v>
          </cell>
          <cell r="H151" t="str">
            <v>HE</v>
          </cell>
        </row>
        <row r="152">
          <cell r="A152">
            <v>4560387078</v>
          </cell>
          <cell r="B152" t="str">
            <v>FUSE,POWER ENTRY</v>
          </cell>
          <cell r="C152">
            <v>0.64864800000000011</v>
          </cell>
          <cell r="D152">
            <v>7.7000000000000013E-2</v>
          </cell>
          <cell r="E152">
            <v>7.0000000000000007E-2</v>
          </cell>
          <cell r="F152">
            <v>7.0000000000000062E-3</v>
          </cell>
          <cell r="G152" t="str">
            <v xml:space="preserve">    3030REPU</v>
          </cell>
          <cell r="H152" t="str">
            <v>HE</v>
          </cell>
        </row>
        <row r="153">
          <cell r="A153">
            <v>4560431035</v>
          </cell>
          <cell r="B153" t="str">
            <v>POTENCIOMETRO</v>
          </cell>
          <cell r="C153">
            <v>220.72564800000001</v>
          </cell>
          <cell r="D153">
            <v>26.202000000000002</v>
          </cell>
          <cell r="E153">
            <v>23.82</v>
          </cell>
          <cell r="F153">
            <v>2.3820000000000014</v>
          </cell>
          <cell r="G153" t="str">
            <v xml:space="preserve">    3030REPU</v>
          </cell>
          <cell r="H153" t="str">
            <v>HE</v>
          </cell>
        </row>
        <row r="154">
          <cell r="A154">
            <v>4560448068</v>
          </cell>
          <cell r="B154" t="str">
            <v>TRANSISTOR /BOMBA JARGRE</v>
          </cell>
          <cell r="C154">
            <v>13.806936</v>
          </cell>
          <cell r="D154">
            <v>1.639</v>
          </cell>
          <cell r="E154">
            <v>1.49</v>
          </cell>
          <cell r="F154">
            <v>0.14900000000000002</v>
          </cell>
          <cell r="G154" t="str">
            <v xml:space="preserve">    3030REPU</v>
          </cell>
          <cell r="H154" t="str">
            <v>HE</v>
          </cell>
        </row>
        <row r="155">
          <cell r="A155">
            <v>4560448116</v>
          </cell>
          <cell r="B155" t="str">
            <v>BAT RAM</v>
          </cell>
          <cell r="C155">
            <v>94.980599999999995</v>
          </cell>
          <cell r="D155">
            <v>11.275</v>
          </cell>
          <cell r="E155">
            <v>10.25</v>
          </cell>
          <cell r="F155">
            <v>1.0249999999999999</v>
          </cell>
          <cell r="G155" t="str">
            <v xml:space="preserve">    3030REPU</v>
          </cell>
          <cell r="H155" t="str">
            <v>HE</v>
          </cell>
        </row>
        <row r="156">
          <cell r="A156">
            <v>4564000002</v>
          </cell>
          <cell r="B156" t="str">
            <v>POTENTIOMETER DCS</v>
          </cell>
          <cell r="C156">
            <v>26.594568000000002</v>
          </cell>
          <cell r="D156">
            <v>3.1570000000000005</v>
          </cell>
          <cell r="E156">
            <v>2.87</v>
          </cell>
          <cell r="F156">
            <v>0.28700000000000037</v>
          </cell>
          <cell r="G156" t="str">
            <v xml:space="preserve">    3030REPU</v>
          </cell>
          <cell r="H156" t="str">
            <v>HE</v>
          </cell>
        </row>
        <row r="157">
          <cell r="A157">
            <v>4564015028</v>
          </cell>
          <cell r="B157" t="str">
            <v>SWITCH PUSHBUTTON</v>
          </cell>
          <cell r="C157">
            <v>16.494192000000002</v>
          </cell>
          <cell r="D157">
            <v>1.9580000000000002</v>
          </cell>
          <cell r="E157">
            <v>1.78</v>
          </cell>
          <cell r="F157">
            <v>0.17800000000000016</v>
          </cell>
          <cell r="G157" t="str">
            <v xml:space="preserve">    3030REPU</v>
          </cell>
          <cell r="H157" t="str">
            <v>HE</v>
          </cell>
        </row>
        <row r="158">
          <cell r="A158">
            <v>4564015063</v>
          </cell>
          <cell r="B158" t="str">
            <v>POTENCIOMETRO</v>
          </cell>
          <cell r="C158">
            <v>50.594543999999999</v>
          </cell>
          <cell r="D158">
            <v>6.0060000000000002</v>
          </cell>
          <cell r="E158">
            <v>5.46</v>
          </cell>
          <cell r="F158">
            <v>0.54600000000000026</v>
          </cell>
          <cell r="G158" t="str">
            <v xml:space="preserve">    3030REPU</v>
          </cell>
          <cell r="H158" t="str">
            <v>HE</v>
          </cell>
        </row>
        <row r="159">
          <cell r="A159">
            <v>4564015077</v>
          </cell>
          <cell r="B159" t="str">
            <v>HEPARIN PUMP SWITCH 1550</v>
          </cell>
          <cell r="C159">
            <v>38.177568000000001</v>
          </cell>
          <cell r="D159">
            <v>4.5320000000000009</v>
          </cell>
          <cell r="E159">
            <v>4.12</v>
          </cell>
          <cell r="F159">
            <v>0.41200000000000081</v>
          </cell>
          <cell r="G159" t="str">
            <v xml:space="preserve">    3030REPU</v>
          </cell>
          <cell r="H159" t="str">
            <v>HE</v>
          </cell>
        </row>
        <row r="160">
          <cell r="A160">
            <v>4564015080</v>
          </cell>
          <cell r="B160" t="str">
            <v>FOAM DETECTOR ERMED BYPASS SW</v>
          </cell>
          <cell r="C160">
            <v>51.335856000000007</v>
          </cell>
          <cell r="D160">
            <v>6.0940000000000003</v>
          </cell>
          <cell r="E160">
            <v>5.54</v>
          </cell>
          <cell r="F160">
            <v>0.55400000000000027</v>
          </cell>
          <cell r="G160" t="str">
            <v xml:space="preserve">    3030REPU</v>
          </cell>
          <cell r="H160" t="str">
            <v>HE</v>
          </cell>
        </row>
        <row r="161">
          <cell r="A161">
            <v>4564015098</v>
          </cell>
          <cell r="B161" t="str">
            <v>SWITCH MODE</v>
          </cell>
          <cell r="C161">
            <v>52.447824000000004</v>
          </cell>
          <cell r="D161">
            <v>6.2260000000000009</v>
          </cell>
          <cell r="E161">
            <v>5.66</v>
          </cell>
          <cell r="F161">
            <v>0.56600000000000072</v>
          </cell>
          <cell r="G161" t="str">
            <v xml:space="preserve">    3030REPU</v>
          </cell>
          <cell r="H161" t="str">
            <v>HE</v>
          </cell>
        </row>
        <row r="162">
          <cell r="A162">
            <v>4564017040</v>
          </cell>
          <cell r="B162" t="str">
            <v>LED AMARILLOS</v>
          </cell>
          <cell r="C162">
            <v>4.262544000000001</v>
          </cell>
          <cell r="D162">
            <v>0.50600000000000012</v>
          </cell>
          <cell r="E162">
            <v>0.46</v>
          </cell>
          <cell r="F162">
            <v>4.6000000000000096E-2</v>
          </cell>
          <cell r="G162" t="str">
            <v xml:space="preserve">    3030REPU</v>
          </cell>
          <cell r="H162" t="str">
            <v>HE</v>
          </cell>
        </row>
        <row r="163">
          <cell r="A163">
            <v>4564024029</v>
          </cell>
          <cell r="B163" t="str">
            <v>CONVERTER/BUFFER SPX-320</v>
          </cell>
          <cell r="C163">
            <v>399.10384799999997</v>
          </cell>
          <cell r="D163">
            <v>47.377000000000002</v>
          </cell>
          <cell r="E163">
            <v>43.07</v>
          </cell>
          <cell r="F163">
            <v>4.3070000000000022</v>
          </cell>
          <cell r="G163" t="str">
            <v xml:space="preserve">    3030REPU</v>
          </cell>
          <cell r="H163" t="str">
            <v>HE</v>
          </cell>
        </row>
        <row r="164">
          <cell r="A164">
            <v>4564047022</v>
          </cell>
          <cell r="B164" t="str">
            <v>LITHIUM BATTERY</v>
          </cell>
          <cell r="C164">
            <v>28.262519999999999</v>
          </cell>
          <cell r="D164">
            <v>3.355</v>
          </cell>
          <cell r="E164">
            <v>3.05</v>
          </cell>
          <cell r="F164">
            <v>0.30499999999999999</v>
          </cell>
          <cell r="G164" t="str">
            <v xml:space="preserve">    3030REPU</v>
          </cell>
          <cell r="H164" t="str">
            <v>HE</v>
          </cell>
        </row>
        <row r="165">
          <cell r="A165">
            <v>4990030002</v>
          </cell>
          <cell r="B165" t="str">
            <v>SPRING EXTENSION</v>
          </cell>
          <cell r="C165">
            <v>4.3552080000000002</v>
          </cell>
          <cell r="D165">
            <v>0.51700000000000002</v>
          </cell>
          <cell r="E165">
            <v>0.47</v>
          </cell>
          <cell r="F165">
            <v>4.7000000000000042E-2</v>
          </cell>
          <cell r="G165" t="str">
            <v xml:space="preserve">    3030REPU</v>
          </cell>
          <cell r="H165" t="str">
            <v>HE</v>
          </cell>
        </row>
        <row r="166">
          <cell r="A166">
            <v>4994000171</v>
          </cell>
          <cell r="B166" t="str">
            <v>Clamp para Home Choice</v>
          </cell>
          <cell r="C166">
            <v>262.88776800000005</v>
          </cell>
          <cell r="D166">
            <v>31.207000000000004</v>
          </cell>
          <cell r="E166">
            <v>28.37</v>
          </cell>
          <cell r="F166">
            <v>2.8370000000000033</v>
          </cell>
          <cell r="G166" t="str">
            <v xml:space="preserve">    3030REPU</v>
          </cell>
          <cell r="H166" t="str">
            <v>HE</v>
          </cell>
        </row>
        <row r="167">
          <cell r="A167">
            <v>4994000172</v>
          </cell>
          <cell r="B167" t="str">
            <v>FRAME ROD, 500 MM</v>
          </cell>
          <cell r="C167">
            <v>175.22762399999999</v>
          </cell>
          <cell r="D167">
            <v>20.801000000000002</v>
          </cell>
          <cell r="E167">
            <v>18.91</v>
          </cell>
          <cell r="F167">
            <v>1.8910000000000018</v>
          </cell>
          <cell r="G167" t="str">
            <v xml:space="preserve">    3030REPU</v>
          </cell>
          <cell r="H167" t="str">
            <v>HE</v>
          </cell>
        </row>
        <row r="168">
          <cell r="A168">
            <v>4994000173</v>
          </cell>
          <cell r="B168" t="str">
            <v>Base tamaÝo pequeÝo V</v>
          </cell>
          <cell r="C168">
            <v>321.26608800000002</v>
          </cell>
          <cell r="D168">
            <v>38.137000000000008</v>
          </cell>
          <cell r="E168">
            <v>34.67</v>
          </cell>
          <cell r="F168">
            <v>3.4670000000000059</v>
          </cell>
          <cell r="G168" t="str">
            <v xml:space="preserve">    3030REPU</v>
          </cell>
          <cell r="H168" t="str">
            <v>HE</v>
          </cell>
        </row>
        <row r="169">
          <cell r="A169">
            <v>4994000174</v>
          </cell>
          <cell r="B169" t="str">
            <v>AC Hypot 3500D H. Choice</v>
          </cell>
          <cell r="C169">
            <v>11633.687207999999</v>
          </cell>
          <cell r="D169">
            <v>1381.0170000000001</v>
          </cell>
          <cell r="E169">
            <v>1255.47</v>
          </cell>
          <cell r="F169">
            <v>125.54700000000003</v>
          </cell>
          <cell r="G169" t="str">
            <v xml:space="preserve">    3030REPU</v>
          </cell>
          <cell r="H169" t="str">
            <v>HE</v>
          </cell>
        </row>
        <row r="170">
          <cell r="A170">
            <v>4994000175</v>
          </cell>
          <cell r="B170" t="str">
            <v>Analizador de Seguridad</v>
          </cell>
          <cell r="C170">
            <v>10913.224608</v>
          </cell>
          <cell r="D170">
            <v>1295.4920000000002</v>
          </cell>
          <cell r="E170">
            <v>1177.72</v>
          </cell>
          <cell r="F170">
            <v>117.77200000000016</v>
          </cell>
          <cell r="G170" t="str">
            <v xml:space="preserve">    3030REPU</v>
          </cell>
          <cell r="H170" t="str">
            <v>HE</v>
          </cell>
        </row>
        <row r="171">
          <cell r="A171">
            <v>4994000176</v>
          </cell>
          <cell r="B171" t="str">
            <v>PENETRATION PROBE 203</v>
          </cell>
          <cell r="C171">
            <v>632.80245600000012</v>
          </cell>
          <cell r="D171">
            <v>75.119000000000014</v>
          </cell>
          <cell r="E171">
            <v>68.290000000000006</v>
          </cell>
          <cell r="F171">
            <v>6.8290000000000077</v>
          </cell>
          <cell r="G171" t="str">
            <v xml:space="preserve">    3030REPU</v>
          </cell>
          <cell r="H171" t="str">
            <v>HE</v>
          </cell>
        </row>
        <row r="172">
          <cell r="A172">
            <v>4994000178</v>
          </cell>
          <cell r="B172" t="str">
            <v>Balanza (Master Pro)</v>
          </cell>
          <cell r="C172">
            <v>19531.439928000003</v>
          </cell>
          <cell r="D172">
            <v>2318.547</v>
          </cell>
          <cell r="E172">
            <v>2107.77</v>
          </cell>
          <cell r="F172">
            <v>210.77700000000004</v>
          </cell>
          <cell r="G172" t="str">
            <v xml:space="preserve">    3030REPU</v>
          </cell>
          <cell r="H172" t="str">
            <v>HE</v>
          </cell>
        </row>
        <row r="173">
          <cell r="A173">
            <v>4994000179</v>
          </cell>
          <cell r="B173" t="str">
            <v>Controlador de temperatura</v>
          </cell>
          <cell r="C173">
            <v>4322.4976080000015</v>
          </cell>
          <cell r="D173">
            <v>513.11700000000008</v>
          </cell>
          <cell r="E173">
            <v>466.47</v>
          </cell>
          <cell r="F173">
            <v>46.647000000000048</v>
          </cell>
          <cell r="G173" t="str">
            <v xml:space="preserve">    3030REPU</v>
          </cell>
          <cell r="H173" t="str">
            <v>HE</v>
          </cell>
        </row>
        <row r="174">
          <cell r="A174">
            <v>4994000181</v>
          </cell>
          <cell r="B174" t="str">
            <v>Monitor de presi¢n digital</v>
          </cell>
          <cell r="C174">
            <v>22877.907623999999</v>
          </cell>
          <cell r="D174">
            <v>2715.8009999999999</v>
          </cell>
          <cell r="E174">
            <v>2468.91</v>
          </cell>
          <cell r="F174">
            <v>246.89100000000008</v>
          </cell>
          <cell r="G174" t="str">
            <v xml:space="preserve">    3030REPU</v>
          </cell>
          <cell r="H174" t="str">
            <v>HE</v>
          </cell>
        </row>
        <row r="175">
          <cell r="A175">
            <v>4994000182</v>
          </cell>
          <cell r="B175" t="str">
            <v>Transformador 240 VAC</v>
          </cell>
          <cell r="C175">
            <v>3928.1196239999999</v>
          </cell>
          <cell r="D175">
            <v>466.30100000000004</v>
          </cell>
          <cell r="E175">
            <v>423.91</v>
          </cell>
          <cell r="F175">
            <v>42.39100000000002</v>
          </cell>
          <cell r="G175" t="str">
            <v xml:space="preserve">    3030REPU</v>
          </cell>
          <cell r="H175" t="str">
            <v>HE</v>
          </cell>
        </row>
        <row r="176">
          <cell r="A176">
            <v>4994000183</v>
          </cell>
          <cell r="B176" t="str">
            <v>Caja de Switch</v>
          </cell>
          <cell r="C176">
            <v>116.10799200000001</v>
          </cell>
          <cell r="D176">
            <v>13.783000000000001</v>
          </cell>
          <cell r="E176">
            <v>12.53</v>
          </cell>
          <cell r="F176">
            <v>1.2530000000000019</v>
          </cell>
          <cell r="G176" t="str">
            <v xml:space="preserve">    3030REPU</v>
          </cell>
          <cell r="H176" t="str">
            <v>HE</v>
          </cell>
        </row>
        <row r="177">
          <cell r="A177">
            <v>4994000184</v>
          </cell>
          <cell r="B177" t="str">
            <v>Cable de 25 pin M/F H. Choice</v>
          </cell>
          <cell r="C177">
            <v>33.822360000000003</v>
          </cell>
          <cell r="D177">
            <v>4.0149999999999997</v>
          </cell>
          <cell r="E177">
            <v>3.65</v>
          </cell>
          <cell r="F177">
            <v>0.36500000000000066</v>
          </cell>
          <cell r="G177" t="str">
            <v xml:space="preserve">    3030REPU</v>
          </cell>
          <cell r="H177" t="str">
            <v>HE</v>
          </cell>
        </row>
        <row r="178">
          <cell r="A178">
            <v>4994000271</v>
          </cell>
          <cell r="B178" t="str">
            <v>WEIGHT SET 10G-1KG AMICUS</v>
          </cell>
          <cell r="C178">
            <v>584.7098400000001</v>
          </cell>
          <cell r="D178">
            <v>69.41</v>
          </cell>
          <cell r="E178">
            <v>63.1</v>
          </cell>
          <cell r="F178">
            <v>6.3100000000000094</v>
          </cell>
          <cell r="G178" t="str">
            <v xml:space="preserve">    3030REPU</v>
          </cell>
          <cell r="H178" t="str">
            <v>HE</v>
          </cell>
        </row>
        <row r="179">
          <cell r="A179">
            <v>4994000279</v>
          </cell>
          <cell r="B179" t="str">
            <v>Thermocouple probe</v>
          </cell>
          <cell r="C179">
            <v>329.04986400000001</v>
          </cell>
          <cell r="D179">
            <v>39.061</v>
          </cell>
          <cell r="E179">
            <v>35.51</v>
          </cell>
          <cell r="F179">
            <v>3.5510000000000019</v>
          </cell>
          <cell r="G179" t="str">
            <v xml:space="preserve">    3030REPU</v>
          </cell>
          <cell r="H179" t="str">
            <v>HE</v>
          </cell>
        </row>
        <row r="180">
          <cell r="A180">
            <v>5009480001</v>
          </cell>
          <cell r="B180" t="str">
            <v>BATTERY FLO-GARD 6201</v>
          </cell>
          <cell r="C180">
            <v>69.961319999999986</v>
          </cell>
          <cell r="D180">
            <v>8.3049999999999997</v>
          </cell>
          <cell r="E180">
            <v>7.55</v>
          </cell>
          <cell r="F180">
            <v>0.755</v>
          </cell>
          <cell r="G180" t="str">
            <v xml:space="preserve">    3030REPU</v>
          </cell>
          <cell r="H180" t="str">
            <v>HE</v>
          </cell>
        </row>
        <row r="181">
          <cell r="A181">
            <v>5160060852</v>
          </cell>
          <cell r="B181" t="str">
            <v>TUBING</v>
          </cell>
          <cell r="C181">
            <v>0.55598399999999992</v>
          </cell>
          <cell r="D181">
            <v>6.6000000000000003E-2</v>
          </cell>
          <cell r="E181">
            <v>0.06</v>
          </cell>
          <cell r="F181">
            <v>6.0000000000000053E-3</v>
          </cell>
          <cell r="G181" t="str">
            <v xml:space="preserve">    3030REPU</v>
          </cell>
          <cell r="H181" t="str">
            <v>HE</v>
          </cell>
        </row>
        <row r="182">
          <cell r="A182">
            <v>5168231545</v>
          </cell>
          <cell r="B182" t="str">
            <v>Tubing</v>
          </cell>
          <cell r="C182">
            <v>2.4092639999999999</v>
          </cell>
          <cell r="D182">
            <v>0.28600000000000003</v>
          </cell>
          <cell r="E182">
            <v>0.26</v>
          </cell>
          <cell r="F182">
            <v>2.6000000000000023E-2</v>
          </cell>
          <cell r="G182" t="str">
            <v xml:space="preserve">    3030REPU</v>
          </cell>
          <cell r="H182" t="str">
            <v>HE</v>
          </cell>
        </row>
        <row r="183">
          <cell r="A183">
            <v>6001214234</v>
          </cell>
          <cell r="B183" t="str">
            <v>THERMISTOR TEMP</v>
          </cell>
          <cell r="C183">
            <v>221.46696</v>
          </cell>
          <cell r="D183">
            <v>26.29</v>
          </cell>
          <cell r="E183">
            <v>23.9</v>
          </cell>
          <cell r="F183">
            <v>2.39</v>
          </cell>
          <cell r="G183" t="str">
            <v xml:space="preserve">    3030REPU</v>
          </cell>
          <cell r="H183" t="str">
            <v>HE</v>
          </cell>
        </row>
        <row r="184">
          <cell r="A184">
            <v>6001214298</v>
          </cell>
          <cell r="B184" t="str">
            <v>ROCKER ARM. INTERLOCK ASSY SWI</v>
          </cell>
          <cell r="C184">
            <v>84.694896000000014</v>
          </cell>
          <cell r="D184">
            <v>10.054000000000002</v>
          </cell>
          <cell r="E184">
            <v>9.14</v>
          </cell>
          <cell r="F184">
            <v>0.91400000000000148</v>
          </cell>
          <cell r="G184" t="str">
            <v xml:space="preserve">    3030REPU</v>
          </cell>
          <cell r="H184" t="str">
            <v>HE</v>
          </cell>
        </row>
        <row r="185">
          <cell r="A185">
            <v>6001214429</v>
          </cell>
          <cell r="B185" t="str">
            <v>HOUSING ASSY / EX BLOOD PUMP</v>
          </cell>
          <cell r="C185">
            <v>655.69046400000002</v>
          </cell>
          <cell r="D185">
            <v>77.836000000000013</v>
          </cell>
          <cell r="E185">
            <v>70.760000000000005</v>
          </cell>
          <cell r="F185">
            <v>7.0760000000000076</v>
          </cell>
          <cell r="G185" t="str">
            <v xml:space="preserve">    3030REPU</v>
          </cell>
          <cell r="H185" t="str">
            <v>HE</v>
          </cell>
        </row>
        <row r="186">
          <cell r="A186">
            <v>6001214483</v>
          </cell>
          <cell r="B186" t="str">
            <v>FITTING MALE DW RINSE/SPS</v>
          </cell>
          <cell r="C186">
            <v>7.0424639999999998</v>
          </cell>
          <cell r="D186">
            <v>0.83600000000000008</v>
          </cell>
          <cell r="E186">
            <v>0.76</v>
          </cell>
          <cell r="F186">
            <v>7.6000000000000068E-2</v>
          </cell>
          <cell r="G186" t="str">
            <v xml:space="preserve">    3030REPU</v>
          </cell>
          <cell r="H186" t="str">
            <v>HE</v>
          </cell>
        </row>
        <row r="187">
          <cell r="A187">
            <v>6001215138</v>
          </cell>
          <cell r="B187" t="str">
            <v>SWITCH RED INTERLOCK EX PUMP</v>
          </cell>
          <cell r="C187">
            <v>83.953584000000021</v>
          </cell>
          <cell r="D187">
            <v>9.9660000000000011</v>
          </cell>
          <cell r="E187">
            <v>9.06</v>
          </cell>
          <cell r="F187">
            <v>0.90600000000000058</v>
          </cell>
          <cell r="G187" t="str">
            <v xml:space="preserve">    3030REPU</v>
          </cell>
          <cell r="H187" t="str">
            <v>HE</v>
          </cell>
        </row>
        <row r="188">
          <cell r="A188">
            <v>6001235253</v>
          </cell>
          <cell r="B188" t="str">
            <v>LIGHT SOURCE ASSY</v>
          </cell>
          <cell r="C188">
            <v>439.13469600000002</v>
          </cell>
          <cell r="D188">
            <v>52.129000000000005</v>
          </cell>
          <cell r="E188">
            <v>47.39</v>
          </cell>
          <cell r="F188">
            <v>4.7390000000000043</v>
          </cell>
          <cell r="G188" t="str">
            <v xml:space="preserve">    3030REPU</v>
          </cell>
          <cell r="H188" t="str">
            <v>HE</v>
          </cell>
        </row>
        <row r="189">
          <cell r="A189">
            <v>6001235254</v>
          </cell>
          <cell r="B189" t="str">
            <v>LIGHT DET ASSY</v>
          </cell>
          <cell r="C189">
            <v>455.72155199999997</v>
          </cell>
          <cell r="D189">
            <v>54.098000000000006</v>
          </cell>
          <cell r="E189">
            <v>49.18</v>
          </cell>
          <cell r="F189">
            <v>4.9180000000000064</v>
          </cell>
          <cell r="G189" t="str">
            <v xml:space="preserve">    3030REPU</v>
          </cell>
          <cell r="H189" t="str">
            <v>HE</v>
          </cell>
        </row>
        <row r="190">
          <cell r="A190">
            <v>6001235271</v>
          </cell>
          <cell r="B190" t="str">
            <v>HI-LOW PROBE</v>
          </cell>
          <cell r="C190">
            <v>510.20798400000007</v>
          </cell>
          <cell r="D190">
            <v>60.56600000000001</v>
          </cell>
          <cell r="E190">
            <v>55.06</v>
          </cell>
          <cell r="F190">
            <v>5.5060000000000073</v>
          </cell>
          <cell r="G190" t="str">
            <v xml:space="preserve">    3030REPU</v>
          </cell>
          <cell r="H190" t="str">
            <v>HE</v>
          </cell>
        </row>
        <row r="191">
          <cell r="A191">
            <v>6001235310</v>
          </cell>
          <cell r="B191" t="str">
            <v>SAMPLE PORT S/D</v>
          </cell>
          <cell r="C191">
            <v>107.582904</v>
          </cell>
          <cell r="D191">
            <v>12.771000000000001</v>
          </cell>
          <cell r="E191">
            <v>11.61</v>
          </cell>
          <cell r="F191">
            <v>1.1610000000000014</v>
          </cell>
          <cell r="G191" t="str">
            <v xml:space="preserve">    3030REPU</v>
          </cell>
          <cell r="H191" t="str">
            <v>HE</v>
          </cell>
        </row>
        <row r="192">
          <cell r="A192">
            <v>6001235361</v>
          </cell>
          <cell r="B192" t="str">
            <v>MALE RINSE FITTING ORANGE</v>
          </cell>
          <cell r="C192">
            <v>8.8030799999999996</v>
          </cell>
          <cell r="D192">
            <v>1.0449999999999999</v>
          </cell>
          <cell r="E192">
            <v>0.95</v>
          </cell>
          <cell r="F192">
            <v>9.5000000000000001E-2</v>
          </cell>
          <cell r="G192" t="str">
            <v xml:space="preserve">    3030REPU</v>
          </cell>
          <cell r="H192" t="str">
            <v>HE</v>
          </cell>
        </row>
        <row r="193">
          <cell r="A193">
            <v>6001235362</v>
          </cell>
          <cell r="B193" t="str">
            <v>INJECTOR BLOCK</v>
          </cell>
          <cell r="C193">
            <v>226.84147200000004</v>
          </cell>
          <cell r="D193">
            <v>26.928000000000004</v>
          </cell>
          <cell r="E193">
            <v>24.48</v>
          </cell>
          <cell r="F193">
            <v>2.448000000000004</v>
          </cell>
          <cell r="G193" t="str">
            <v xml:space="preserve">    3030REPU</v>
          </cell>
          <cell r="H193" t="str">
            <v>HE</v>
          </cell>
        </row>
        <row r="194">
          <cell r="A194">
            <v>6001235385</v>
          </cell>
          <cell r="B194" t="str">
            <v>TAPADERA PARA BOMBA DE SAMGRE</v>
          </cell>
          <cell r="C194">
            <v>177.54422399999999</v>
          </cell>
          <cell r="D194">
            <v>21.076000000000001</v>
          </cell>
          <cell r="E194">
            <v>19.16</v>
          </cell>
          <cell r="F194">
            <v>1.9160000000000004</v>
          </cell>
          <cell r="G194" t="str">
            <v xml:space="preserve">    3030REPU</v>
          </cell>
          <cell r="H194" t="str">
            <v>HE</v>
          </cell>
        </row>
        <row r="195">
          <cell r="A195">
            <v>6001235404</v>
          </cell>
          <cell r="B195" t="str">
            <v>BLOOD PUMP ROTOR ASSY</v>
          </cell>
          <cell r="C195">
            <v>1401.1723440000003</v>
          </cell>
          <cell r="D195">
            <v>166.33100000000002</v>
          </cell>
          <cell r="E195">
            <v>151.21</v>
          </cell>
          <cell r="F195">
            <v>15.121000000000009</v>
          </cell>
          <cell r="G195" t="str">
            <v xml:space="preserve">    3030REPU</v>
          </cell>
          <cell r="H195" t="str">
            <v>HE</v>
          </cell>
        </row>
        <row r="196">
          <cell r="A196">
            <v>6001235446</v>
          </cell>
          <cell r="B196" t="str">
            <v>PUMP 1600CC ASSY SERVICE</v>
          </cell>
          <cell r="C196">
            <v>1595.2107600000002</v>
          </cell>
          <cell r="D196">
            <v>189.36500000000001</v>
          </cell>
          <cell r="E196">
            <v>172.15</v>
          </cell>
          <cell r="F196">
            <v>17.215</v>
          </cell>
          <cell r="G196" t="str">
            <v xml:space="preserve">    3030REPU</v>
          </cell>
          <cell r="H196" t="str">
            <v>HE</v>
          </cell>
        </row>
        <row r="197">
          <cell r="A197">
            <v>6001237378</v>
          </cell>
          <cell r="B197" t="str">
            <v>FEMALE HANSEN DISCONNECT/FITTI</v>
          </cell>
          <cell r="C197">
            <v>130.285584</v>
          </cell>
          <cell r="D197">
            <v>15.466000000000001</v>
          </cell>
          <cell r="E197">
            <v>14.06</v>
          </cell>
          <cell r="F197">
            <v>1.4060000000000006</v>
          </cell>
          <cell r="G197" t="str">
            <v xml:space="preserve">    3030PTGT</v>
          </cell>
          <cell r="H197" t="str">
            <v>HE</v>
          </cell>
        </row>
        <row r="198">
          <cell r="A198">
            <v>6001237401</v>
          </cell>
          <cell r="B198" t="str">
            <v>DIALYZER HOLDER (BLACK)</v>
          </cell>
          <cell r="C198">
            <v>501.59023200000007</v>
          </cell>
          <cell r="D198">
            <v>59.543000000000006</v>
          </cell>
          <cell r="E198">
            <v>54.13</v>
          </cell>
          <cell r="F198">
            <v>5.4130000000000038</v>
          </cell>
          <cell r="G198" t="str">
            <v xml:space="preserve">    3030REPU</v>
          </cell>
          <cell r="H198" t="str">
            <v>HE</v>
          </cell>
        </row>
        <row r="199">
          <cell r="A199">
            <v>6001237420</v>
          </cell>
          <cell r="B199" t="str">
            <v>BULKHEAD FITTING ASSY WHITE</v>
          </cell>
          <cell r="C199">
            <v>108.69487200000002</v>
          </cell>
          <cell r="D199">
            <v>12.903000000000002</v>
          </cell>
          <cell r="E199">
            <v>11.73</v>
          </cell>
          <cell r="F199">
            <v>1.1730000000000018</v>
          </cell>
          <cell r="G199" t="str">
            <v xml:space="preserve">    3030REPU</v>
          </cell>
          <cell r="H199" t="str">
            <v>HE</v>
          </cell>
        </row>
        <row r="200">
          <cell r="A200">
            <v>6001237421</v>
          </cell>
          <cell r="B200" t="str">
            <v>BULKHEAD FITTING ASSY ORANGE</v>
          </cell>
          <cell r="C200">
            <v>97.945848000000012</v>
          </cell>
          <cell r="D200">
            <v>11.627000000000001</v>
          </cell>
          <cell r="E200">
            <v>10.57</v>
          </cell>
          <cell r="F200">
            <v>1.0570000000000004</v>
          </cell>
          <cell r="G200" t="str">
            <v xml:space="preserve">    3030REPU</v>
          </cell>
          <cell r="H200" t="str">
            <v>HE</v>
          </cell>
        </row>
        <row r="201">
          <cell r="A201">
            <v>6001237431</v>
          </cell>
          <cell r="B201" t="str">
            <v>KIT FLUID BARRIER REPACEMENT</v>
          </cell>
          <cell r="C201">
            <v>123.891768</v>
          </cell>
          <cell r="D201">
            <v>14.707000000000001</v>
          </cell>
          <cell r="E201">
            <v>13.37</v>
          </cell>
          <cell r="F201">
            <v>1.3370000000000015</v>
          </cell>
          <cell r="G201" t="str">
            <v xml:space="preserve">    3030REPU</v>
          </cell>
          <cell r="H201" t="str">
            <v>HE</v>
          </cell>
        </row>
        <row r="202">
          <cell r="A202">
            <v>6001238001</v>
          </cell>
          <cell r="B202" t="str">
            <v>BOTTLE BLEACH ASSY</v>
          </cell>
          <cell r="C202">
            <v>1150.0529040000001</v>
          </cell>
          <cell r="D202">
            <v>136.52100000000002</v>
          </cell>
          <cell r="E202">
            <v>124.11</v>
          </cell>
          <cell r="F202">
            <v>12.411000000000016</v>
          </cell>
          <cell r="G202" t="str">
            <v xml:space="preserve">    3030REPU</v>
          </cell>
          <cell r="H202" t="str">
            <v>HE</v>
          </cell>
        </row>
        <row r="203">
          <cell r="A203">
            <v>6001238003</v>
          </cell>
          <cell r="B203" t="str">
            <v>BOTTLE, BLEACH ASSY (1000ML)</v>
          </cell>
          <cell r="C203">
            <v>546.90292800000009</v>
          </cell>
          <cell r="D203">
            <v>64.922000000000011</v>
          </cell>
          <cell r="E203">
            <v>59.02</v>
          </cell>
          <cell r="F203">
            <v>5.9020000000000081</v>
          </cell>
          <cell r="G203" t="str">
            <v xml:space="preserve">    3030REPU</v>
          </cell>
          <cell r="H203" t="str">
            <v>HE</v>
          </cell>
        </row>
        <row r="204">
          <cell r="A204">
            <v>6001238004</v>
          </cell>
          <cell r="B204" t="str">
            <v>BOTTLE, VINEGAR ASSY (1000ML)</v>
          </cell>
          <cell r="C204">
            <v>375.01120800000001</v>
          </cell>
          <cell r="D204">
            <v>44.517000000000003</v>
          </cell>
          <cell r="E204">
            <v>40.47</v>
          </cell>
          <cell r="F204">
            <v>4.0470000000000041</v>
          </cell>
          <cell r="G204" t="str">
            <v xml:space="preserve">    3030REPU</v>
          </cell>
          <cell r="H204" t="str">
            <v>HE</v>
          </cell>
        </row>
        <row r="205">
          <cell r="A205">
            <v>6001238005</v>
          </cell>
          <cell r="B205" t="str">
            <v>BOTTLE FORMAL ASSY</v>
          </cell>
          <cell r="C205">
            <v>392.988024</v>
          </cell>
          <cell r="D205">
            <v>46.651000000000003</v>
          </cell>
          <cell r="E205">
            <v>42.41</v>
          </cell>
          <cell r="F205">
            <v>4.2410000000000068</v>
          </cell>
          <cell r="G205" t="str">
            <v xml:space="preserve">    3030REPU</v>
          </cell>
          <cell r="H205" t="str">
            <v>HE</v>
          </cell>
        </row>
        <row r="206">
          <cell r="A206">
            <v>6001238007</v>
          </cell>
          <cell r="B206" t="str">
            <v>BOTTLE ACTRIL ASSY 1000 MI</v>
          </cell>
          <cell r="C206">
            <v>349.06528800000001</v>
          </cell>
          <cell r="D206">
            <v>41.437000000000005</v>
          </cell>
          <cell r="E206">
            <v>37.67</v>
          </cell>
          <cell r="F206">
            <v>3.767000000000003</v>
          </cell>
          <cell r="G206" t="str">
            <v xml:space="preserve">    3030REPU</v>
          </cell>
          <cell r="H206" t="str">
            <v>HE</v>
          </cell>
        </row>
        <row r="207">
          <cell r="A207">
            <v>6001238016</v>
          </cell>
          <cell r="B207" t="str">
            <v>W/A PROPORT PUMP</v>
          </cell>
          <cell r="C207">
            <v>2413.7118719999999</v>
          </cell>
          <cell r="D207">
            <v>286.52800000000002</v>
          </cell>
          <cell r="E207">
            <v>260.48</v>
          </cell>
          <cell r="F207">
            <v>26.048000000000002</v>
          </cell>
          <cell r="G207" t="str">
            <v xml:space="preserve">    3030REPU</v>
          </cell>
          <cell r="H207" t="str">
            <v>HE</v>
          </cell>
        </row>
        <row r="208">
          <cell r="A208">
            <v>6001238017</v>
          </cell>
          <cell r="B208" t="str">
            <v>PUMP, A/B PROPORTIONER ASSY</v>
          </cell>
          <cell r="C208">
            <v>3428.475336</v>
          </cell>
          <cell r="D208">
            <v>406.98900000000003</v>
          </cell>
          <cell r="E208">
            <v>369.99</v>
          </cell>
          <cell r="F208">
            <v>36.999000000000024</v>
          </cell>
          <cell r="G208" t="str">
            <v xml:space="preserve">    3030REPU</v>
          </cell>
          <cell r="H208" t="str">
            <v>HE</v>
          </cell>
        </row>
        <row r="209">
          <cell r="A209">
            <v>6001238020</v>
          </cell>
          <cell r="B209" t="str">
            <v>KIT 1550 QUARTERLY</v>
          </cell>
          <cell r="C209">
            <v>146.965104</v>
          </cell>
          <cell r="D209">
            <v>17.446000000000002</v>
          </cell>
          <cell r="E209">
            <v>15.86</v>
          </cell>
          <cell r="F209">
            <v>1.5860000000000021</v>
          </cell>
          <cell r="G209" t="str">
            <v xml:space="preserve">    3030REPU</v>
          </cell>
          <cell r="H209" t="str">
            <v>HE</v>
          </cell>
        </row>
        <row r="210">
          <cell r="A210">
            <v>6001238022</v>
          </cell>
          <cell r="B210" t="str">
            <v>FLOW CONTROLLER ASSY</v>
          </cell>
          <cell r="C210">
            <v>1975.0404960000001</v>
          </cell>
          <cell r="D210">
            <v>234.45400000000001</v>
          </cell>
          <cell r="E210">
            <v>213.14</v>
          </cell>
          <cell r="F210">
            <v>21.314000000000021</v>
          </cell>
          <cell r="G210" t="str">
            <v xml:space="preserve">    3030REPU</v>
          </cell>
          <cell r="H210" t="str">
            <v>HE</v>
          </cell>
        </row>
        <row r="211">
          <cell r="A211">
            <v>6001238024</v>
          </cell>
          <cell r="B211" t="str">
            <v>CONDUCTIVITY CELL / THERMISTOR</v>
          </cell>
          <cell r="C211">
            <v>1389.2186879999999</v>
          </cell>
          <cell r="D211">
            <v>164.91200000000001</v>
          </cell>
          <cell r="E211">
            <v>149.91999999999999</v>
          </cell>
          <cell r="F211">
            <v>14.992000000000019</v>
          </cell>
          <cell r="G211" t="str">
            <v xml:space="preserve">    3030REPU</v>
          </cell>
          <cell r="H211" t="str">
            <v>HE</v>
          </cell>
        </row>
        <row r="212">
          <cell r="A212">
            <v>6001238025</v>
          </cell>
          <cell r="B212" t="str">
            <v>MIXING VESSEL ASSY</v>
          </cell>
          <cell r="C212">
            <v>609.17313600000011</v>
          </cell>
          <cell r="D212">
            <v>72.314000000000007</v>
          </cell>
          <cell r="E212">
            <v>65.739999999999995</v>
          </cell>
          <cell r="F212">
            <v>6.5740000000000123</v>
          </cell>
          <cell r="G212" t="str">
            <v xml:space="preserve">    3030PTGT</v>
          </cell>
          <cell r="H212" t="str">
            <v>HE</v>
          </cell>
        </row>
        <row r="213">
          <cell r="A213">
            <v>6001238027</v>
          </cell>
          <cell r="B213" t="str">
            <v>HERTER</v>
          </cell>
          <cell r="C213">
            <v>777.17296800000008</v>
          </cell>
          <cell r="D213">
            <v>92.257000000000019</v>
          </cell>
          <cell r="E213">
            <v>83.87</v>
          </cell>
          <cell r="F213">
            <v>8.3870000000000147</v>
          </cell>
          <cell r="G213" t="str">
            <v xml:space="preserve">    3030REPU</v>
          </cell>
          <cell r="H213" t="str">
            <v>HE</v>
          </cell>
        </row>
        <row r="214">
          <cell r="A214">
            <v>6001238028</v>
          </cell>
          <cell r="B214" t="str">
            <v>DEACRATOR ASSY.</v>
          </cell>
          <cell r="C214">
            <v>445.43584799999996</v>
          </cell>
          <cell r="D214">
            <v>52.877000000000002</v>
          </cell>
          <cell r="E214">
            <v>48.07</v>
          </cell>
          <cell r="F214">
            <v>4.8070000000000022</v>
          </cell>
          <cell r="G214" t="str">
            <v xml:space="preserve">    3030REPU</v>
          </cell>
          <cell r="H214" t="str">
            <v>HE</v>
          </cell>
        </row>
        <row r="215">
          <cell r="A215">
            <v>6001238032</v>
          </cell>
          <cell r="B215" t="str">
            <v>PROPORTIONER PRESS REG ASSY</v>
          </cell>
          <cell r="C215">
            <v>1170.2536560000001</v>
          </cell>
          <cell r="D215">
            <v>138.91900000000001</v>
          </cell>
          <cell r="E215">
            <v>126.29</v>
          </cell>
          <cell r="F215">
            <v>12.629000000000005</v>
          </cell>
          <cell r="G215" t="str">
            <v xml:space="preserve">    3030PTGT</v>
          </cell>
          <cell r="H215" t="str">
            <v>HE</v>
          </cell>
        </row>
        <row r="216">
          <cell r="A216">
            <v>6001238033</v>
          </cell>
          <cell r="B216" t="str">
            <v>INLET WATER PRESSURE REG.</v>
          </cell>
          <cell r="C216">
            <v>598.70210400000008</v>
          </cell>
          <cell r="D216">
            <v>71.071000000000012</v>
          </cell>
          <cell r="E216">
            <v>64.61</v>
          </cell>
          <cell r="F216">
            <v>6.4610000000000127</v>
          </cell>
          <cell r="G216" t="str">
            <v xml:space="preserve">    3030REPU</v>
          </cell>
          <cell r="H216" t="str">
            <v>HE</v>
          </cell>
        </row>
        <row r="217">
          <cell r="A217">
            <v>6001238035</v>
          </cell>
          <cell r="B217" t="str">
            <v>VALVE, BYPASS ASSY 24 VOC</v>
          </cell>
          <cell r="C217">
            <v>1707.7975200000001</v>
          </cell>
          <cell r="D217">
            <v>202.73</v>
          </cell>
          <cell r="E217">
            <v>184.3</v>
          </cell>
          <cell r="F217">
            <v>18.43</v>
          </cell>
          <cell r="G217" t="str">
            <v xml:space="preserve">    3030PTGT</v>
          </cell>
          <cell r="H217" t="str">
            <v>HE</v>
          </cell>
        </row>
        <row r="218">
          <cell r="A218">
            <v>6001238036</v>
          </cell>
          <cell r="B218" t="str">
            <v>ASSY, ISOLATE VALVE 24 VDC</v>
          </cell>
          <cell r="C218">
            <v>1375.59708</v>
          </cell>
          <cell r="D218">
            <v>163.29499999999999</v>
          </cell>
          <cell r="E218">
            <v>148.44999999999999</v>
          </cell>
          <cell r="F218">
            <v>14.845000000000001</v>
          </cell>
          <cell r="G218" t="str">
            <v xml:space="preserve">    3030REPU</v>
          </cell>
          <cell r="H218" t="str">
            <v>HE</v>
          </cell>
        </row>
        <row r="219">
          <cell r="A219">
            <v>6001238037</v>
          </cell>
          <cell r="B219" t="str">
            <v>VALVE, DESINFECT CONT. ASSY</v>
          </cell>
          <cell r="C219">
            <v>1993.7586240000001</v>
          </cell>
          <cell r="D219">
            <v>236.67600000000002</v>
          </cell>
          <cell r="E219">
            <v>215.16</v>
          </cell>
          <cell r="F219">
            <v>21.51600000000002</v>
          </cell>
          <cell r="G219" t="str">
            <v xml:space="preserve">    3030REPU</v>
          </cell>
          <cell r="H219" t="str">
            <v>HE</v>
          </cell>
        </row>
        <row r="220">
          <cell r="A220">
            <v>6001238038</v>
          </cell>
          <cell r="B220" t="str">
            <v>VALVE, VENT ASSY</v>
          </cell>
          <cell r="C220">
            <v>843.427728</v>
          </cell>
          <cell r="D220">
            <v>100.122</v>
          </cell>
          <cell r="E220">
            <v>91.02</v>
          </cell>
          <cell r="F220">
            <v>9.1020000000000039</v>
          </cell>
          <cell r="G220" t="str">
            <v xml:space="preserve">    3030REPU</v>
          </cell>
          <cell r="H220" t="str">
            <v>HE</v>
          </cell>
        </row>
        <row r="221">
          <cell r="A221">
            <v>6001238039</v>
          </cell>
          <cell r="B221" t="str">
            <v>VALVE, DISINFECT INLET ASY 24</v>
          </cell>
          <cell r="C221">
            <v>1678.2377040000003</v>
          </cell>
          <cell r="D221">
            <v>199.22100000000003</v>
          </cell>
          <cell r="E221">
            <v>181.11</v>
          </cell>
          <cell r="F221">
            <v>18.111000000000018</v>
          </cell>
          <cell r="G221" t="str">
            <v xml:space="preserve">    3030REPU</v>
          </cell>
          <cell r="H221" t="str">
            <v>HE</v>
          </cell>
        </row>
        <row r="222">
          <cell r="A222">
            <v>6001238040</v>
          </cell>
          <cell r="B222" t="str">
            <v>IMP REGULATOR EXPD</v>
          </cell>
          <cell r="C222">
            <v>849.43420848000005</v>
          </cell>
          <cell r="D222">
            <v>100.83502</v>
          </cell>
          <cell r="E222">
            <v>91.668199999999999</v>
          </cell>
          <cell r="F222">
            <v>9.1668200000000013</v>
          </cell>
          <cell r="G222" t="str">
            <v xml:space="preserve">    3030REPU</v>
          </cell>
          <cell r="H222" t="str">
            <v>HE</v>
          </cell>
        </row>
        <row r="223">
          <cell r="A223">
            <v>6001238041</v>
          </cell>
          <cell r="B223" t="str">
            <v>ASSY, BLUE CONNECTOR</v>
          </cell>
          <cell r="C223">
            <v>103.96900800000002</v>
          </cell>
          <cell r="D223">
            <v>12.342000000000002</v>
          </cell>
          <cell r="E223">
            <v>11.22</v>
          </cell>
          <cell r="F223">
            <v>1.1220000000000017</v>
          </cell>
          <cell r="G223" t="str">
            <v xml:space="preserve">    3030REPU</v>
          </cell>
          <cell r="H223" t="str">
            <v>HE</v>
          </cell>
        </row>
        <row r="224">
          <cell r="A224">
            <v>6001238042</v>
          </cell>
          <cell r="B224" t="str">
            <v>ASSY,RED CONNECTOR</v>
          </cell>
          <cell r="C224">
            <v>104.89564800000001</v>
          </cell>
          <cell r="D224">
            <v>12.452000000000002</v>
          </cell>
          <cell r="E224">
            <v>11.32</v>
          </cell>
          <cell r="F224">
            <v>1.1320000000000014</v>
          </cell>
          <cell r="G224" t="str">
            <v xml:space="preserve">    3030REPU</v>
          </cell>
          <cell r="H224" t="str">
            <v>HE</v>
          </cell>
        </row>
        <row r="225">
          <cell r="A225">
            <v>6001238045</v>
          </cell>
          <cell r="B225" t="str">
            <v>STEPPING MOTOR ASSY</v>
          </cell>
          <cell r="C225">
            <v>741.96064799999988</v>
          </cell>
          <cell r="D225">
            <v>88.076999999999998</v>
          </cell>
          <cell r="E225">
            <v>80.069999999999993</v>
          </cell>
          <cell r="F225">
            <v>8.007000000000005</v>
          </cell>
          <cell r="G225" t="str">
            <v xml:space="preserve">    3030REPU</v>
          </cell>
          <cell r="H225" t="str">
            <v>HE</v>
          </cell>
        </row>
        <row r="226">
          <cell r="A226">
            <v>6001238051</v>
          </cell>
          <cell r="B226" t="str">
            <v>CAP 7 SUC.TUBO ASSY, BICARB</v>
          </cell>
          <cell r="C226">
            <v>169.20446400000003</v>
          </cell>
          <cell r="D226">
            <v>20.086000000000002</v>
          </cell>
          <cell r="E226">
            <v>18.260000000000002</v>
          </cell>
          <cell r="F226">
            <v>1.8260000000000005</v>
          </cell>
          <cell r="G226" t="str">
            <v xml:space="preserve">    3030REPU</v>
          </cell>
          <cell r="H226" t="str">
            <v>HE</v>
          </cell>
        </row>
        <row r="227">
          <cell r="A227">
            <v>6001238052</v>
          </cell>
          <cell r="B227" t="str">
            <v>ASSY, ACID CAP/SU TUBE</v>
          </cell>
          <cell r="C227">
            <v>300.13869600000004</v>
          </cell>
          <cell r="D227">
            <v>35.629000000000005</v>
          </cell>
          <cell r="E227">
            <v>32.39</v>
          </cell>
          <cell r="F227">
            <v>3.2390000000000043</v>
          </cell>
          <cell r="G227" t="str">
            <v xml:space="preserve">    3030REPU</v>
          </cell>
          <cell r="H227" t="str">
            <v>HE</v>
          </cell>
        </row>
        <row r="228">
          <cell r="A228">
            <v>6001238056</v>
          </cell>
          <cell r="B228" t="str">
            <v>HI TEMPERATURE PROBE ASSY</v>
          </cell>
          <cell r="C228">
            <v>332.75642399999998</v>
          </cell>
          <cell r="D228">
            <v>39.500999999999998</v>
          </cell>
          <cell r="E228">
            <v>35.909999999999997</v>
          </cell>
          <cell r="F228">
            <v>3.5910000000000011</v>
          </cell>
          <cell r="G228" t="str">
            <v xml:space="preserve">    3030REPU</v>
          </cell>
          <cell r="H228" t="str">
            <v>HE</v>
          </cell>
        </row>
        <row r="229">
          <cell r="A229">
            <v>6001238057</v>
          </cell>
          <cell r="B229" t="str">
            <v>CONNECTOR ASSY BLEACH</v>
          </cell>
          <cell r="C229">
            <v>171.05774400000001</v>
          </cell>
          <cell r="D229">
            <v>20.306000000000001</v>
          </cell>
          <cell r="E229">
            <v>18.46</v>
          </cell>
          <cell r="F229">
            <v>1.8460000000000001</v>
          </cell>
          <cell r="G229" t="str">
            <v xml:space="preserve">    3030PTGT</v>
          </cell>
          <cell r="H229" t="str">
            <v>HE</v>
          </cell>
        </row>
        <row r="230">
          <cell r="A230">
            <v>6001238058</v>
          </cell>
          <cell r="B230" t="str">
            <v>Vinegar Connector Assy.</v>
          </cell>
          <cell r="C230">
            <v>233.14262400000001</v>
          </cell>
          <cell r="D230">
            <v>27.676000000000002</v>
          </cell>
          <cell r="E230">
            <v>25.16</v>
          </cell>
          <cell r="F230">
            <v>2.5160000000000018</v>
          </cell>
          <cell r="G230" t="str">
            <v xml:space="preserve">    3030PTGT</v>
          </cell>
          <cell r="H230" t="str">
            <v>HE</v>
          </cell>
        </row>
        <row r="231">
          <cell r="A231">
            <v>6001238060</v>
          </cell>
          <cell r="B231" t="str">
            <v>CONNECTOR ASSY RENALIN</v>
          </cell>
          <cell r="C231">
            <v>241.38972000000004</v>
          </cell>
          <cell r="D231">
            <v>28.655000000000001</v>
          </cell>
          <cell r="E231">
            <v>26.05</v>
          </cell>
          <cell r="F231">
            <v>2.605</v>
          </cell>
          <cell r="G231" t="str">
            <v xml:space="preserve">    3030REPU</v>
          </cell>
          <cell r="H231" t="str">
            <v>HE</v>
          </cell>
        </row>
        <row r="232">
          <cell r="A232">
            <v>6001238061</v>
          </cell>
          <cell r="B232" t="str">
            <v>CONNECTOR ASSY ACTRIL</v>
          </cell>
          <cell r="C232">
            <v>154.56355200000002</v>
          </cell>
          <cell r="D232">
            <v>18.348000000000003</v>
          </cell>
          <cell r="E232">
            <v>16.68</v>
          </cell>
          <cell r="F232">
            <v>1.6680000000000028</v>
          </cell>
          <cell r="G232" t="str">
            <v xml:space="preserve">    3030REPU</v>
          </cell>
          <cell r="H232" t="str">
            <v>HE</v>
          </cell>
        </row>
        <row r="233">
          <cell r="A233">
            <v>6001238067</v>
          </cell>
          <cell r="B233" t="str">
            <v>FOAM SET PCB ASSY</v>
          </cell>
          <cell r="C233">
            <v>1236.6010799999997</v>
          </cell>
          <cell r="D233">
            <v>146.79499999999999</v>
          </cell>
          <cell r="E233">
            <v>133.44999999999999</v>
          </cell>
          <cell r="F233">
            <v>13.345000000000001</v>
          </cell>
          <cell r="G233" t="str">
            <v xml:space="preserve">    3030REPU</v>
          </cell>
          <cell r="H233" t="str">
            <v>HE</v>
          </cell>
        </row>
        <row r="234">
          <cell r="A234">
            <v>6001238071</v>
          </cell>
          <cell r="B234" t="str">
            <v>Heparin Pump, clip assy 10CC</v>
          </cell>
          <cell r="C234">
            <v>242.59435200000001</v>
          </cell>
          <cell r="D234">
            <v>28.798000000000002</v>
          </cell>
          <cell r="E234">
            <v>26.18</v>
          </cell>
          <cell r="F234">
            <v>2.6180000000000021</v>
          </cell>
          <cell r="G234" t="str">
            <v xml:space="preserve">    3030REPU</v>
          </cell>
          <cell r="H234" t="str">
            <v>HE</v>
          </cell>
        </row>
        <row r="235">
          <cell r="A235">
            <v>6001238072</v>
          </cell>
          <cell r="B235" t="str">
            <v>MANHGUERA</v>
          </cell>
          <cell r="C235">
            <v>31.413096000000003</v>
          </cell>
          <cell r="D235">
            <v>3.7290000000000005</v>
          </cell>
          <cell r="E235">
            <v>3.39</v>
          </cell>
          <cell r="F235">
            <v>0.33900000000000041</v>
          </cell>
          <cell r="G235" t="str">
            <v xml:space="preserve">    3030REPU</v>
          </cell>
          <cell r="H235" t="str">
            <v>HE</v>
          </cell>
        </row>
        <row r="236">
          <cell r="A236">
            <v>6001238073</v>
          </cell>
          <cell r="B236" t="str">
            <v>FILTROS DE AGUA PARA MANGUERA</v>
          </cell>
          <cell r="C236">
            <v>32.432400000000001</v>
          </cell>
          <cell r="D236">
            <v>3.85</v>
          </cell>
          <cell r="E236">
            <v>3.5</v>
          </cell>
          <cell r="F236">
            <v>0.35000000000000053</v>
          </cell>
          <cell r="G236" t="str">
            <v xml:space="preserve">    3030REPU</v>
          </cell>
          <cell r="H236" t="str">
            <v>HE</v>
          </cell>
        </row>
        <row r="237">
          <cell r="A237">
            <v>6001238074</v>
          </cell>
          <cell r="B237" t="str">
            <v>MANGUERAS CON CONECTORES</v>
          </cell>
          <cell r="C237">
            <v>22.332024000000004</v>
          </cell>
          <cell r="D237">
            <v>2.6510000000000002</v>
          </cell>
          <cell r="E237">
            <v>2.41</v>
          </cell>
          <cell r="F237">
            <v>0.2410000000000001</v>
          </cell>
          <cell r="G237" t="str">
            <v xml:space="preserve">    3030REPU</v>
          </cell>
          <cell r="H237" t="str">
            <v>HE</v>
          </cell>
        </row>
        <row r="238">
          <cell r="A238">
            <v>6001238075</v>
          </cell>
          <cell r="B238" t="str">
            <v>MANGUERAS CON CONECTORS</v>
          </cell>
          <cell r="C238">
            <v>23.258664</v>
          </cell>
          <cell r="D238">
            <v>2.7610000000000001</v>
          </cell>
          <cell r="E238">
            <v>2.5099999999999998</v>
          </cell>
          <cell r="F238">
            <v>0.25100000000000033</v>
          </cell>
          <cell r="G238" t="str">
            <v xml:space="preserve">    3030REPU</v>
          </cell>
          <cell r="H238" t="str">
            <v>HE</v>
          </cell>
        </row>
        <row r="239">
          <cell r="A239">
            <v>6001238076</v>
          </cell>
          <cell r="B239" t="str">
            <v>MANGUERA CON CONECTOR</v>
          </cell>
          <cell r="C239">
            <v>69.405336000000005</v>
          </cell>
          <cell r="D239">
            <v>8.2390000000000008</v>
          </cell>
          <cell r="E239">
            <v>7.49</v>
          </cell>
          <cell r="F239">
            <v>0.74900000000000055</v>
          </cell>
          <cell r="G239" t="str">
            <v xml:space="preserve">    3030REPU</v>
          </cell>
          <cell r="H239" t="str">
            <v>HE</v>
          </cell>
        </row>
        <row r="240">
          <cell r="A240">
            <v>6001238078</v>
          </cell>
          <cell r="B240" t="str">
            <v>manguera</v>
          </cell>
          <cell r="C240">
            <v>24.375265200000005</v>
          </cell>
          <cell r="D240">
            <v>2.8935500000000003</v>
          </cell>
          <cell r="E240">
            <v>2.6305000000000001</v>
          </cell>
          <cell r="F240">
            <v>0.26305000000000023</v>
          </cell>
          <cell r="G240" t="str">
            <v xml:space="preserve">    3030REPU</v>
          </cell>
          <cell r="H240" t="str">
            <v>HE</v>
          </cell>
        </row>
        <row r="241">
          <cell r="A241">
            <v>6001238079</v>
          </cell>
          <cell r="B241" t="str">
            <v>MAMGUERA</v>
          </cell>
          <cell r="C241">
            <v>46.887983999999996</v>
          </cell>
          <cell r="D241">
            <v>5.5659999999999998</v>
          </cell>
          <cell r="E241">
            <v>5.0599999999999996</v>
          </cell>
          <cell r="F241">
            <v>0.50600000000000023</v>
          </cell>
          <cell r="G241" t="str">
            <v xml:space="preserve">    3030REPU</v>
          </cell>
          <cell r="H241" t="str">
            <v>HE</v>
          </cell>
        </row>
        <row r="242">
          <cell r="A242">
            <v>6001238081</v>
          </cell>
          <cell r="B242" t="str">
            <v>MANGUERAS</v>
          </cell>
          <cell r="C242">
            <v>14.640912</v>
          </cell>
          <cell r="D242">
            <v>1.7380000000000002</v>
          </cell>
          <cell r="E242">
            <v>1.58</v>
          </cell>
          <cell r="F242">
            <v>0.15800000000000014</v>
          </cell>
          <cell r="G242" t="str">
            <v xml:space="preserve">    3030REPU</v>
          </cell>
          <cell r="H242" t="str">
            <v>HE</v>
          </cell>
        </row>
        <row r="243">
          <cell r="A243">
            <v>6001238082</v>
          </cell>
          <cell r="C243">
            <v>33.266376000000001</v>
          </cell>
          <cell r="D243">
            <v>3.9490000000000003</v>
          </cell>
          <cell r="E243">
            <v>3.59</v>
          </cell>
          <cell r="F243">
            <v>0.35900000000000043</v>
          </cell>
          <cell r="G243" t="str">
            <v xml:space="preserve">    3030REPU</v>
          </cell>
          <cell r="H243" t="str">
            <v>HE</v>
          </cell>
        </row>
        <row r="244">
          <cell r="A244">
            <v>6001238083</v>
          </cell>
          <cell r="B244" t="str">
            <v>MANGUERA</v>
          </cell>
          <cell r="C244">
            <v>22.424687999999996</v>
          </cell>
          <cell r="D244">
            <v>2.6619999999999999</v>
          </cell>
          <cell r="E244">
            <v>2.42</v>
          </cell>
          <cell r="F244">
            <v>0.24199999999999999</v>
          </cell>
          <cell r="G244" t="str">
            <v xml:space="preserve">    3030REPU</v>
          </cell>
          <cell r="H244" t="str">
            <v>HE</v>
          </cell>
        </row>
        <row r="245">
          <cell r="A245">
            <v>6001238084</v>
          </cell>
          <cell r="B245" t="str">
            <v>MANGUERAS CON CONECTORES</v>
          </cell>
          <cell r="C245">
            <v>155.30486400000001</v>
          </cell>
          <cell r="D245">
            <v>18.436000000000003</v>
          </cell>
          <cell r="E245">
            <v>16.760000000000002</v>
          </cell>
          <cell r="F245">
            <v>1.6760000000000019</v>
          </cell>
          <cell r="G245" t="str">
            <v xml:space="preserve">    3030REPU</v>
          </cell>
          <cell r="H245" t="str">
            <v>HE</v>
          </cell>
        </row>
        <row r="246">
          <cell r="A246">
            <v>6001238085</v>
          </cell>
          <cell r="B246" t="str">
            <v>MANGUERA</v>
          </cell>
          <cell r="C246">
            <v>46.424664</v>
          </cell>
          <cell r="D246">
            <v>5.5110000000000001</v>
          </cell>
          <cell r="E246">
            <v>5.01</v>
          </cell>
          <cell r="F246">
            <v>0.50100000000000033</v>
          </cell>
          <cell r="G246" t="str">
            <v xml:space="preserve">    3030REPU</v>
          </cell>
          <cell r="H246" t="str">
            <v>HE</v>
          </cell>
        </row>
        <row r="247">
          <cell r="A247">
            <v>6001238087</v>
          </cell>
          <cell r="B247" t="str">
            <v>TUBE ASSY DISF,INL/ A/B MIX</v>
          </cell>
          <cell r="C247">
            <v>48.277944000000005</v>
          </cell>
          <cell r="D247">
            <v>5.7310000000000008</v>
          </cell>
          <cell r="E247">
            <v>5.21</v>
          </cell>
          <cell r="F247">
            <v>0.5210000000000008</v>
          </cell>
          <cell r="G247" t="str">
            <v xml:space="preserve">    3030REPU</v>
          </cell>
          <cell r="H247" t="str">
            <v>HE</v>
          </cell>
        </row>
        <row r="248">
          <cell r="A248">
            <v>6001238088</v>
          </cell>
          <cell r="B248" t="str">
            <v>TUBE ASSY W/A PUMP / W/A MIX</v>
          </cell>
          <cell r="C248">
            <v>14.362920000000001</v>
          </cell>
          <cell r="D248">
            <v>1.7050000000000001</v>
          </cell>
          <cell r="E248">
            <v>1.55</v>
          </cell>
          <cell r="F248">
            <v>0.155</v>
          </cell>
          <cell r="G248" t="str">
            <v xml:space="preserve">    3030REPU</v>
          </cell>
          <cell r="H248" t="str">
            <v>HE</v>
          </cell>
        </row>
        <row r="249">
          <cell r="A249">
            <v>6001238090</v>
          </cell>
          <cell r="B249" t="str">
            <v>TUBE ASSY FILTER A/B PUMP</v>
          </cell>
          <cell r="C249">
            <v>22.054031999999996</v>
          </cell>
          <cell r="D249">
            <v>2.6179999999999999</v>
          </cell>
          <cell r="E249">
            <v>2.38</v>
          </cell>
          <cell r="F249">
            <v>0.23799999999999999</v>
          </cell>
          <cell r="G249" t="str">
            <v xml:space="preserve">    3030REPU</v>
          </cell>
          <cell r="H249" t="str">
            <v>HE</v>
          </cell>
        </row>
        <row r="250">
          <cell r="A250">
            <v>6001238091</v>
          </cell>
          <cell r="B250" t="str">
            <v>TUBE ASSY, FILTER / W/A PUMP</v>
          </cell>
          <cell r="C250">
            <v>19.92276</v>
          </cell>
          <cell r="D250">
            <v>2.3650000000000002</v>
          </cell>
          <cell r="E250">
            <v>2.15</v>
          </cell>
          <cell r="F250">
            <v>0.215</v>
          </cell>
          <cell r="G250" t="str">
            <v xml:space="preserve">    3030REPU</v>
          </cell>
          <cell r="H250" t="str">
            <v>HE</v>
          </cell>
        </row>
        <row r="251">
          <cell r="A251">
            <v>6001238094</v>
          </cell>
          <cell r="B251" t="str">
            <v>TUBE ASSY, PUMP / DEAER REG</v>
          </cell>
          <cell r="C251">
            <v>26.409239999999997</v>
          </cell>
          <cell r="D251">
            <v>3.1349999999999998</v>
          </cell>
          <cell r="E251">
            <v>2.85</v>
          </cell>
          <cell r="F251">
            <v>0.28499999999999998</v>
          </cell>
          <cell r="G251" t="str">
            <v xml:space="preserve">    3030REPU</v>
          </cell>
          <cell r="H251" t="str">
            <v>HE</v>
          </cell>
        </row>
        <row r="252">
          <cell r="A252">
            <v>6001238095</v>
          </cell>
          <cell r="B252" t="str">
            <v>TUBE ASSY,DEAR REG/VENTURT</v>
          </cell>
          <cell r="C252">
            <v>12.046320000000001</v>
          </cell>
          <cell r="D252">
            <v>1.43</v>
          </cell>
          <cell r="E252">
            <v>1.3</v>
          </cell>
          <cell r="F252">
            <v>0.13</v>
          </cell>
          <cell r="G252" t="str">
            <v xml:space="preserve">    3030REPU</v>
          </cell>
          <cell r="H252" t="str">
            <v>HE</v>
          </cell>
        </row>
        <row r="253">
          <cell r="A253">
            <v>6001238097</v>
          </cell>
          <cell r="B253" t="str">
            <v>BLOOD PUMP MOTOR ASSY</v>
          </cell>
          <cell r="C253">
            <v>1503.01008</v>
          </cell>
          <cell r="D253">
            <v>178.42</v>
          </cell>
          <cell r="E253">
            <v>162.19999999999999</v>
          </cell>
          <cell r="F253">
            <v>16.22</v>
          </cell>
          <cell r="G253" t="str">
            <v xml:space="preserve">    3030REPU</v>
          </cell>
          <cell r="H253" t="str">
            <v>HE</v>
          </cell>
        </row>
        <row r="254">
          <cell r="A254">
            <v>6001238098</v>
          </cell>
          <cell r="B254" t="str">
            <v>VALVE, BASIC INLET SOLENOID</v>
          </cell>
          <cell r="C254">
            <v>597.12681600000008</v>
          </cell>
          <cell r="D254">
            <v>70.884</v>
          </cell>
          <cell r="E254">
            <v>64.44</v>
          </cell>
          <cell r="F254">
            <v>6.4440000000000026</v>
          </cell>
          <cell r="G254" t="str">
            <v xml:space="preserve">    3030REPU</v>
          </cell>
          <cell r="H254" t="str">
            <v>HE</v>
          </cell>
        </row>
        <row r="255">
          <cell r="A255">
            <v>6001238100</v>
          </cell>
          <cell r="B255" t="str">
            <v>BOTONES</v>
          </cell>
          <cell r="C255">
            <v>47.814624000000009</v>
          </cell>
          <cell r="D255">
            <v>5.676000000000001</v>
          </cell>
          <cell r="E255">
            <v>5.16</v>
          </cell>
          <cell r="F255">
            <v>0.5160000000000009</v>
          </cell>
          <cell r="G255" t="str">
            <v xml:space="preserve">    3030REPU</v>
          </cell>
          <cell r="H255" t="str">
            <v>HE</v>
          </cell>
        </row>
        <row r="256">
          <cell r="A256">
            <v>6001238105</v>
          </cell>
          <cell r="B256" t="str">
            <v>CONDUCTIVITY CELL ASSY FOR SPS</v>
          </cell>
          <cell r="C256">
            <v>971.67470400000002</v>
          </cell>
          <cell r="D256">
            <v>115.346</v>
          </cell>
          <cell r="E256">
            <v>104.86</v>
          </cell>
          <cell r="F256">
            <v>10.486000000000004</v>
          </cell>
          <cell r="G256" t="str">
            <v xml:space="preserve">    3030PTGT</v>
          </cell>
          <cell r="H256" t="str">
            <v>HE</v>
          </cell>
        </row>
        <row r="257">
          <cell r="A257">
            <v>6001238106</v>
          </cell>
          <cell r="B257" t="str">
            <v>PRESSURE PUMP</v>
          </cell>
          <cell r="C257">
            <v>1750.95392472</v>
          </cell>
          <cell r="D257">
            <v>207.85303000000002</v>
          </cell>
          <cell r="E257">
            <v>188.9573</v>
          </cell>
          <cell r="F257">
            <v>18.895730000000015</v>
          </cell>
          <cell r="G257" t="str">
            <v xml:space="preserve">    3030REPU</v>
          </cell>
          <cell r="H257" t="str">
            <v>HE</v>
          </cell>
        </row>
        <row r="258">
          <cell r="A258">
            <v>6001238107</v>
          </cell>
          <cell r="B258" t="str">
            <v>PUMP ASSY/PUMP HEAD, 2 LT.</v>
          </cell>
          <cell r="C258">
            <v>1995.7045679999999</v>
          </cell>
          <cell r="D258">
            <v>236.90700000000001</v>
          </cell>
          <cell r="E258">
            <v>215.37</v>
          </cell>
          <cell r="F258">
            <v>21.537000000000006</v>
          </cell>
          <cell r="G258" t="str">
            <v xml:space="preserve">    3030REPU</v>
          </cell>
          <cell r="H258" t="str">
            <v>HE</v>
          </cell>
        </row>
        <row r="259">
          <cell r="A259">
            <v>6001238108</v>
          </cell>
          <cell r="B259" t="str">
            <v>rotor</v>
          </cell>
          <cell r="C259">
            <v>31.480740720000004</v>
          </cell>
          <cell r="D259">
            <v>3.7370300000000003</v>
          </cell>
          <cell r="E259">
            <v>3.3973</v>
          </cell>
          <cell r="F259">
            <v>0.33973000000000031</v>
          </cell>
          <cell r="G259" t="str">
            <v xml:space="preserve">    3030REPU</v>
          </cell>
          <cell r="H259" t="str">
            <v>HE</v>
          </cell>
        </row>
        <row r="260">
          <cell r="A260">
            <v>6001238109</v>
          </cell>
          <cell r="B260" t="str">
            <v>TARJETA IB03/04</v>
          </cell>
          <cell r="C260">
            <v>664.30821600000002</v>
          </cell>
          <cell r="D260">
            <v>78.859000000000009</v>
          </cell>
          <cell r="E260">
            <v>71.69</v>
          </cell>
          <cell r="F260">
            <v>7.1690000000000111</v>
          </cell>
          <cell r="G260" t="str">
            <v xml:space="preserve">    3030REPU</v>
          </cell>
          <cell r="H260" t="str">
            <v>HE</v>
          </cell>
        </row>
        <row r="261">
          <cell r="A261">
            <v>6001238110</v>
          </cell>
          <cell r="B261" t="str">
            <v>TARJETA IB15</v>
          </cell>
          <cell r="C261">
            <v>303.65992799999998</v>
          </cell>
          <cell r="D261">
            <v>36.047000000000004</v>
          </cell>
          <cell r="E261">
            <v>32.770000000000003</v>
          </cell>
          <cell r="F261">
            <v>3.277000000000001</v>
          </cell>
          <cell r="G261" t="str">
            <v xml:space="preserve">    3030REPU</v>
          </cell>
          <cell r="H261" t="str">
            <v>HE</v>
          </cell>
        </row>
        <row r="262">
          <cell r="A262">
            <v>6001238111</v>
          </cell>
          <cell r="B262" t="str">
            <v>TARJETA IB14 DARLINTON Q2/3</v>
          </cell>
          <cell r="C262">
            <v>888.18444000000011</v>
          </cell>
          <cell r="D262">
            <v>105.435</v>
          </cell>
          <cell r="E262">
            <v>95.85</v>
          </cell>
          <cell r="F262">
            <v>9.585000000000008</v>
          </cell>
          <cell r="G262" t="str">
            <v xml:space="preserve">    3030REPU</v>
          </cell>
          <cell r="H262" t="str">
            <v>HE</v>
          </cell>
        </row>
        <row r="263">
          <cell r="A263">
            <v>6001238112</v>
          </cell>
          <cell r="B263" t="str">
            <v>PCB, Ib20 UFC Display</v>
          </cell>
          <cell r="C263">
            <v>995.30402400000003</v>
          </cell>
          <cell r="D263">
            <v>118.15100000000001</v>
          </cell>
          <cell r="E263">
            <v>107.41</v>
          </cell>
          <cell r="F263">
            <v>10.741000000000014</v>
          </cell>
          <cell r="G263" t="str">
            <v xml:space="preserve">    3030REPU</v>
          </cell>
          <cell r="H263" t="str">
            <v>HE</v>
          </cell>
        </row>
        <row r="264">
          <cell r="A264">
            <v>6001238113</v>
          </cell>
          <cell r="B264" t="str">
            <v>HEPARIN PUMP</v>
          </cell>
          <cell r="C264">
            <v>1023.751872</v>
          </cell>
          <cell r="D264">
            <v>121.52800000000002</v>
          </cell>
          <cell r="E264">
            <v>110.48</v>
          </cell>
          <cell r="F264">
            <v>11.048000000000016</v>
          </cell>
          <cell r="G264" t="str">
            <v xml:space="preserve">    3030REPU</v>
          </cell>
          <cell r="H264" t="str">
            <v>HE</v>
          </cell>
        </row>
        <row r="265">
          <cell r="A265">
            <v>6001238114</v>
          </cell>
          <cell r="B265" t="str">
            <v>PCB, MB1 MOTHERBOARD</v>
          </cell>
          <cell r="C265">
            <v>3763.7336880000003</v>
          </cell>
          <cell r="D265">
            <v>446.78700000000003</v>
          </cell>
          <cell r="E265">
            <v>406.17</v>
          </cell>
          <cell r="F265">
            <v>40.617000000000019</v>
          </cell>
          <cell r="G265" t="str">
            <v xml:space="preserve">    3030REPU</v>
          </cell>
          <cell r="H265" t="str">
            <v>HE</v>
          </cell>
        </row>
        <row r="266">
          <cell r="A266">
            <v>6001238116</v>
          </cell>
          <cell r="B266" t="str">
            <v>SYSTEN DESPLAY PCB</v>
          </cell>
          <cell r="C266">
            <v>660.41632800000002</v>
          </cell>
          <cell r="D266">
            <v>78.397000000000006</v>
          </cell>
          <cell r="E266">
            <v>71.27</v>
          </cell>
          <cell r="F266">
            <v>7.1270000000000095</v>
          </cell>
          <cell r="G266" t="str">
            <v xml:space="preserve">    3030REPU</v>
          </cell>
          <cell r="H266" t="str">
            <v>HE</v>
          </cell>
        </row>
        <row r="267">
          <cell r="A267">
            <v>6001238117</v>
          </cell>
          <cell r="B267" t="str">
            <v>IB17 GEN INTERCONECT</v>
          </cell>
          <cell r="C267">
            <v>853.52810399999998</v>
          </cell>
          <cell r="D267">
            <v>101.32100000000001</v>
          </cell>
          <cell r="E267">
            <v>92.11</v>
          </cell>
          <cell r="F267">
            <v>9.2110000000000127</v>
          </cell>
          <cell r="G267" t="str">
            <v xml:space="preserve">    3030REPU</v>
          </cell>
          <cell r="H267" t="str">
            <v>HE</v>
          </cell>
        </row>
        <row r="268">
          <cell r="A268">
            <v>6001238118</v>
          </cell>
          <cell r="B268" t="str">
            <v>IB18PWR INTERCONNECT</v>
          </cell>
          <cell r="C268">
            <v>834.53198400000008</v>
          </cell>
          <cell r="D268">
            <v>99.066000000000017</v>
          </cell>
          <cell r="E268">
            <v>90.06</v>
          </cell>
          <cell r="F268">
            <v>9.0060000000000144</v>
          </cell>
          <cell r="G268" t="str">
            <v xml:space="preserve">    3030REPU</v>
          </cell>
          <cell r="H268" t="str">
            <v>HE</v>
          </cell>
        </row>
        <row r="269">
          <cell r="A269">
            <v>6001238120</v>
          </cell>
          <cell r="B269" t="str">
            <v>PCB, PC16 MONITOR A80</v>
          </cell>
          <cell r="C269">
            <v>2269.9900080000002</v>
          </cell>
          <cell r="D269">
            <v>269.46700000000004</v>
          </cell>
          <cell r="E269">
            <v>244.97</v>
          </cell>
          <cell r="F269">
            <v>24.497000000000043</v>
          </cell>
          <cell r="G269" t="str">
            <v xml:space="preserve">    3030REPU</v>
          </cell>
          <cell r="H269" t="str">
            <v>HE</v>
          </cell>
        </row>
        <row r="270">
          <cell r="A270">
            <v>6001238127</v>
          </cell>
          <cell r="B270" t="str">
            <v>SENSOR DE VOLUMEN</v>
          </cell>
          <cell r="C270">
            <v>1075.6437120000001</v>
          </cell>
          <cell r="D270">
            <v>127.688</v>
          </cell>
          <cell r="E270">
            <v>116.08</v>
          </cell>
          <cell r="F270">
            <v>11.608000000000004</v>
          </cell>
          <cell r="G270" t="str">
            <v xml:space="preserve">    3030REPU</v>
          </cell>
          <cell r="H270" t="str">
            <v>HE</v>
          </cell>
        </row>
        <row r="271">
          <cell r="A271">
            <v>6001238128</v>
          </cell>
          <cell r="B271" t="str">
            <v>CONECTOR</v>
          </cell>
          <cell r="C271">
            <v>234.995904</v>
          </cell>
          <cell r="D271">
            <v>27.896000000000001</v>
          </cell>
          <cell r="E271">
            <v>25.36</v>
          </cell>
          <cell r="F271">
            <v>2.5360000000000014</v>
          </cell>
          <cell r="G271" t="str">
            <v xml:space="preserve">    3030REPU</v>
          </cell>
          <cell r="H271" t="str">
            <v>HE</v>
          </cell>
        </row>
        <row r="272">
          <cell r="A272">
            <v>6001238129</v>
          </cell>
          <cell r="B272" t="str">
            <v>VOLUME SENSOR EXHAUST</v>
          </cell>
          <cell r="C272">
            <v>297.72943199999997</v>
          </cell>
          <cell r="D272">
            <v>35.343000000000004</v>
          </cell>
          <cell r="E272">
            <v>32.130000000000003</v>
          </cell>
          <cell r="F272">
            <v>3.213000000000001</v>
          </cell>
          <cell r="G272" t="str">
            <v xml:space="preserve">    3030REPU</v>
          </cell>
          <cell r="H272" t="str">
            <v>HE</v>
          </cell>
        </row>
        <row r="273">
          <cell r="A273">
            <v>6001238132</v>
          </cell>
          <cell r="B273" t="str">
            <v>PCB,PC 19 VF CONTROL</v>
          </cell>
          <cell r="C273">
            <v>1944.739368</v>
          </cell>
          <cell r="D273">
            <v>230.85700000000003</v>
          </cell>
          <cell r="E273">
            <v>209.87</v>
          </cell>
          <cell r="F273">
            <v>20.987000000000023</v>
          </cell>
          <cell r="G273" t="str">
            <v xml:space="preserve">    3030REPU</v>
          </cell>
          <cell r="H273" t="str">
            <v>HE</v>
          </cell>
        </row>
        <row r="274">
          <cell r="A274">
            <v>6001238133</v>
          </cell>
          <cell r="B274" t="str">
            <v>SYSTEM 4 SERVICE BOARD</v>
          </cell>
          <cell r="C274">
            <v>1967.2567199999999</v>
          </cell>
          <cell r="D274">
            <v>233.53</v>
          </cell>
          <cell r="E274">
            <v>212.3</v>
          </cell>
          <cell r="F274">
            <v>21.23</v>
          </cell>
          <cell r="G274" t="str">
            <v xml:space="preserve">    3030REPU</v>
          </cell>
          <cell r="H274" t="str">
            <v>HE</v>
          </cell>
        </row>
        <row r="275">
          <cell r="A275">
            <v>6001238134</v>
          </cell>
          <cell r="B275" t="str">
            <v>TARJETA PC18 SYS 4</v>
          </cell>
          <cell r="C275">
            <v>2752.6767839999998</v>
          </cell>
          <cell r="D275">
            <v>326.76600000000002</v>
          </cell>
          <cell r="E275">
            <v>297.06</v>
          </cell>
          <cell r="F275">
            <v>29.706000000000017</v>
          </cell>
          <cell r="G275" t="str">
            <v xml:space="preserve">    3030REPU</v>
          </cell>
          <cell r="H275" t="str">
            <v>HE</v>
          </cell>
        </row>
        <row r="276">
          <cell r="A276">
            <v>6001238135</v>
          </cell>
          <cell r="B276" t="str">
            <v>TARJETAIB01A/02A</v>
          </cell>
          <cell r="C276">
            <v>991.96812</v>
          </cell>
          <cell r="D276">
            <v>117.755</v>
          </cell>
          <cell r="E276">
            <v>107.05</v>
          </cell>
          <cell r="F276">
            <v>10.705</v>
          </cell>
          <cell r="G276" t="str">
            <v xml:space="preserve">    3030PTGT</v>
          </cell>
          <cell r="H276" t="str">
            <v>HE</v>
          </cell>
        </row>
        <row r="277">
          <cell r="A277">
            <v>6001238137</v>
          </cell>
          <cell r="B277" t="str">
            <v>MANGUERA CON FILTRO</v>
          </cell>
          <cell r="C277">
            <v>27.428544000000002</v>
          </cell>
          <cell r="D277">
            <v>3.2560000000000002</v>
          </cell>
          <cell r="E277">
            <v>2.96</v>
          </cell>
          <cell r="F277">
            <v>0.29600000000000026</v>
          </cell>
          <cell r="G277" t="str">
            <v xml:space="preserve">    3030REPU</v>
          </cell>
          <cell r="H277" t="str">
            <v>HE</v>
          </cell>
        </row>
        <row r="278">
          <cell r="A278">
            <v>6001238138</v>
          </cell>
          <cell r="B278" t="str">
            <v>MANGUERA</v>
          </cell>
          <cell r="C278">
            <v>23.721983999999999</v>
          </cell>
          <cell r="D278">
            <v>2.8160000000000003</v>
          </cell>
          <cell r="E278">
            <v>2.56</v>
          </cell>
          <cell r="F278">
            <v>0.25600000000000023</v>
          </cell>
          <cell r="G278" t="str">
            <v xml:space="preserve">    3030REPU</v>
          </cell>
          <cell r="H278" t="str">
            <v>HE</v>
          </cell>
        </row>
        <row r="279">
          <cell r="A279">
            <v>6001238139</v>
          </cell>
          <cell r="B279" t="str">
            <v>SENSOR CABLE REPUESTO MAQ 1550</v>
          </cell>
          <cell r="C279">
            <v>290.68696800000004</v>
          </cell>
          <cell r="D279">
            <v>34.507000000000005</v>
          </cell>
          <cell r="E279">
            <v>31.37</v>
          </cell>
          <cell r="F279">
            <v>3.137000000000004</v>
          </cell>
          <cell r="G279" t="str">
            <v xml:space="preserve">    3030REPU</v>
          </cell>
          <cell r="H279" t="str">
            <v>HE</v>
          </cell>
        </row>
        <row r="280">
          <cell r="A280">
            <v>6001238141</v>
          </cell>
          <cell r="B280" t="str">
            <v>MANGUERAS CON CONECTORES</v>
          </cell>
          <cell r="C280">
            <v>19.274111999999999</v>
          </cell>
          <cell r="D280">
            <v>2.2880000000000003</v>
          </cell>
          <cell r="E280">
            <v>2.08</v>
          </cell>
          <cell r="F280">
            <v>0.20800000000000018</v>
          </cell>
          <cell r="G280" t="str">
            <v xml:space="preserve">    3030REPU</v>
          </cell>
          <cell r="H280" t="str">
            <v>HE</v>
          </cell>
        </row>
        <row r="281">
          <cell r="A281">
            <v>6001238146</v>
          </cell>
          <cell r="B281" t="str">
            <v>FLOW THRU DIAL</v>
          </cell>
          <cell r="C281">
            <v>505.38945600000005</v>
          </cell>
          <cell r="D281">
            <v>59.994000000000007</v>
          </cell>
          <cell r="E281">
            <v>54.54</v>
          </cell>
          <cell r="F281">
            <v>5.4540000000000077</v>
          </cell>
          <cell r="G281" t="str">
            <v xml:space="preserve">    3030REPU</v>
          </cell>
          <cell r="H281" t="str">
            <v>HE</v>
          </cell>
        </row>
        <row r="282">
          <cell r="A282">
            <v>6001238147</v>
          </cell>
          <cell r="B282" t="str">
            <v>TARJETA IB17 SYS 4.1</v>
          </cell>
          <cell r="C282">
            <v>1721.5117919999998</v>
          </cell>
          <cell r="D282">
            <v>204.358</v>
          </cell>
          <cell r="E282">
            <v>185.78</v>
          </cell>
          <cell r="F282">
            <v>18.578000000000003</v>
          </cell>
          <cell r="G282" t="str">
            <v xml:space="preserve">    3030REPU</v>
          </cell>
          <cell r="H282" t="str">
            <v>HE</v>
          </cell>
        </row>
        <row r="283">
          <cell r="A283">
            <v>6001238148</v>
          </cell>
          <cell r="B283" t="str">
            <v>PCR/PC18 CONTROL CPU</v>
          </cell>
          <cell r="C283">
            <v>2385.2640240000001</v>
          </cell>
          <cell r="D283">
            <v>283.15100000000007</v>
          </cell>
          <cell r="E283">
            <v>257.41000000000003</v>
          </cell>
          <cell r="F283">
            <v>25.741000000000042</v>
          </cell>
          <cell r="G283" t="str">
            <v xml:space="preserve">    3030REPU</v>
          </cell>
          <cell r="H283" t="str">
            <v>HE</v>
          </cell>
        </row>
        <row r="284">
          <cell r="A284">
            <v>6001238149</v>
          </cell>
          <cell r="B284" t="str">
            <v>PCB PC19 UF CONTROL</v>
          </cell>
          <cell r="C284">
            <v>1645.990632</v>
          </cell>
          <cell r="D284">
            <v>195.393</v>
          </cell>
          <cell r="E284">
            <v>177.63</v>
          </cell>
          <cell r="F284">
            <v>17.763000000000005</v>
          </cell>
          <cell r="G284" t="str">
            <v xml:space="preserve">    3030REPU</v>
          </cell>
          <cell r="H284" t="str">
            <v>HE</v>
          </cell>
        </row>
        <row r="285">
          <cell r="A285">
            <v>6001238150</v>
          </cell>
          <cell r="B285" t="str">
            <v>KIT 1550 YEARLY MAINT</v>
          </cell>
          <cell r="C285">
            <v>448.67908799999998</v>
          </cell>
          <cell r="D285">
            <v>53.262000000000008</v>
          </cell>
          <cell r="E285">
            <v>48.42</v>
          </cell>
          <cell r="F285">
            <v>4.8420000000000059</v>
          </cell>
          <cell r="G285" t="str">
            <v xml:space="preserve">    3030REPU</v>
          </cell>
          <cell r="H285" t="str">
            <v>HE</v>
          </cell>
        </row>
        <row r="286">
          <cell r="A286">
            <v>6001238151</v>
          </cell>
          <cell r="B286" t="str">
            <v>PRO PUMP REBULD KIT</v>
          </cell>
          <cell r="C286">
            <v>276.69470400000006</v>
          </cell>
          <cell r="D286">
            <v>32.846000000000004</v>
          </cell>
          <cell r="E286">
            <v>29.86</v>
          </cell>
          <cell r="F286">
            <v>2.9860000000000042</v>
          </cell>
          <cell r="G286" t="str">
            <v xml:space="preserve">    3030REPU</v>
          </cell>
          <cell r="H286" t="str">
            <v>HE</v>
          </cell>
        </row>
        <row r="287">
          <cell r="A287">
            <v>6001238152</v>
          </cell>
          <cell r="B287" t="str">
            <v>CAP SUCT TUBE ASSY</v>
          </cell>
          <cell r="C287">
            <v>434.13084000000003</v>
          </cell>
          <cell r="D287">
            <v>51.534999999999997</v>
          </cell>
          <cell r="E287">
            <v>46.85</v>
          </cell>
          <cell r="F287">
            <v>4.6849999999999996</v>
          </cell>
          <cell r="G287" t="str">
            <v xml:space="preserve">    3030REPU</v>
          </cell>
          <cell r="H287" t="str">
            <v>HE</v>
          </cell>
        </row>
        <row r="288">
          <cell r="A288">
            <v>6001238153</v>
          </cell>
          <cell r="B288" t="str">
            <v>LG cap&amp; Tube Assy-Acid</v>
          </cell>
          <cell r="C288">
            <v>414.39340800000002</v>
          </cell>
          <cell r="D288">
            <v>49.192</v>
          </cell>
          <cell r="E288">
            <v>44.72</v>
          </cell>
          <cell r="F288">
            <v>4.4720000000000013</v>
          </cell>
          <cell r="G288" t="str">
            <v xml:space="preserve">    3030REPU</v>
          </cell>
          <cell r="H288" t="str">
            <v>HE</v>
          </cell>
        </row>
        <row r="289">
          <cell r="A289">
            <v>6001238157</v>
          </cell>
          <cell r="B289" t="str">
            <v>MENBRANE SWITCH PANEL</v>
          </cell>
          <cell r="C289">
            <v>890.68636800000002</v>
          </cell>
          <cell r="D289">
            <v>105.73200000000001</v>
          </cell>
          <cell r="E289">
            <v>96.12</v>
          </cell>
          <cell r="F289">
            <v>9.612000000000009</v>
          </cell>
          <cell r="G289" t="str">
            <v xml:space="preserve">    3030REPU</v>
          </cell>
          <cell r="H289" t="str">
            <v>HE</v>
          </cell>
        </row>
        <row r="290">
          <cell r="A290">
            <v>6001238165</v>
          </cell>
          <cell r="B290" t="str">
            <v>POWER SUPPLY, CALIBRATED</v>
          </cell>
          <cell r="C290">
            <v>865.48176000000012</v>
          </cell>
          <cell r="D290">
            <v>102.74</v>
          </cell>
          <cell r="E290">
            <v>93.4</v>
          </cell>
          <cell r="F290">
            <v>9.34</v>
          </cell>
          <cell r="G290" t="str">
            <v xml:space="preserve">    3030REPU</v>
          </cell>
          <cell r="H290" t="str">
            <v>HE</v>
          </cell>
        </row>
        <row r="291">
          <cell r="A291">
            <v>6001238166</v>
          </cell>
          <cell r="B291" t="str">
            <v>KIT 1550 RLO CTRL</v>
          </cell>
          <cell r="C291">
            <v>242.03836800000002</v>
          </cell>
          <cell r="D291">
            <v>28.732000000000003</v>
          </cell>
          <cell r="E291">
            <v>26.12</v>
          </cell>
          <cell r="F291">
            <v>2.6120000000000019</v>
          </cell>
          <cell r="G291" t="str">
            <v xml:space="preserve">    3030REPU</v>
          </cell>
          <cell r="H291" t="str">
            <v>HE</v>
          </cell>
        </row>
        <row r="292">
          <cell r="A292">
            <v>6001238168</v>
          </cell>
          <cell r="B292" t="str">
            <v>PROPORTIONING PUMP HEAD</v>
          </cell>
          <cell r="C292">
            <v>1563.1490160000001</v>
          </cell>
          <cell r="D292">
            <v>185.55900000000003</v>
          </cell>
          <cell r="E292">
            <v>168.69</v>
          </cell>
          <cell r="F292">
            <v>16.869000000000028</v>
          </cell>
          <cell r="G292" t="str">
            <v xml:space="preserve">    3030REPU</v>
          </cell>
          <cell r="H292" t="str">
            <v>HE</v>
          </cell>
        </row>
        <row r="293">
          <cell r="A293">
            <v>6001238174</v>
          </cell>
          <cell r="B293" t="str">
            <v>KIT PROPORTIONER REBUILD DRIVE</v>
          </cell>
          <cell r="C293">
            <v>920.52417600000001</v>
          </cell>
          <cell r="D293">
            <v>109.27400000000002</v>
          </cell>
          <cell r="E293">
            <v>99.34</v>
          </cell>
          <cell r="F293">
            <v>9.9340000000000117</v>
          </cell>
          <cell r="G293" t="str">
            <v xml:space="preserve">    3030REPU</v>
          </cell>
          <cell r="H293" t="str">
            <v>HE</v>
          </cell>
        </row>
        <row r="294">
          <cell r="A294">
            <v>6001238177</v>
          </cell>
          <cell r="B294" t="str">
            <v>KIT, VOLUME SENSOR ROTOR / JET</v>
          </cell>
          <cell r="C294">
            <v>219.98433599999998</v>
          </cell>
          <cell r="D294">
            <v>26.114000000000001</v>
          </cell>
          <cell r="E294">
            <v>23.74</v>
          </cell>
          <cell r="F294">
            <v>2.3740000000000023</v>
          </cell>
          <cell r="G294" t="str">
            <v xml:space="preserve">    3030REPU</v>
          </cell>
          <cell r="H294" t="str">
            <v>HE</v>
          </cell>
        </row>
        <row r="295">
          <cell r="A295">
            <v>6001238215</v>
          </cell>
          <cell r="B295" t="str">
            <v>PRINTED CIRCUIT BOARD IB21</v>
          </cell>
          <cell r="C295">
            <v>1977.2644320000002</v>
          </cell>
          <cell r="D295">
            <v>234.71800000000002</v>
          </cell>
          <cell r="E295">
            <v>213.38</v>
          </cell>
          <cell r="F295">
            <v>21.338000000000022</v>
          </cell>
          <cell r="G295" t="str">
            <v xml:space="preserve">    3030REPU</v>
          </cell>
          <cell r="H295" t="str">
            <v>HE</v>
          </cell>
        </row>
        <row r="296">
          <cell r="A296">
            <v>6001238278</v>
          </cell>
          <cell r="B296" t="str">
            <v>MULTI PORT ASSY</v>
          </cell>
          <cell r="C296">
            <v>461.74471200000005</v>
          </cell>
          <cell r="D296">
            <v>54.813000000000002</v>
          </cell>
          <cell r="E296">
            <v>49.83</v>
          </cell>
          <cell r="F296">
            <v>4.9830000000000041</v>
          </cell>
          <cell r="G296" t="str">
            <v xml:space="preserve">    3030REPU</v>
          </cell>
          <cell r="H296" t="str">
            <v>HE</v>
          </cell>
        </row>
        <row r="297">
          <cell r="A297">
            <v>6001238436</v>
          </cell>
          <cell r="B297" t="str">
            <v>FOAM DET PC &amp; CABLE</v>
          </cell>
          <cell r="C297">
            <v>203.30481600000005</v>
          </cell>
          <cell r="D297">
            <v>24.134000000000004</v>
          </cell>
          <cell r="E297">
            <v>21.94</v>
          </cell>
          <cell r="F297">
            <v>2.1940000000000026</v>
          </cell>
          <cell r="G297" t="str">
            <v xml:space="preserve">    3030REPU</v>
          </cell>
          <cell r="H297" t="str">
            <v>HE</v>
          </cell>
        </row>
        <row r="298">
          <cell r="A298">
            <v>6001238486</v>
          </cell>
          <cell r="B298" t="str">
            <v>ASSY SODIUM BUTTON KNOB</v>
          </cell>
          <cell r="C298">
            <v>141.96124799999998</v>
          </cell>
          <cell r="D298">
            <v>16.852</v>
          </cell>
          <cell r="E298">
            <v>15.32</v>
          </cell>
          <cell r="F298">
            <v>1.532</v>
          </cell>
          <cell r="G298" t="str">
            <v xml:space="preserve">    3030REPU</v>
          </cell>
          <cell r="H298" t="str">
            <v>HE</v>
          </cell>
        </row>
        <row r="299">
          <cell r="A299">
            <v>6001238616</v>
          </cell>
          <cell r="B299" t="str">
            <v>KIT 1550 SYS 4-1B SOFTWARE</v>
          </cell>
          <cell r="C299">
            <v>151.690968</v>
          </cell>
          <cell r="D299">
            <v>18.007000000000001</v>
          </cell>
          <cell r="E299">
            <v>16.37</v>
          </cell>
          <cell r="F299">
            <v>1.6370000000000005</v>
          </cell>
          <cell r="G299" t="str">
            <v xml:space="preserve">    3030PTGT</v>
          </cell>
          <cell r="H299" t="str">
            <v>HE</v>
          </cell>
        </row>
        <row r="300">
          <cell r="A300">
            <v>6001260001</v>
          </cell>
          <cell r="B300" t="str">
            <v>MAINT KIT 3-MONTH</v>
          </cell>
          <cell r="C300">
            <v>424.58644799999996</v>
          </cell>
          <cell r="D300">
            <v>50.402000000000001</v>
          </cell>
          <cell r="E300">
            <v>45.82</v>
          </cell>
          <cell r="F300">
            <v>4.5820000000000007</v>
          </cell>
          <cell r="G300" t="str">
            <v xml:space="preserve">    3030REPU</v>
          </cell>
          <cell r="H300" t="str">
            <v>HE</v>
          </cell>
        </row>
        <row r="301">
          <cell r="A301">
            <v>6001260002</v>
          </cell>
          <cell r="B301" t="str">
            <v>Kit de Silicone oil</v>
          </cell>
          <cell r="C301">
            <v>346.47069600000003</v>
          </cell>
          <cell r="D301">
            <v>41.129000000000005</v>
          </cell>
          <cell r="E301">
            <v>37.39</v>
          </cell>
          <cell r="F301">
            <v>3.7390000000000043</v>
          </cell>
          <cell r="G301" t="str">
            <v xml:space="preserve">    3030REPU</v>
          </cell>
          <cell r="H301" t="str">
            <v>HE</v>
          </cell>
        </row>
        <row r="302">
          <cell r="A302">
            <v>6001260036</v>
          </cell>
          <cell r="B302" t="str">
            <v>TEXTURED MEMBRANE GASKET HOMEC</v>
          </cell>
          <cell r="C302">
            <v>462.67135200000001</v>
          </cell>
          <cell r="D302">
            <v>54.923000000000002</v>
          </cell>
          <cell r="E302">
            <v>49.93</v>
          </cell>
          <cell r="F302">
            <v>4.9930000000000021</v>
          </cell>
          <cell r="G302" t="str">
            <v xml:space="preserve">    3030REPU</v>
          </cell>
          <cell r="H302" t="str">
            <v>HE</v>
          </cell>
        </row>
        <row r="303">
          <cell r="A303">
            <v>6001260224</v>
          </cell>
          <cell r="B303" t="str">
            <v>Pump 115V</v>
          </cell>
          <cell r="C303">
            <v>1171.2729600000002</v>
          </cell>
          <cell r="D303">
            <v>139.04</v>
          </cell>
          <cell r="E303">
            <v>126.4</v>
          </cell>
          <cell r="F303">
            <v>12.64</v>
          </cell>
          <cell r="G303" t="str">
            <v xml:space="preserve">    3030REPU</v>
          </cell>
          <cell r="H303" t="str">
            <v>HE</v>
          </cell>
        </row>
        <row r="304">
          <cell r="A304">
            <v>6001260276</v>
          </cell>
          <cell r="B304" t="str">
            <v>Kit, Small Nylon Bladder</v>
          </cell>
          <cell r="C304">
            <v>75.604557599999993</v>
          </cell>
          <cell r="D304">
            <v>8.9749000000000017</v>
          </cell>
          <cell r="E304">
            <v>8.1590000000000007</v>
          </cell>
          <cell r="F304">
            <v>0.81590000000000096</v>
          </cell>
          <cell r="G304" t="str">
            <v xml:space="preserve">    3030REPU</v>
          </cell>
          <cell r="H304" t="str">
            <v>HE</v>
          </cell>
        </row>
        <row r="305">
          <cell r="A305">
            <v>6001260278</v>
          </cell>
          <cell r="B305" t="str">
            <v>Kit, Large Nylon Bladder</v>
          </cell>
          <cell r="C305">
            <v>78.236215200000004</v>
          </cell>
          <cell r="D305">
            <v>9.2873000000000001</v>
          </cell>
          <cell r="E305">
            <v>8.4429999999999996</v>
          </cell>
          <cell r="F305">
            <v>0.84430000000000049</v>
          </cell>
          <cell r="G305" t="str">
            <v xml:space="preserve">    3030REPU</v>
          </cell>
          <cell r="H305" t="str">
            <v>HE</v>
          </cell>
        </row>
        <row r="306">
          <cell r="A306">
            <v>6001260368</v>
          </cell>
          <cell r="B306" t="str">
            <v>V8.60 EPROM DIGITAL SFT UPG</v>
          </cell>
          <cell r="C306">
            <v>370.48920480000004</v>
          </cell>
          <cell r="D306">
            <v>43.980200000000004</v>
          </cell>
          <cell r="E306">
            <v>39.981999999999999</v>
          </cell>
          <cell r="F306">
            <v>3.9982000000000042</v>
          </cell>
          <cell r="G306" t="str">
            <v xml:space="preserve">    3030REPU</v>
          </cell>
          <cell r="H306" t="str">
            <v>HE</v>
          </cell>
        </row>
        <row r="307">
          <cell r="A307">
            <v>6001260371</v>
          </cell>
          <cell r="B307" t="str">
            <v>EPROM DIGITAL SOFTWARE</v>
          </cell>
          <cell r="C307">
            <v>369.26604000000003</v>
          </cell>
          <cell r="D307">
            <v>43.835000000000001</v>
          </cell>
          <cell r="E307">
            <v>39.85</v>
          </cell>
          <cell r="F307">
            <v>3.9850000000000065</v>
          </cell>
          <cell r="G307" t="str">
            <v xml:space="preserve">    3030REPU</v>
          </cell>
          <cell r="H307" t="str">
            <v>HE</v>
          </cell>
        </row>
        <row r="308">
          <cell r="A308">
            <v>6001266264</v>
          </cell>
          <cell r="B308" t="str">
            <v>PCB A7 POWER SUPPLY INTERCONN</v>
          </cell>
          <cell r="C308">
            <v>1183.967928</v>
          </cell>
          <cell r="D308">
            <v>140.547</v>
          </cell>
          <cell r="E308">
            <v>127.77</v>
          </cell>
          <cell r="F308">
            <v>12.777000000000001</v>
          </cell>
          <cell r="G308" t="str">
            <v xml:space="preserve">    3030PTGT</v>
          </cell>
          <cell r="H308" t="str">
            <v>HE</v>
          </cell>
        </row>
        <row r="309">
          <cell r="A309">
            <v>6001266272</v>
          </cell>
          <cell r="B309" t="str">
            <v>FLOW CONTROLLER ASSY</v>
          </cell>
          <cell r="C309">
            <v>2229.8664960000001</v>
          </cell>
          <cell r="D309">
            <v>264.70400000000001</v>
          </cell>
          <cell r="E309">
            <v>240.64</v>
          </cell>
          <cell r="F309">
            <v>24.064000000000021</v>
          </cell>
          <cell r="G309" t="str">
            <v xml:space="preserve">    3030PTGT</v>
          </cell>
          <cell r="H309" t="str">
            <v>HE</v>
          </cell>
        </row>
        <row r="310">
          <cell r="A310">
            <v>6001266276</v>
          </cell>
          <cell r="B310" t="str">
            <v>TMP MOTOR &amp; REGULATOR ASSY</v>
          </cell>
          <cell r="C310">
            <v>1277.2805760000001</v>
          </cell>
          <cell r="D310">
            <v>151.62400000000002</v>
          </cell>
          <cell r="E310">
            <v>137.84</v>
          </cell>
          <cell r="F310">
            <v>13.78400000000002</v>
          </cell>
          <cell r="G310" t="str">
            <v xml:space="preserve">    3030PTGT</v>
          </cell>
          <cell r="H310" t="str">
            <v>HE</v>
          </cell>
        </row>
        <row r="311">
          <cell r="A311">
            <v>6001266291</v>
          </cell>
          <cell r="B311" t="str">
            <v>CLAMP VENUS</v>
          </cell>
          <cell r="C311">
            <v>2298.3451920000007</v>
          </cell>
          <cell r="D311">
            <v>272.83300000000003</v>
          </cell>
          <cell r="E311">
            <v>248.03</v>
          </cell>
          <cell r="F311">
            <v>24.803000000000026</v>
          </cell>
          <cell r="G311" t="str">
            <v xml:space="preserve">    3030PTGT</v>
          </cell>
          <cell r="H311" t="str">
            <v>HE</v>
          </cell>
        </row>
        <row r="312">
          <cell r="A312">
            <v>6001266309</v>
          </cell>
          <cell r="B312" t="str">
            <v>PUMP PNEUMATIC</v>
          </cell>
          <cell r="C312">
            <v>575.62876800000004</v>
          </cell>
          <cell r="D312">
            <v>68.332000000000008</v>
          </cell>
          <cell r="E312">
            <v>62.12</v>
          </cell>
          <cell r="F312">
            <v>6.2120000000000104</v>
          </cell>
          <cell r="G312" t="str">
            <v xml:space="preserve">    3030PTGT</v>
          </cell>
          <cell r="H312" t="str">
            <v>HE</v>
          </cell>
        </row>
        <row r="313">
          <cell r="A313">
            <v>6001266318</v>
          </cell>
          <cell r="B313" t="str">
            <v>VALVE ISOLATION</v>
          </cell>
          <cell r="C313">
            <v>1113.8212800000003</v>
          </cell>
          <cell r="D313">
            <v>132.22</v>
          </cell>
          <cell r="E313">
            <v>120.2</v>
          </cell>
          <cell r="F313">
            <v>12.02</v>
          </cell>
          <cell r="G313" t="str">
            <v xml:space="preserve">    3030PTGT</v>
          </cell>
          <cell r="H313" t="str">
            <v>HE</v>
          </cell>
        </row>
        <row r="314">
          <cell r="A314">
            <v>6001266319</v>
          </cell>
          <cell r="B314" t="str">
            <v>VALVE DISINFECT @ INLET</v>
          </cell>
          <cell r="C314">
            <v>1254.8558879999998</v>
          </cell>
          <cell r="D314">
            <v>148.96199999999999</v>
          </cell>
          <cell r="E314">
            <v>135.41999999999999</v>
          </cell>
          <cell r="F314">
            <v>13.542000000000002</v>
          </cell>
          <cell r="G314" t="str">
            <v xml:space="preserve">    3030PTGT</v>
          </cell>
          <cell r="H314" t="str">
            <v>HE</v>
          </cell>
        </row>
        <row r="315">
          <cell r="A315">
            <v>6001266334</v>
          </cell>
          <cell r="B315" t="str">
            <v>MULTIPORT ASSY</v>
          </cell>
          <cell r="C315">
            <v>467.48987999999997</v>
          </cell>
          <cell r="D315">
            <v>55.494999999999997</v>
          </cell>
          <cell r="E315">
            <v>50.45</v>
          </cell>
          <cell r="F315">
            <v>5.0449999999999999</v>
          </cell>
          <cell r="G315" t="str">
            <v xml:space="preserve">    3030PTGT</v>
          </cell>
          <cell r="H315" t="str">
            <v>HE</v>
          </cell>
        </row>
        <row r="316">
          <cell r="A316">
            <v>6001266353</v>
          </cell>
          <cell r="B316" t="str">
            <v>BLOOD PUMP COVER</v>
          </cell>
          <cell r="C316">
            <v>103.59835200000001</v>
          </cell>
          <cell r="D316">
            <v>12.298</v>
          </cell>
          <cell r="E316">
            <v>11.18</v>
          </cell>
          <cell r="F316">
            <v>1.1180000000000003</v>
          </cell>
          <cell r="G316" t="str">
            <v xml:space="preserve">    3030PTGT</v>
          </cell>
          <cell r="H316" t="str">
            <v>HE</v>
          </cell>
        </row>
        <row r="317">
          <cell r="A317">
            <v>6001266359</v>
          </cell>
          <cell r="B317" t="str">
            <v>MALE ACID CONNECTOR</v>
          </cell>
          <cell r="C317">
            <v>111.47479199999999</v>
          </cell>
          <cell r="D317">
            <v>13.233000000000001</v>
          </cell>
          <cell r="E317">
            <v>12.03</v>
          </cell>
          <cell r="F317">
            <v>1.2030000000000012</v>
          </cell>
          <cell r="G317" t="str">
            <v xml:space="preserve">    3030PTGT</v>
          </cell>
          <cell r="H317" t="str">
            <v>HE</v>
          </cell>
        </row>
        <row r="318">
          <cell r="A318">
            <v>6001266360</v>
          </cell>
          <cell r="B318" t="str">
            <v>MALE BICARB CONNECTOR</v>
          </cell>
          <cell r="C318">
            <v>118.14659999999999</v>
          </cell>
          <cell r="D318">
            <v>14.025</v>
          </cell>
          <cell r="E318">
            <v>12.75</v>
          </cell>
          <cell r="F318">
            <v>1.2749999999999999</v>
          </cell>
          <cell r="G318" t="str">
            <v xml:space="preserve">    3030PTGT</v>
          </cell>
          <cell r="H318" t="str">
            <v>HE</v>
          </cell>
        </row>
        <row r="319">
          <cell r="A319">
            <v>6001266363</v>
          </cell>
          <cell r="B319" t="str">
            <v>VOLUME SENSOR ASSY</v>
          </cell>
          <cell r="C319">
            <v>1785.0792960000001</v>
          </cell>
          <cell r="D319">
            <v>211.904</v>
          </cell>
          <cell r="E319">
            <v>192.64</v>
          </cell>
          <cell r="F319">
            <v>19.26400000000001</v>
          </cell>
          <cell r="G319" t="str">
            <v xml:space="preserve">    3030PTGT</v>
          </cell>
          <cell r="H319" t="str">
            <v>HE</v>
          </cell>
        </row>
        <row r="320">
          <cell r="A320">
            <v>6001266368</v>
          </cell>
          <cell r="B320" t="str">
            <v>PUM 2 LITER (INCLUDES MOTOR)</v>
          </cell>
          <cell r="C320">
            <v>2694.0204720000002</v>
          </cell>
          <cell r="D320">
            <v>319.80300000000005</v>
          </cell>
          <cell r="E320">
            <v>290.73</v>
          </cell>
          <cell r="F320">
            <v>29.073000000000036</v>
          </cell>
          <cell r="G320" t="str">
            <v xml:space="preserve">    3030PTGT</v>
          </cell>
          <cell r="H320" t="str">
            <v>HE</v>
          </cell>
        </row>
        <row r="321">
          <cell r="A321">
            <v>6001266382</v>
          </cell>
          <cell r="B321" t="str">
            <v>BLOOD LEAK DETECTOR LED END</v>
          </cell>
          <cell r="C321">
            <v>419.39726400000001</v>
          </cell>
          <cell r="D321">
            <v>49.786000000000001</v>
          </cell>
          <cell r="E321">
            <v>45.26</v>
          </cell>
          <cell r="F321">
            <v>4.5260000000000034</v>
          </cell>
          <cell r="G321" t="str">
            <v xml:space="preserve">    3030PTGT</v>
          </cell>
          <cell r="H321" t="str">
            <v>HE</v>
          </cell>
        </row>
        <row r="322">
          <cell r="A322">
            <v>6001266383</v>
          </cell>
          <cell r="B322" t="str">
            <v>BLOOD LEAK DETECTOR PHOTO-DIOD</v>
          </cell>
          <cell r="C322">
            <v>468.509184</v>
          </cell>
          <cell r="D322">
            <v>55.616000000000007</v>
          </cell>
          <cell r="E322">
            <v>50.56</v>
          </cell>
          <cell r="F322">
            <v>5.0560000000000045</v>
          </cell>
          <cell r="G322" t="str">
            <v xml:space="preserve">    3030PTGT</v>
          </cell>
          <cell r="H322" t="str">
            <v>HE</v>
          </cell>
        </row>
        <row r="323">
          <cell r="A323">
            <v>6001266423</v>
          </cell>
          <cell r="B323" t="str">
            <v>PCB A14 PNEUMATICS (PNB)</v>
          </cell>
          <cell r="C323">
            <v>3210.0662880000004</v>
          </cell>
          <cell r="D323">
            <v>381.06200000000007</v>
          </cell>
          <cell r="E323">
            <v>346.42</v>
          </cell>
          <cell r="F323">
            <v>34.642000000000053</v>
          </cell>
          <cell r="G323" t="str">
            <v xml:space="preserve">    3030PTGT</v>
          </cell>
          <cell r="H323" t="str">
            <v>HE</v>
          </cell>
        </row>
        <row r="324">
          <cell r="A324">
            <v>6001266450</v>
          </cell>
          <cell r="B324" t="str">
            <v>VALVE DISINFECT VENT PINCH</v>
          </cell>
          <cell r="C324">
            <v>865.94508000000019</v>
          </cell>
          <cell r="D324">
            <v>102.795</v>
          </cell>
          <cell r="E324">
            <v>93.45</v>
          </cell>
          <cell r="F324">
            <v>9.3450000000000131</v>
          </cell>
          <cell r="G324" t="str">
            <v xml:space="preserve">    3030PTGT</v>
          </cell>
          <cell r="H324" t="str">
            <v>HE</v>
          </cell>
        </row>
        <row r="325">
          <cell r="A325">
            <v>6001266601</v>
          </cell>
          <cell r="B325" t="str">
            <v>DISPLAY 14" COLOR CRT MERIDIAN</v>
          </cell>
          <cell r="C325">
            <v>4595.4857519999996</v>
          </cell>
          <cell r="D325">
            <v>545.52300000000002</v>
          </cell>
          <cell r="E325">
            <v>495.93</v>
          </cell>
          <cell r="F325">
            <v>49.593000000000018</v>
          </cell>
          <cell r="G325" t="str">
            <v xml:space="preserve">    3030PTGT</v>
          </cell>
          <cell r="H325" t="str">
            <v>HE</v>
          </cell>
        </row>
        <row r="326">
          <cell r="A326">
            <v>6001266604</v>
          </cell>
          <cell r="B326" t="str">
            <v>A20 BPM BOARD MERIDIAN</v>
          </cell>
          <cell r="C326">
            <v>4503.6557280000006</v>
          </cell>
          <cell r="D326">
            <v>534.62200000000007</v>
          </cell>
          <cell r="E326">
            <v>486.02</v>
          </cell>
          <cell r="F326">
            <v>48.602000000000089</v>
          </cell>
          <cell r="G326" t="str">
            <v xml:space="preserve">    3030PTGT</v>
          </cell>
          <cell r="H326" t="str">
            <v>HE</v>
          </cell>
        </row>
        <row r="327">
          <cell r="A327">
            <v>6001266605</v>
          </cell>
          <cell r="B327" t="str">
            <v>BLOOD/SALINE-AIR DETECTOR</v>
          </cell>
          <cell r="C327">
            <v>3826.1892240000006</v>
          </cell>
          <cell r="D327">
            <v>454.20100000000008</v>
          </cell>
          <cell r="E327">
            <v>412.91</v>
          </cell>
          <cell r="F327">
            <v>41.291000000000054</v>
          </cell>
          <cell r="G327" t="str">
            <v xml:space="preserve">    3030PTGT</v>
          </cell>
          <cell r="H327" t="str">
            <v>HE</v>
          </cell>
        </row>
        <row r="328">
          <cell r="A328">
            <v>6001266607</v>
          </cell>
          <cell r="B328" t="str">
            <v>MEMBRANE PANEL HORIZONTAL</v>
          </cell>
          <cell r="C328">
            <v>476.57095199999998</v>
          </cell>
          <cell r="D328">
            <v>56.573000000000008</v>
          </cell>
          <cell r="E328">
            <v>51.43</v>
          </cell>
          <cell r="F328">
            <v>5.1430000000000078</v>
          </cell>
          <cell r="G328" t="str">
            <v xml:space="preserve">    3030PTGT</v>
          </cell>
          <cell r="H328" t="str">
            <v>HE</v>
          </cell>
        </row>
        <row r="329">
          <cell r="A329">
            <v>6001266608</v>
          </cell>
          <cell r="B329" t="str">
            <v>MEMBRANE PANEL VERTICAL</v>
          </cell>
          <cell r="C329">
            <v>305.97652800000014</v>
          </cell>
          <cell r="D329">
            <v>36.32200000000001</v>
          </cell>
          <cell r="E329">
            <v>33.020000000000003</v>
          </cell>
          <cell r="F329">
            <v>3.3020000000000067</v>
          </cell>
          <cell r="G329" t="str">
            <v xml:space="preserve">    3030PTGT</v>
          </cell>
          <cell r="H329" t="str">
            <v>HE</v>
          </cell>
        </row>
        <row r="330">
          <cell r="A330">
            <v>6001266609</v>
          </cell>
          <cell r="B330" t="str">
            <v>SWITCH ARTERIAL UP/DOWN</v>
          </cell>
          <cell r="C330">
            <v>132.88017600000001</v>
          </cell>
          <cell r="D330">
            <v>15.774000000000001</v>
          </cell>
          <cell r="E330">
            <v>14.34</v>
          </cell>
          <cell r="F330">
            <v>1.4340000000000011</v>
          </cell>
          <cell r="G330" t="str">
            <v xml:space="preserve">    3030PTGT</v>
          </cell>
          <cell r="H330" t="str">
            <v>HE</v>
          </cell>
        </row>
        <row r="331">
          <cell r="A331">
            <v>6001266610</v>
          </cell>
          <cell r="B331" t="str">
            <v>SWITCH VENOUS UP/DOWN</v>
          </cell>
          <cell r="C331">
            <v>141.03460799999999</v>
          </cell>
          <cell r="D331">
            <v>16.742000000000001</v>
          </cell>
          <cell r="E331">
            <v>15.22</v>
          </cell>
          <cell r="F331">
            <v>1.5220000000000002</v>
          </cell>
          <cell r="G331" t="str">
            <v xml:space="preserve">    3030PTGT</v>
          </cell>
          <cell r="H331" t="str">
            <v>HE</v>
          </cell>
        </row>
        <row r="332">
          <cell r="A332">
            <v>6001266611</v>
          </cell>
          <cell r="B332" t="str">
            <v>SWITCH HEPARIN UP/DOWN</v>
          </cell>
          <cell r="C332">
            <v>141.03460799999999</v>
          </cell>
          <cell r="D332">
            <v>16.742000000000001</v>
          </cell>
          <cell r="E332">
            <v>15.22</v>
          </cell>
          <cell r="F332">
            <v>1.5220000000000002</v>
          </cell>
          <cell r="G332" t="str">
            <v xml:space="preserve">    3030PTGT</v>
          </cell>
          <cell r="H332" t="str">
            <v>HE</v>
          </cell>
        </row>
        <row r="333">
          <cell r="A333">
            <v>6001266865</v>
          </cell>
          <cell r="B333" t="str">
            <v>SVC ASSY HUI (A5) W/A1 PIC</v>
          </cell>
          <cell r="C333">
            <v>7189.9850880000004</v>
          </cell>
          <cell r="D333">
            <v>853.51200000000006</v>
          </cell>
          <cell r="E333">
            <v>775.92</v>
          </cell>
          <cell r="F333">
            <v>77.592000000000098</v>
          </cell>
          <cell r="G333" t="str">
            <v xml:space="preserve">    3030PTGT</v>
          </cell>
          <cell r="H333" t="str">
            <v>HE</v>
          </cell>
        </row>
        <row r="334">
          <cell r="A334">
            <v>6001276025</v>
          </cell>
          <cell r="B334" t="str">
            <v>B MIX CHAMBER ASSY - SRVC</v>
          </cell>
          <cell r="C334">
            <v>1036.4468399999998</v>
          </cell>
          <cell r="D334">
            <v>123.035</v>
          </cell>
          <cell r="E334">
            <v>111.85</v>
          </cell>
          <cell r="F334">
            <v>11.185</v>
          </cell>
          <cell r="G334" t="str">
            <v xml:space="preserve">    3030REPU</v>
          </cell>
          <cell r="H334" t="str">
            <v>HE</v>
          </cell>
        </row>
        <row r="335">
          <cell r="A335">
            <v>6001276034</v>
          </cell>
          <cell r="B335" t="str">
            <v>BLOOD LEAK DETECTOR</v>
          </cell>
          <cell r="C335">
            <v>464.52463200000005</v>
          </cell>
          <cell r="D335">
            <v>55.143000000000008</v>
          </cell>
          <cell r="E335">
            <v>50.13</v>
          </cell>
          <cell r="F335">
            <v>5.0130000000000052</v>
          </cell>
          <cell r="G335" t="str">
            <v xml:space="preserve">    3030REPU</v>
          </cell>
          <cell r="H335" t="str">
            <v>HE</v>
          </cell>
        </row>
        <row r="336">
          <cell r="A336">
            <v>6001276061</v>
          </cell>
          <cell r="B336" t="str">
            <v>FUENTE DE ALIMENTACION</v>
          </cell>
          <cell r="C336">
            <v>927.93729600000006</v>
          </cell>
          <cell r="D336">
            <v>110.15400000000001</v>
          </cell>
          <cell r="E336">
            <v>100.14</v>
          </cell>
          <cell r="F336">
            <v>10.01400000000001</v>
          </cell>
          <cell r="G336" t="str">
            <v xml:space="preserve">    3030REPU</v>
          </cell>
          <cell r="H336" t="str">
            <v>HE</v>
          </cell>
        </row>
        <row r="337">
          <cell r="A337">
            <v>6001276083</v>
          </cell>
          <cell r="B337" t="str">
            <v>UF Proportioning Power PCB</v>
          </cell>
          <cell r="C337">
            <v>1526.0834160000002</v>
          </cell>
          <cell r="D337">
            <v>181.15900000000002</v>
          </cell>
          <cell r="E337">
            <v>164.69</v>
          </cell>
          <cell r="F337">
            <v>16.469000000000023</v>
          </cell>
          <cell r="G337" t="str">
            <v xml:space="preserve">    3030REPU</v>
          </cell>
          <cell r="H337" t="str">
            <v>HE</v>
          </cell>
        </row>
        <row r="338">
          <cell r="A338">
            <v>6001276094</v>
          </cell>
          <cell r="B338" t="str">
            <v>SRAM INIT CAL CRT H2 2F SPARE</v>
          </cell>
          <cell r="C338">
            <v>414.67140000000001</v>
          </cell>
          <cell r="D338">
            <v>49.225000000000001</v>
          </cell>
          <cell r="E338">
            <v>44.75</v>
          </cell>
          <cell r="F338">
            <v>4.4749999999999996</v>
          </cell>
          <cell r="G338" t="str">
            <v xml:space="preserve">    3030REPU</v>
          </cell>
          <cell r="H338" t="str">
            <v>HE</v>
          </cell>
        </row>
        <row r="339">
          <cell r="A339">
            <v>6001276098</v>
          </cell>
          <cell r="B339" t="str">
            <v>SRAM INIT CAL 4.8 SPARE</v>
          </cell>
          <cell r="C339">
            <v>247.87619999999998</v>
          </cell>
          <cell r="D339">
            <v>29.425000000000001</v>
          </cell>
          <cell r="E339">
            <v>26.75</v>
          </cell>
          <cell r="F339">
            <v>2.6749999999999998</v>
          </cell>
          <cell r="G339" t="str">
            <v xml:space="preserve">    3030REPU</v>
          </cell>
          <cell r="H339" t="str">
            <v>HE</v>
          </cell>
        </row>
        <row r="340">
          <cell r="A340">
            <v>6009415146</v>
          </cell>
          <cell r="B340" t="str">
            <v>POWER CORD</v>
          </cell>
          <cell r="C340">
            <v>32.449079519999998</v>
          </cell>
          <cell r="D340">
            <v>3.8519800000000002</v>
          </cell>
          <cell r="E340">
            <v>3.5017999999999998</v>
          </cell>
          <cell r="F340">
            <v>0.35018000000000038</v>
          </cell>
          <cell r="G340" t="str">
            <v xml:space="preserve">    3030REPU</v>
          </cell>
          <cell r="H340" t="str">
            <v>HE</v>
          </cell>
        </row>
        <row r="341">
          <cell r="A341">
            <v>8813816005</v>
          </cell>
          <cell r="B341" t="str">
            <v>CATETER MAHURKAR 11.05 FR X 13</v>
          </cell>
          <cell r="C341">
            <v>263.46312719999997</v>
          </cell>
          <cell r="D341">
            <v>30.685199999999998</v>
          </cell>
          <cell r="E341">
            <v>30.685199999999998</v>
          </cell>
          <cell r="F341">
            <v>0</v>
          </cell>
          <cell r="G341" t="str">
            <v xml:space="preserve">    3030PTGT</v>
          </cell>
          <cell r="H341" t="str">
            <v>HE</v>
          </cell>
        </row>
        <row r="342">
          <cell r="A342">
            <v>8813817005</v>
          </cell>
          <cell r="B342" t="str">
            <v>BANDEJA C/SONDA DOBLE LUMEN</v>
          </cell>
          <cell r="C342">
            <v>421.21284659999998</v>
          </cell>
          <cell r="D342">
            <v>49.058099999999996</v>
          </cell>
          <cell r="E342">
            <v>49.058099999999996</v>
          </cell>
          <cell r="F342">
            <v>0</v>
          </cell>
          <cell r="G342" t="str">
            <v xml:space="preserve">    3030PTGT</v>
          </cell>
          <cell r="H342" t="str">
            <v>HE</v>
          </cell>
        </row>
        <row r="343">
          <cell r="A343">
            <v>8817278007</v>
          </cell>
          <cell r="B343" t="str">
            <v>CATETER QUINTON CURL CATH</v>
          </cell>
          <cell r="C343">
            <v>641.46006</v>
          </cell>
          <cell r="D343">
            <v>74.709999999999994</v>
          </cell>
          <cell r="E343">
            <v>74.709999999999994</v>
          </cell>
          <cell r="F343">
            <v>0</v>
          </cell>
          <cell r="G343" t="str">
            <v xml:space="preserve">    3030PTGT</v>
          </cell>
          <cell r="H343" t="str">
            <v>HE</v>
          </cell>
        </row>
        <row r="344">
          <cell r="A344">
            <v>8832539001</v>
          </cell>
          <cell r="B344" t="str">
            <v>MAHURKAR KIT 8fr x 9 cms</v>
          </cell>
          <cell r="C344">
            <v>275.86818</v>
          </cell>
          <cell r="D344">
            <v>32.130000000000003</v>
          </cell>
          <cell r="E344">
            <v>32.130000000000003</v>
          </cell>
          <cell r="F344">
            <v>0</v>
          </cell>
          <cell r="G344" t="str">
            <v xml:space="preserve">    3030PTGT</v>
          </cell>
          <cell r="H344" t="str">
            <v>HE</v>
          </cell>
        </row>
        <row r="345">
          <cell r="A345">
            <v>8888411702</v>
          </cell>
          <cell r="B345" t="str">
            <v>CATETER ESPIRAL CA2</v>
          </cell>
          <cell r="C345">
            <v>585.9944999999999</v>
          </cell>
          <cell r="D345">
            <v>68.25</v>
          </cell>
          <cell r="E345">
            <v>68.25</v>
          </cell>
          <cell r="F345">
            <v>0</v>
          </cell>
          <cell r="G345" t="str">
            <v xml:space="preserve">    3030PTGT</v>
          </cell>
          <cell r="H345" t="str">
            <v>HE</v>
          </cell>
        </row>
        <row r="346">
          <cell r="A346">
            <v>8888414201</v>
          </cell>
          <cell r="B346" t="str">
            <v>CATETER TENKHOFF INF PED T-202</v>
          </cell>
          <cell r="C346">
            <v>307.60804619999999</v>
          </cell>
          <cell r="D346">
            <v>35.826699999999995</v>
          </cell>
          <cell r="E346">
            <v>35.826699999999995</v>
          </cell>
          <cell r="F346">
            <v>0</v>
          </cell>
          <cell r="G346" t="str">
            <v xml:space="preserve">    3030PTGT</v>
          </cell>
          <cell r="H346" t="str">
            <v>HE</v>
          </cell>
        </row>
        <row r="347">
          <cell r="A347">
            <v>8888414227</v>
          </cell>
          <cell r="B347" t="str">
            <v>CATETER TENCKHOFF INFANTIL DIA</v>
          </cell>
          <cell r="C347">
            <v>8.5859999999999985</v>
          </cell>
          <cell r="D347">
            <v>1</v>
          </cell>
          <cell r="E347">
            <v>1</v>
          </cell>
          <cell r="F347">
            <v>0</v>
          </cell>
          <cell r="G347" t="str">
            <v xml:space="preserve">    3030PTGT</v>
          </cell>
          <cell r="H347" t="str">
            <v>HE</v>
          </cell>
        </row>
        <row r="348">
          <cell r="A348">
            <v>8888414235</v>
          </cell>
          <cell r="B348" t="str">
            <v>CATETER TENCKHOFF INFANTIL PAR</v>
          </cell>
          <cell r="C348">
            <v>8.5859999999999985</v>
          </cell>
          <cell r="D348">
            <v>1</v>
          </cell>
          <cell r="E348">
            <v>1</v>
          </cell>
          <cell r="F348">
            <v>0</v>
          </cell>
          <cell r="G348" t="str">
            <v xml:space="preserve">    3030PTGT</v>
          </cell>
          <cell r="H348" t="str">
            <v>HE</v>
          </cell>
        </row>
        <row r="349">
          <cell r="A349">
            <v>8888414508</v>
          </cell>
          <cell r="B349" t="str">
            <v>CATETER PEDIATRICO</v>
          </cell>
          <cell r="C349">
            <v>595.52495999999985</v>
          </cell>
          <cell r="D349">
            <v>69.36</v>
          </cell>
          <cell r="E349">
            <v>69.36</v>
          </cell>
          <cell r="F349">
            <v>0</v>
          </cell>
          <cell r="G349" t="str">
            <v xml:space="preserve">    3030PTGT</v>
          </cell>
          <cell r="H349" t="str">
            <v>HE</v>
          </cell>
        </row>
        <row r="350">
          <cell r="A350">
            <v>8888414508</v>
          </cell>
          <cell r="B350" t="str">
            <v>CATETER PEDIATRICO</v>
          </cell>
          <cell r="C350">
            <v>595.52495999999985</v>
          </cell>
          <cell r="D350">
            <v>69.36</v>
          </cell>
          <cell r="E350">
            <v>69.36</v>
          </cell>
          <cell r="F350">
            <v>0</v>
          </cell>
          <cell r="G350" t="str">
            <v xml:space="preserve">    3030PTGT</v>
          </cell>
          <cell r="H350" t="str">
            <v>HE</v>
          </cell>
        </row>
        <row r="351">
          <cell r="A351">
            <v>8888422170</v>
          </cell>
          <cell r="B351" t="str">
            <v>CATETER ESPIRAL (5)</v>
          </cell>
          <cell r="C351">
            <v>488.62925999999993</v>
          </cell>
          <cell r="D351">
            <v>56.91</v>
          </cell>
          <cell r="E351">
            <v>56.91</v>
          </cell>
          <cell r="F351">
            <v>0</v>
          </cell>
          <cell r="G351" t="str">
            <v xml:space="preserve">    3030PTGT</v>
          </cell>
          <cell r="H351" t="str">
            <v>HE</v>
          </cell>
        </row>
        <row r="352">
          <cell r="A352">
            <v>8888422170</v>
          </cell>
          <cell r="B352" t="str">
            <v>CATETER ESPIRAL (5)</v>
          </cell>
          <cell r="C352">
            <v>488.62925999999993</v>
          </cell>
          <cell r="D352">
            <v>56.91</v>
          </cell>
          <cell r="E352">
            <v>56.91</v>
          </cell>
          <cell r="F352">
            <v>0</v>
          </cell>
          <cell r="G352" t="str">
            <v xml:space="preserve">    3030PTGT</v>
          </cell>
          <cell r="H352" t="str">
            <v>HE</v>
          </cell>
        </row>
        <row r="353">
          <cell r="A353">
            <v>8888423111</v>
          </cell>
          <cell r="B353" t="str">
            <v>CATETER TENKHOFF INFANTIL PEDI</v>
          </cell>
          <cell r="C353">
            <v>174.78262619999998</v>
          </cell>
          <cell r="D353">
            <v>20.3567</v>
          </cell>
          <cell r="E353">
            <v>20.3567</v>
          </cell>
          <cell r="F353">
            <v>0</v>
          </cell>
          <cell r="G353" t="str">
            <v xml:space="preserve">    3030PTGT</v>
          </cell>
          <cell r="H353" t="str">
            <v>HE</v>
          </cell>
        </row>
        <row r="354">
          <cell r="A354">
            <v>9075000279</v>
          </cell>
          <cell r="B354" t="str">
            <v>MIXING VESSEL BRACKET</v>
          </cell>
          <cell r="C354">
            <v>19.830096000000005</v>
          </cell>
          <cell r="D354">
            <v>2.3540000000000005</v>
          </cell>
          <cell r="E354">
            <v>2.14</v>
          </cell>
          <cell r="F354">
            <v>0.21400000000000041</v>
          </cell>
          <cell r="G354" t="str">
            <v xml:space="preserve">    3030REPU</v>
          </cell>
          <cell r="H354" t="str">
            <v>HE</v>
          </cell>
        </row>
        <row r="355">
          <cell r="A355">
            <v>9085000055</v>
          </cell>
          <cell r="B355" t="str">
            <v>FITTING THERMISTOR</v>
          </cell>
          <cell r="C355">
            <v>52.077168</v>
          </cell>
          <cell r="D355">
            <v>6.1820000000000004</v>
          </cell>
          <cell r="E355">
            <v>5.62</v>
          </cell>
          <cell r="F355">
            <v>0.56200000000000028</v>
          </cell>
          <cell r="G355" t="str">
            <v xml:space="preserve">    3030REPU</v>
          </cell>
          <cell r="H355" t="str">
            <v>HE</v>
          </cell>
        </row>
        <row r="356">
          <cell r="A356">
            <v>9085000056</v>
          </cell>
          <cell r="B356" t="str">
            <v>FITTING THERMISTOR SPS</v>
          </cell>
          <cell r="C356">
            <v>29.003832000000003</v>
          </cell>
          <cell r="D356">
            <v>3.4430000000000001</v>
          </cell>
          <cell r="E356">
            <v>3.13</v>
          </cell>
          <cell r="F356">
            <v>0.31300000000000017</v>
          </cell>
          <cell r="G356" t="str">
            <v xml:space="preserve">    3030REPU</v>
          </cell>
          <cell r="H356" t="str">
            <v>HE</v>
          </cell>
        </row>
        <row r="357">
          <cell r="A357">
            <v>9085000176</v>
          </cell>
          <cell r="B357" t="str">
            <v>MEMBRANA POLYMIDE</v>
          </cell>
          <cell r="C357">
            <v>1515.3343920000002</v>
          </cell>
          <cell r="D357">
            <v>179.88300000000001</v>
          </cell>
          <cell r="E357">
            <v>163.53</v>
          </cell>
          <cell r="F357">
            <v>16.353000000000009</v>
          </cell>
          <cell r="G357" t="str">
            <v xml:space="preserve">    3030REPU</v>
          </cell>
          <cell r="H357" t="str">
            <v>HE</v>
          </cell>
        </row>
        <row r="358">
          <cell r="A358">
            <v>9085000232</v>
          </cell>
          <cell r="B358" t="str">
            <v>VOLUME SENSOR FILTER ADAPTER</v>
          </cell>
          <cell r="C358">
            <v>56.339711999999999</v>
          </cell>
          <cell r="D358">
            <v>6.6880000000000006</v>
          </cell>
          <cell r="E358">
            <v>6.08</v>
          </cell>
          <cell r="F358">
            <v>0.60800000000000054</v>
          </cell>
          <cell r="G358" t="str">
            <v xml:space="preserve">    3030REPU</v>
          </cell>
          <cell r="H358" t="str">
            <v>HE</v>
          </cell>
        </row>
        <row r="359">
          <cell r="A359">
            <v>9085000388</v>
          </cell>
          <cell r="B359" t="str">
            <v>HEAT EXCHANGER TUBE ADAPTOR</v>
          </cell>
          <cell r="C359">
            <v>25.853256000000002</v>
          </cell>
          <cell r="D359">
            <v>3.0690000000000004</v>
          </cell>
          <cell r="E359">
            <v>2.79</v>
          </cell>
          <cell r="F359">
            <v>0.27900000000000036</v>
          </cell>
          <cell r="G359" t="str">
            <v xml:space="preserve">    3030REPU</v>
          </cell>
          <cell r="H359" t="str">
            <v>HE</v>
          </cell>
        </row>
        <row r="360">
          <cell r="A360">
            <v>9085000420</v>
          </cell>
          <cell r="B360" t="str">
            <v>PISTON MOLDED MACHINED, HOME-</v>
          </cell>
          <cell r="C360">
            <v>102.301056</v>
          </cell>
          <cell r="D360">
            <v>12.144</v>
          </cell>
          <cell r="E360">
            <v>11.04</v>
          </cell>
          <cell r="F360">
            <v>1.104000000000001</v>
          </cell>
          <cell r="G360" t="str">
            <v xml:space="preserve">    3030REPU</v>
          </cell>
          <cell r="H360" t="str">
            <v>HE</v>
          </cell>
        </row>
        <row r="361">
          <cell r="A361">
            <v>9085001037</v>
          </cell>
          <cell r="B361" t="str">
            <v>TARJETA PC 3B</v>
          </cell>
          <cell r="C361">
            <v>785.32740000000013</v>
          </cell>
          <cell r="D361">
            <v>93.224999999999994</v>
          </cell>
          <cell r="E361">
            <v>84.75</v>
          </cell>
          <cell r="F361">
            <v>8.4750000000000085</v>
          </cell>
          <cell r="G361" t="str">
            <v xml:space="preserve">    3030REPU</v>
          </cell>
          <cell r="H361" t="str">
            <v>HE</v>
          </cell>
        </row>
        <row r="362">
          <cell r="A362">
            <v>9085001038</v>
          </cell>
          <cell r="B362" t="str">
            <v>BLOOD PUMP CONTROLER PCB</v>
          </cell>
          <cell r="C362">
            <v>1274.871312</v>
          </cell>
          <cell r="D362">
            <v>151.33800000000002</v>
          </cell>
          <cell r="E362">
            <v>137.58000000000001</v>
          </cell>
          <cell r="F362">
            <v>13.75800000000001</v>
          </cell>
          <cell r="G362" t="str">
            <v xml:space="preserve">    3030REPU</v>
          </cell>
          <cell r="H362" t="str">
            <v>HE</v>
          </cell>
        </row>
        <row r="363">
          <cell r="A363">
            <v>9085001051</v>
          </cell>
          <cell r="B363" t="str">
            <v>FRONT DOOR SW PANEL ASSY</v>
          </cell>
          <cell r="C363">
            <v>816.27717600000017</v>
          </cell>
          <cell r="D363">
            <v>96.899000000000015</v>
          </cell>
          <cell r="E363">
            <v>88.09</v>
          </cell>
          <cell r="F363">
            <v>8.8090000000000117</v>
          </cell>
          <cell r="G363" t="str">
            <v xml:space="preserve">    3030REPU</v>
          </cell>
          <cell r="H363" t="str">
            <v>HE</v>
          </cell>
        </row>
        <row r="364">
          <cell r="A364">
            <v>9105001006</v>
          </cell>
          <cell r="B364" t="str">
            <v>Foam Piston</v>
          </cell>
          <cell r="C364">
            <v>4.16988</v>
          </cell>
          <cell r="D364">
            <v>0.495</v>
          </cell>
          <cell r="E364">
            <v>0.45</v>
          </cell>
          <cell r="F364">
            <v>4.4999999999999998E-2</v>
          </cell>
          <cell r="G364" t="str">
            <v xml:space="preserve">    3030REPU</v>
          </cell>
          <cell r="H364" t="str">
            <v>HE</v>
          </cell>
        </row>
        <row r="365">
          <cell r="A365">
            <v>9115001039</v>
          </cell>
          <cell r="B365" t="str">
            <v>FITTIN HANSEN / MALE SNAP</v>
          </cell>
          <cell r="C365">
            <v>121.85316000000002</v>
          </cell>
          <cell r="D365">
            <v>14.465</v>
          </cell>
          <cell r="E365">
            <v>13.15</v>
          </cell>
          <cell r="F365">
            <v>1.3149999999999999</v>
          </cell>
          <cell r="G365" t="str">
            <v xml:space="preserve">    3030PTGT</v>
          </cell>
          <cell r="H365" t="str">
            <v>HE</v>
          </cell>
        </row>
        <row r="366">
          <cell r="A366">
            <v>9115003005</v>
          </cell>
          <cell r="B366" t="str">
            <v>TUBE SEGMENT INSERT</v>
          </cell>
          <cell r="C366">
            <v>22.980672000000002</v>
          </cell>
          <cell r="D366">
            <v>2.7280000000000002</v>
          </cell>
          <cell r="E366">
            <v>2.48</v>
          </cell>
          <cell r="F366">
            <v>0.24800000000000022</v>
          </cell>
          <cell r="G366" t="str">
            <v xml:space="preserve">    3030REPU</v>
          </cell>
          <cell r="H366" t="str">
            <v>HE</v>
          </cell>
        </row>
        <row r="367">
          <cell r="A367">
            <v>9145001093</v>
          </cell>
          <cell r="B367" t="str">
            <v>MULTIPORT, GASKET BASE</v>
          </cell>
          <cell r="C367">
            <v>10.285704000000003</v>
          </cell>
          <cell r="D367">
            <v>1.2210000000000003</v>
          </cell>
          <cell r="E367">
            <v>1.1100000000000001</v>
          </cell>
          <cell r="F367">
            <v>0.11100000000000021</v>
          </cell>
          <cell r="G367" t="str">
            <v xml:space="preserve">    3030REPU</v>
          </cell>
          <cell r="H367" t="str">
            <v>HE</v>
          </cell>
        </row>
        <row r="368">
          <cell r="A368">
            <v>9165000015</v>
          </cell>
          <cell r="B368" t="str">
            <v>FILTER AMETEK 25 MICRONS</v>
          </cell>
          <cell r="C368">
            <v>15.196895999999999</v>
          </cell>
          <cell r="D368">
            <v>1.804</v>
          </cell>
          <cell r="E368">
            <v>1.64</v>
          </cell>
          <cell r="F368">
            <v>0.16400000000000015</v>
          </cell>
          <cell r="G368" t="str">
            <v xml:space="preserve">    3030REPU</v>
          </cell>
          <cell r="H368" t="str">
            <v>HE</v>
          </cell>
        </row>
        <row r="369">
          <cell r="A369">
            <v>9165000109</v>
          </cell>
          <cell r="B369" t="str">
            <v>SPRING FOAM DET SENSOR</v>
          </cell>
          <cell r="C369">
            <v>24.370631999999997</v>
          </cell>
          <cell r="D369">
            <v>2.8930000000000002</v>
          </cell>
          <cell r="E369">
            <v>2.63</v>
          </cell>
          <cell r="F369">
            <v>0.26300000000000034</v>
          </cell>
          <cell r="G369" t="str">
            <v xml:space="preserve">    3030REPU</v>
          </cell>
          <cell r="H369" t="str">
            <v>HE</v>
          </cell>
        </row>
        <row r="370">
          <cell r="A370">
            <v>9165000131</v>
          </cell>
          <cell r="B370" t="str">
            <v>ROLLING DIAPHRAGM</v>
          </cell>
          <cell r="C370">
            <v>14.455584000000002</v>
          </cell>
          <cell r="D370">
            <v>1.7160000000000002</v>
          </cell>
          <cell r="E370">
            <v>1.56</v>
          </cell>
          <cell r="F370">
            <v>0.15600000000000014</v>
          </cell>
          <cell r="G370" t="str">
            <v xml:space="preserve">    3030REPU</v>
          </cell>
          <cell r="H370" t="str">
            <v>HE</v>
          </cell>
        </row>
        <row r="371">
          <cell r="A371">
            <v>9165000145</v>
          </cell>
          <cell r="B371" t="str">
            <v>O RING</v>
          </cell>
          <cell r="C371">
            <v>1.3899600000000001</v>
          </cell>
          <cell r="D371">
            <v>0.16500000000000001</v>
          </cell>
          <cell r="E371">
            <v>0.15</v>
          </cell>
          <cell r="F371">
            <v>1.4999999999999999E-2</v>
          </cell>
          <cell r="G371" t="str">
            <v xml:space="preserve">    3030REPU</v>
          </cell>
          <cell r="H371" t="str">
            <v>HE</v>
          </cell>
        </row>
        <row r="372">
          <cell r="A372">
            <v>9165000208</v>
          </cell>
          <cell r="B372" t="str">
            <v>TUBING SEGMENT</v>
          </cell>
          <cell r="C372">
            <v>2.038608</v>
          </cell>
          <cell r="D372">
            <v>0.24200000000000002</v>
          </cell>
          <cell r="E372">
            <v>0.22</v>
          </cell>
          <cell r="F372">
            <v>2.200000000000002E-2</v>
          </cell>
          <cell r="G372" t="str">
            <v xml:space="preserve">    3030REPU</v>
          </cell>
          <cell r="H372" t="str">
            <v>HE</v>
          </cell>
        </row>
        <row r="373">
          <cell r="A373">
            <v>9165000401</v>
          </cell>
          <cell r="B373" t="str">
            <v>BOWL UFC</v>
          </cell>
          <cell r="C373">
            <v>18.347472000000003</v>
          </cell>
          <cell r="D373">
            <v>2.1779999999999999</v>
          </cell>
          <cell r="E373">
            <v>1.98</v>
          </cell>
          <cell r="F373">
            <v>0.19799999999999995</v>
          </cell>
          <cell r="G373" t="str">
            <v xml:space="preserve">    3030REPU</v>
          </cell>
          <cell r="H373" t="str">
            <v>HE</v>
          </cell>
        </row>
        <row r="374">
          <cell r="A374">
            <v>9165000426</v>
          </cell>
          <cell r="B374" t="str">
            <v>TAPONES CONECTORES</v>
          </cell>
          <cell r="C374">
            <v>2.4092639999999999</v>
          </cell>
          <cell r="D374">
            <v>0.28600000000000003</v>
          </cell>
          <cell r="E374">
            <v>0.26</v>
          </cell>
          <cell r="F374">
            <v>2.6000000000000023E-2</v>
          </cell>
          <cell r="G374" t="str">
            <v xml:space="preserve">    3030REPU</v>
          </cell>
          <cell r="H374" t="str">
            <v>HE</v>
          </cell>
        </row>
        <row r="375">
          <cell r="A375">
            <v>9165000427</v>
          </cell>
          <cell r="B375" t="str">
            <v>CONECTOR CON ANGULO 90</v>
          </cell>
          <cell r="C375">
            <v>2.6872559999999996</v>
          </cell>
          <cell r="D375">
            <v>0.31900000000000001</v>
          </cell>
          <cell r="E375">
            <v>0.28999999999999998</v>
          </cell>
          <cell r="F375">
            <v>2.9000000000000026E-2</v>
          </cell>
          <cell r="G375" t="str">
            <v xml:space="preserve">    3030REPU</v>
          </cell>
          <cell r="H375" t="str">
            <v>HE</v>
          </cell>
        </row>
        <row r="376">
          <cell r="A376">
            <v>9165000428</v>
          </cell>
          <cell r="B376" t="str">
            <v>CONECTOR T</v>
          </cell>
          <cell r="C376">
            <v>9.3590640000000018</v>
          </cell>
          <cell r="D376">
            <v>1.1110000000000002</v>
          </cell>
          <cell r="E376">
            <v>1.01</v>
          </cell>
          <cell r="F376">
            <v>0.1010000000000002</v>
          </cell>
          <cell r="G376" t="str">
            <v xml:space="preserve">    3030REPU</v>
          </cell>
          <cell r="H376" t="str">
            <v>HE</v>
          </cell>
        </row>
        <row r="377">
          <cell r="A377">
            <v>9165000431</v>
          </cell>
          <cell r="B377" t="str">
            <v>SEGUROS PARA CONECTORES</v>
          </cell>
          <cell r="C377">
            <v>4.5405359999999995</v>
          </cell>
          <cell r="D377">
            <v>0.53900000000000003</v>
          </cell>
          <cell r="E377">
            <v>0.49</v>
          </cell>
          <cell r="F377">
            <v>4.9000000000000044E-2</v>
          </cell>
          <cell r="G377" t="str">
            <v xml:space="preserve">    3030REPU</v>
          </cell>
          <cell r="H377" t="str">
            <v>HE</v>
          </cell>
        </row>
        <row r="378">
          <cell r="A378">
            <v>9165000522</v>
          </cell>
          <cell r="B378" t="str">
            <v>HOOK SOCKET SPRING</v>
          </cell>
          <cell r="C378">
            <v>7.2277920000000009</v>
          </cell>
          <cell r="D378">
            <v>0.8580000000000001</v>
          </cell>
          <cell r="E378">
            <v>0.78</v>
          </cell>
          <cell r="F378">
            <v>7.8000000000000069E-2</v>
          </cell>
          <cell r="G378" t="str">
            <v xml:space="preserve">    3030REPU</v>
          </cell>
          <cell r="H378" t="str">
            <v>HE</v>
          </cell>
        </row>
        <row r="379">
          <cell r="A379">
            <v>9165000580</v>
          </cell>
          <cell r="B379" t="str">
            <v>tapones con rosca</v>
          </cell>
          <cell r="C379">
            <v>2.5130476800000001</v>
          </cell>
          <cell r="D379">
            <v>0.29832000000000003</v>
          </cell>
          <cell r="E379">
            <v>0.2712</v>
          </cell>
          <cell r="F379">
            <v>2.7120000000000033E-2</v>
          </cell>
          <cell r="G379" t="str">
            <v xml:space="preserve">    3030REPU</v>
          </cell>
          <cell r="H379" t="str">
            <v>HE</v>
          </cell>
        </row>
        <row r="380">
          <cell r="A380">
            <v>9165000581</v>
          </cell>
          <cell r="B380" t="str">
            <v>conector rojo</v>
          </cell>
          <cell r="C380">
            <v>2.0858666400000003</v>
          </cell>
          <cell r="D380">
            <v>0.24761000000000002</v>
          </cell>
          <cell r="E380">
            <v>0.22509999999999999</v>
          </cell>
          <cell r="F380">
            <v>2.251000000000003E-2</v>
          </cell>
          <cell r="G380" t="str">
            <v xml:space="preserve">    3030REPU</v>
          </cell>
          <cell r="H380" t="str">
            <v>HE</v>
          </cell>
        </row>
        <row r="381">
          <cell r="A381">
            <v>9165000789</v>
          </cell>
          <cell r="B381" t="str">
            <v>DESINFECTANT STUD</v>
          </cell>
          <cell r="C381">
            <v>7.0424639999999998</v>
          </cell>
          <cell r="D381">
            <v>0.83600000000000008</v>
          </cell>
          <cell r="E381">
            <v>0.76</v>
          </cell>
          <cell r="F381">
            <v>7.6000000000000068E-2</v>
          </cell>
          <cell r="G381" t="str">
            <v xml:space="preserve">    3030REPU</v>
          </cell>
          <cell r="H381" t="str">
            <v>HE</v>
          </cell>
        </row>
        <row r="382">
          <cell r="A382">
            <v>9165001067</v>
          </cell>
          <cell r="B382" t="str">
            <v>CABLE SYSTEM CONTROL DM450</v>
          </cell>
          <cell r="C382">
            <v>57.914999999999999</v>
          </cell>
          <cell r="D382">
            <v>6.875</v>
          </cell>
          <cell r="E382">
            <v>6.25</v>
          </cell>
          <cell r="F382">
            <v>0.62500000000000089</v>
          </cell>
          <cell r="G382" t="str">
            <v xml:space="preserve">    3030REPU</v>
          </cell>
          <cell r="H382" t="str">
            <v>HE</v>
          </cell>
        </row>
        <row r="383">
          <cell r="A383">
            <v>9165001068</v>
          </cell>
          <cell r="B383" t="str">
            <v>CABLE POWER DIST/DM450</v>
          </cell>
          <cell r="C383">
            <v>67.470511680000016</v>
          </cell>
          <cell r="D383">
            <v>8.0093200000000007</v>
          </cell>
          <cell r="E383">
            <v>7.2812000000000001</v>
          </cell>
          <cell r="F383">
            <v>0.72812000000000054</v>
          </cell>
          <cell r="G383" t="str">
            <v xml:space="preserve">    3030REPU</v>
          </cell>
          <cell r="H383" t="str">
            <v>HE</v>
          </cell>
        </row>
        <row r="384">
          <cell r="A384">
            <v>9165001069</v>
          </cell>
          <cell r="B384" t="str">
            <v>CABLE SYSTEM DISPLAY DM450</v>
          </cell>
          <cell r="C384">
            <v>18.162143999999998</v>
          </cell>
          <cell r="D384">
            <v>2.1560000000000001</v>
          </cell>
          <cell r="E384">
            <v>1.96</v>
          </cell>
          <cell r="F384">
            <v>0.19600000000000017</v>
          </cell>
          <cell r="G384" t="str">
            <v xml:space="preserve">    3030REPU</v>
          </cell>
          <cell r="H384" t="str">
            <v>HE</v>
          </cell>
        </row>
        <row r="385">
          <cell r="A385">
            <v>9165001071</v>
          </cell>
          <cell r="B385" t="str">
            <v>INTRAFECE RIBON</v>
          </cell>
          <cell r="C385">
            <v>36.972935999999997</v>
          </cell>
          <cell r="D385">
            <v>4.3890000000000002</v>
          </cell>
          <cell r="E385">
            <v>3.99</v>
          </cell>
          <cell r="F385">
            <v>0.39900000000000002</v>
          </cell>
          <cell r="G385" t="str">
            <v xml:space="preserve">    3030REPU</v>
          </cell>
          <cell r="H385" t="str">
            <v>HE</v>
          </cell>
        </row>
        <row r="386">
          <cell r="A386">
            <v>9165001091</v>
          </cell>
          <cell r="B386" t="str">
            <v>SWITCH AZUL DE 3 PATAS</v>
          </cell>
          <cell r="C386">
            <v>64.957464000000002</v>
          </cell>
          <cell r="D386">
            <v>7.7110000000000003</v>
          </cell>
          <cell r="E386">
            <v>7.01</v>
          </cell>
          <cell r="F386">
            <v>0.70100000000000051</v>
          </cell>
          <cell r="G386" t="str">
            <v xml:space="preserve">    3030REPU</v>
          </cell>
          <cell r="H386" t="str">
            <v>HE</v>
          </cell>
        </row>
        <row r="387">
          <cell r="A387">
            <v>9165001093</v>
          </cell>
          <cell r="B387" t="str">
            <v>SWITCH AZUL DE 6 PATAS</v>
          </cell>
          <cell r="C387">
            <v>146.594448</v>
          </cell>
          <cell r="D387">
            <v>17.402000000000001</v>
          </cell>
          <cell r="E387">
            <v>15.82</v>
          </cell>
          <cell r="F387">
            <v>1.5820000000000007</v>
          </cell>
          <cell r="G387" t="str">
            <v xml:space="preserve">    3030REPU</v>
          </cell>
          <cell r="H387" t="str">
            <v>HE</v>
          </cell>
        </row>
        <row r="388">
          <cell r="A388">
            <v>9165001152</v>
          </cell>
          <cell r="B388" t="str">
            <v>CABLE IB17-03 TO IB03-01</v>
          </cell>
          <cell r="C388">
            <v>9.7297200000000021</v>
          </cell>
          <cell r="D388">
            <v>1.155</v>
          </cell>
          <cell r="E388">
            <v>1.05</v>
          </cell>
          <cell r="F388">
            <v>0.105</v>
          </cell>
          <cell r="G388" t="str">
            <v xml:space="preserve">    3030REPU</v>
          </cell>
          <cell r="H388" t="str">
            <v>HE</v>
          </cell>
        </row>
        <row r="389">
          <cell r="A389">
            <v>9165001153</v>
          </cell>
          <cell r="B389" t="str">
            <v>CABLE IB17-03 TO IB03-01</v>
          </cell>
          <cell r="C389">
            <v>10.934352000000001</v>
          </cell>
          <cell r="D389">
            <v>1.298</v>
          </cell>
          <cell r="E389">
            <v>1.18</v>
          </cell>
          <cell r="F389">
            <v>0.1180000000000001</v>
          </cell>
          <cell r="G389" t="str">
            <v xml:space="preserve">    3030REPU</v>
          </cell>
          <cell r="H389" t="str">
            <v>HE</v>
          </cell>
        </row>
        <row r="390">
          <cell r="A390">
            <v>9165001154</v>
          </cell>
          <cell r="B390" t="str">
            <v>CABLE IB21-04 / CD-02</v>
          </cell>
          <cell r="C390">
            <v>13.158288000000001</v>
          </cell>
          <cell r="D390">
            <v>1.5620000000000001</v>
          </cell>
          <cell r="E390">
            <v>1.42</v>
          </cell>
          <cell r="F390">
            <v>0.14200000000000013</v>
          </cell>
          <cell r="G390" t="str">
            <v xml:space="preserve">    3030REPU</v>
          </cell>
          <cell r="H390" t="str">
            <v>HE</v>
          </cell>
        </row>
        <row r="391">
          <cell r="A391">
            <v>9165001168</v>
          </cell>
          <cell r="B391" t="str">
            <v>FOAM DETECTOR, TRANSDUCER ASSY</v>
          </cell>
          <cell r="C391">
            <v>2112.553872</v>
          </cell>
          <cell r="D391">
            <v>250.77800000000002</v>
          </cell>
          <cell r="E391">
            <v>227.98</v>
          </cell>
          <cell r="F391">
            <v>22.79800000000003</v>
          </cell>
          <cell r="G391" t="str">
            <v xml:space="preserve">    3030REPU</v>
          </cell>
          <cell r="H391" t="str">
            <v>HE</v>
          </cell>
        </row>
        <row r="392">
          <cell r="A392">
            <v>9165001256</v>
          </cell>
          <cell r="B392" t="str">
            <v>CABLE ASSY NULL MODEM (8ft)</v>
          </cell>
          <cell r="C392">
            <v>182.82607200000004</v>
          </cell>
          <cell r="D392">
            <v>21.703000000000003</v>
          </cell>
          <cell r="E392">
            <v>19.73</v>
          </cell>
          <cell r="F392">
            <v>1.9730000000000025</v>
          </cell>
          <cell r="G392" t="str">
            <v xml:space="preserve">    3030REPU</v>
          </cell>
          <cell r="H392" t="str">
            <v>HE</v>
          </cell>
        </row>
        <row r="393">
          <cell r="A393">
            <v>9165002035</v>
          </cell>
          <cell r="B393" t="str">
            <v>OOCLUDER BOOT</v>
          </cell>
          <cell r="C393">
            <v>28.262519999999999</v>
          </cell>
          <cell r="D393">
            <v>3.355</v>
          </cell>
          <cell r="E393">
            <v>3.05</v>
          </cell>
          <cell r="F393">
            <v>0.30499999999999999</v>
          </cell>
          <cell r="G393" t="str">
            <v xml:space="preserve">    3030REPU</v>
          </cell>
          <cell r="H393" t="str">
            <v>HE</v>
          </cell>
        </row>
        <row r="394">
          <cell r="A394">
            <v>9165002131</v>
          </cell>
          <cell r="B394" t="str">
            <v>SOFWARE Y MANUEL CRTG PROG</v>
          </cell>
          <cell r="C394">
            <v>115.181352</v>
          </cell>
          <cell r="D394">
            <v>13.673</v>
          </cell>
          <cell r="E394">
            <v>12.43</v>
          </cell>
          <cell r="F394">
            <v>1.2430000000000003</v>
          </cell>
          <cell r="G394" t="str">
            <v xml:space="preserve">    3030REPU</v>
          </cell>
          <cell r="H394" t="str">
            <v>HE</v>
          </cell>
        </row>
        <row r="395">
          <cell r="A395">
            <v>9165002191</v>
          </cell>
          <cell r="B395" t="str">
            <v>SPRING</v>
          </cell>
          <cell r="C395">
            <v>17.050176000000004</v>
          </cell>
          <cell r="D395">
            <v>2.0240000000000005</v>
          </cell>
          <cell r="E395">
            <v>1.84</v>
          </cell>
          <cell r="F395">
            <v>0.18400000000000039</v>
          </cell>
          <cell r="G395" t="str">
            <v xml:space="preserve">    3030REPU</v>
          </cell>
          <cell r="H395" t="str">
            <v>HE</v>
          </cell>
        </row>
        <row r="396">
          <cell r="A396">
            <v>9165002196</v>
          </cell>
          <cell r="B396" t="str">
            <v>SOFWARE V3.20C FOR SMART CONNE</v>
          </cell>
          <cell r="C396">
            <v>261.59047200000003</v>
          </cell>
          <cell r="D396">
            <v>31.053000000000004</v>
          </cell>
          <cell r="E396">
            <v>28.23</v>
          </cell>
          <cell r="F396">
            <v>2.823000000000004</v>
          </cell>
          <cell r="G396" t="str">
            <v xml:space="preserve">    3030REPU</v>
          </cell>
          <cell r="H396" t="str">
            <v>HE</v>
          </cell>
        </row>
        <row r="397">
          <cell r="A397">
            <v>9165002236</v>
          </cell>
          <cell r="B397" t="str">
            <v>CLIP BLOOD PUMP COVE</v>
          </cell>
          <cell r="C397">
            <v>13.992264000000002</v>
          </cell>
          <cell r="D397">
            <v>1.6610000000000003</v>
          </cell>
          <cell r="E397">
            <v>1.51</v>
          </cell>
          <cell r="F397">
            <v>0.15100000000000025</v>
          </cell>
          <cell r="G397" t="str">
            <v xml:space="preserve">    3030PTGT</v>
          </cell>
          <cell r="H397" t="str">
            <v>HE</v>
          </cell>
        </row>
        <row r="398">
          <cell r="A398">
            <v>9165002297</v>
          </cell>
          <cell r="B398" t="str">
            <v>BIB, LARGE PRO PUMP</v>
          </cell>
          <cell r="C398">
            <v>6.6718080000000004</v>
          </cell>
          <cell r="D398">
            <v>0.79200000000000004</v>
          </cell>
          <cell r="E398">
            <v>0.72</v>
          </cell>
          <cell r="F398">
            <v>7.2000000000000064E-2</v>
          </cell>
          <cell r="G398" t="str">
            <v xml:space="preserve">    3030REPU</v>
          </cell>
          <cell r="H398" t="str">
            <v>HE</v>
          </cell>
        </row>
        <row r="399">
          <cell r="A399">
            <v>9165002298</v>
          </cell>
          <cell r="B399" t="str">
            <v>BIB SMALL PRE PUMP</v>
          </cell>
          <cell r="C399">
            <v>2.2239359999999997</v>
          </cell>
          <cell r="D399">
            <v>0.26400000000000001</v>
          </cell>
          <cell r="E399">
            <v>0.24</v>
          </cell>
          <cell r="F399">
            <v>2.4000000000000021E-2</v>
          </cell>
          <cell r="G399" t="str">
            <v xml:space="preserve">    3030REPU</v>
          </cell>
          <cell r="H399" t="str">
            <v>HE</v>
          </cell>
        </row>
        <row r="400">
          <cell r="A400">
            <v>9165002361</v>
          </cell>
          <cell r="B400" t="str">
            <v>EXTENSION</v>
          </cell>
          <cell r="C400">
            <v>5.5598400000000003</v>
          </cell>
          <cell r="D400">
            <v>0.66</v>
          </cell>
          <cell r="E400">
            <v>0.6</v>
          </cell>
          <cell r="F400">
            <v>6.0000000000000053E-2</v>
          </cell>
          <cell r="G400" t="str">
            <v xml:space="preserve">    3030REPU</v>
          </cell>
          <cell r="H400" t="str">
            <v>HE</v>
          </cell>
        </row>
        <row r="401">
          <cell r="A401">
            <v>9165002393</v>
          </cell>
          <cell r="B401" t="str">
            <v>NEEDLE, FLOW CONTROLLER NORYL</v>
          </cell>
          <cell r="C401">
            <v>78.301079999999985</v>
          </cell>
          <cell r="D401">
            <v>9.2949999999999999</v>
          </cell>
          <cell r="E401">
            <v>8.4499999999999993</v>
          </cell>
          <cell r="F401">
            <v>0.84500000000000064</v>
          </cell>
          <cell r="G401" t="str">
            <v xml:space="preserve">    3030REPU</v>
          </cell>
          <cell r="H401" t="str">
            <v>HE</v>
          </cell>
        </row>
        <row r="402">
          <cell r="A402">
            <v>9165002398</v>
          </cell>
          <cell r="B402" t="str">
            <v>HANDLE DOOR</v>
          </cell>
          <cell r="C402">
            <v>53.930448000000013</v>
          </cell>
          <cell r="D402">
            <v>6.402000000000001</v>
          </cell>
          <cell r="E402">
            <v>5.82</v>
          </cell>
          <cell r="F402">
            <v>0.58200000000000074</v>
          </cell>
          <cell r="G402" t="str">
            <v xml:space="preserve">    3030REPU</v>
          </cell>
          <cell r="H402" t="str">
            <v>HE</v>
          </cell>
        </row>
        <row r="403">
          <cell r="A403">
            <v>9165002486</v>
          </cell>
          <cell r="B403" t="str">
            <v>Multiport Cover Base</v>
          </cell>
          <cell r="C403">
            <v>68.84935200000001</v>
          </cell>
          <cell r="D403">
            <v>8.173</v>
          </cell>
          <cell r="E403">
            <v>7.43</v>
          </cell>
          <cell r="F403">
            <v>0.74300000000000033</v>
          </cell>
          <cell r="G403" t="str">
            <v xml:space="preserve">    3030REPU</v>
          </cell>
          <cell r="H403" t="str">
            <v>HE</v>
          </cell>
        </row>
        <row r="404">
          <cell r="A404">
            <v>9165002596</v>
          </cell>
          <cell r="B404" t="str">
            <v>SMALL NYLON BLADDER</v>
          </cell>
          <cell r="C404">
            <v>139.16557512</v>
          </cell>
          <cell r="D404">
            <v>16.520130000000002</v>
          </cell>
          <cell r="E404">
            <v>15.0183</v>
          </cell>
          <cell r="F404">
            <v>1.5018300000000018</v>
          </cell>
          <cell r="G404" t="str">
            <v xml:space="preserve">    3030REPU</v>
          </cell>
          <cell r="H404" t="str">
            <v>HE</v>
          </cell>
        </row>
        <row r="405">
          <cell r="A405">
            <v>9215000109</v>
          </cell>
          <cell r="B405" t="str">
            <v>Occlusion Tool, 6mm</v>
          </cell>
          <cell r="C405">
            <v>70.609968000000023</v>
          </cell>
          <cell r="D405">
            <v>8.3820000000000014</v>
          </cell>
          <cell r="E405">
            <v>7.62</v>
          </cell>
          <cell r="F405">
            <v>0.76200000000000134</v>
          </cell>
          <cell r="G405" t="str">
            <v xml:space="preserve">    3030REPU</v>
          </cell>
          <cell r="H405" t="str">
            <v>HE</v>
          </cell>
        </row>
        <row r="406">
          <cell r="A406">
            <v>9215000110</v>
          </cell>
          <cell r="B406" t="str">
            <v>BLD PMP OCCLUSION TOOL 4MM</v>
          </cell>
          <cell r="C406">
            <v>118.14659999999999</v>
          </cell>
          <cell r="D406">
            <v>14.025</v>
          </cell>
          <cell r="E406">
            <v>12.75</v>
          </cell>
          <cell r="F406">
            <v>1.2749999999999999</v>
          </cell>
          <cell r="G406" t="str">
            <v xml:space="preserve">    3030REPU</v>
          </cell>
          <cell r="H406" t="str">
            <v>HE</v>
          </cell>
        </row>
        <row r="407">
          <cell r="A407">
            <v>9215000366</v>
          </cell>
          <cell r="B407" t="str">
            <v>TEMPERATURE MODULE #80TK</v>
          </cell>
          <cell r="C407">
            <v>604.81792800000005</v>
          </cell>
          <cell r="D407">
            <v>71.796999999999997</v>
          </cell>
          <cell r="E407">
            <v>65.27</v>
          </cell>
          <cell r="F407">
            <v>6.527000000000001</v>
          </cell>
          <cell r="G407" t="str">
            <v xml:space="preserve">    3030REPU</v>
          </cell>
          <cell r="H407" t="str">
            <v>HE</v>
          </cell>
        </row>
        <row r="408">
          <cell r="A408">
            <v>9215000375</v>
          </cell>
          <cell r="B408" t="str">
            <v>ASSY, STAINLESS VAT</v>
          </cell>
          <cell r="C408">
            <v>1801.0175040000001</v>
          </cell>
          <cell r="D408">
            <v>213.79600000000002</v>
          </cell>
          <cell r="E408">
            <v>194.36</v>
          </cell>
          <cell r="F408">
            <v>19.436000000000007</v>
          </cell>
          <cell r="G408" t="str">
            <v xml:space="preserve">    3030REPU</v>
          </cell>
          <cell r="H408" t="str">
            <v>HE</v>
          </cell>
        </row>
        <row r="409">
          <cell r="A409">
            <v>9215000376</v>
          </cell>
          <cell r="B409" t="str">
            <v>ASSY, PLEXIGLASS ENCLOSURE</v>
          </cell>
          <cell r="C409">
            <v>6201.3528720000004</v>
          </cell>
          <cell r="D409">
            <v>736.15300000000013</v>
          </cell>
          <cell r="E409">
            <v>669.23</v>
          </cell>
          <cell r="F409">
            <v>66.923000000000116</v>
          </cell>
          <cell r="G409" t="str">
            <v xml:space="preserve">    3030REPU</v>
          </cell>
          <cell r="H409" t="str">
            <v>HE</v>
          </cell>
        </row>
        <row r="410">
          <cell r="A410">
            <v>9215003576</v>
          </cell>
          <cell r="B410" t="str">
            <v>FLUKE 8060A MULTIMETER</v>
          </cell>
          <cell r="C410">
            <v>2969.2325520000004</v>
          </cell>
          <cell r="D410">
            <v>352.47300000000001</v>
          </cell>
          <cell r="E410">
            <v>320.43</v>
          </cell>
          <cell r="F410">
            <v>32.043000000000006</v>
          </cell>
          <cell r="G410" t="str">
            <v xml:space="preserve">    3030REPU</v>
          </cell>
          <cell r="H410" t="str">
            <v>HE</v>
          </cell>
        </row>
        <row r="411">
          <cell r="A411">
            <v>9235002003</v>
          </cell>
          <cell r="B411" t="str">
            <v>PUMP RESERVOIR GASKET</v>
          </cell>
          <cell r="C411">
            <v>7.413120000000001</v>
          </cell>
          <cell r="D411">
            <v>0.88</v>
          </cell>
          <cell r="E411">
            <v>0.8</v>
          </cell>
          <cell r="F411">
            <v>8.0000000000000071E-2</v>
          </cell>
          <cell r="G411" t="str">
            <v xml:space="preserve">    3030REPU</v>
          </cell>
          <cell r="H411" t="str">
            <v>HE</v>
          </cell>
        </row>
        <row r="412">
          <cell r="A412" t="str">
            <v>000SAL40</v>
          </cell>
          <cell r="B412" t="str">
            <v>SAL PARA EQUIPO DE OSMOSIS 40</v>
          </cell>
          <cell r="C412">
            <v>72.899927100000014</v>
          </cell>
          <cell r="D412">
            <v>8.1081000000000003</v>
          </cell>
          <cell r="E412">
            <v>8.1081000000000003</v>
          </cell>
          <cell r="F412">
            <v>0</v>
          </cell>
          <cell r="G412" t="str">
            <v xml:space="preserve">    3030PTGT</v>
          </cell>
          <cell r="H412" t="str">
            <v>HE</v>
          </cell>
        </row>
        <row r="413">
          <cell r="A413" t="str">
            <v>000SAL50</v>
          </cell>
          <cell r="B413" t="str">
            <v>SAL PARA EQUIPO DE 50 LBS</v>
          </cell>
          <cell r="C413">
            <v>168.1317</v>
          </cell>
          <cell r="D413">
            <v>18.7</v>
          </cell>
          <cell r="E413">
            <v>18.7</v>
          </cell>
          <cell r="F413">
            <v>0</v>
          </cell>
          <cell r="G413" t="str">
            <v xml:space="preserve">    3030PTGT</v>
          </cell>
          <cell r="H413" t="str">
            <v>HE</v>
          </cell>
        </row>
        <row r="414">
          <cell r="A414" t="str">
            <v>000SAL80</v>
          </cell>
          <cell r="B414" t="str">
            <v>SAL PARA EQUIPO DE OSMOSIS 80</v>
          </cell>
          <cell r="C414">
            <v>160.64983935000001</v>
          </cell>
          <cell r="D414">
            <v>17.867850000000004</v>
          </cell>
          <cell r="E414">
            <v>17.867850000000004</v>
          </cell>
          <cell r="F414">
            <v>0</v>
          </cell>
          <cell r="G414" t="str">
            <v xml:space="preserve">    3030PTGT</v>
          </cell>
          <cell r="H414" t="str">
            <v>HE</v>
          </cell>
        </row>
        <row r="415">
          <cell r="A415" t="str">
            <v>10890-014</v>
          </cell>
          <cell r="B415" t="str">
            <v>CATETER TENKOFF PEDIATRICO 32</v>
          </cell>
          <cell r="C415">
            <v>705.92804099999989</v>
          </cell>
          <cell r="D415">
            <v>82.218499999999992</v>
          </cell>
          <cell r="E415">
            <v>82.218499999999992</v>
          </cell>
          <cell r="F415">
            <v>0</v>
          </cell>
          <cell r="G415" t="str">
            <v xml:space="preserve">    3030PTGT</v>
          </cell>
          <cell r="H415" t="str">
            <v>PD</v>
          </cell>
        </row>
        <row r="416">
          <cell r="A416" t="str">
            <v>13817-005</v>
          </cell>
          <cell r="B416" t="str">
            <v>KIT CATETER MAHURKAR 11.5 X 13</v>
          </cell>
          <cell r="C416">
            <v>651.59154000000001</v>
          </cell>
          <cell r="D416">
            <v>75.89</v>
          </cell>
          <cell r="E416">
            <v>75.89</v>
          </cell>
          <cell r="F416">
            <v>0</v>
          </cell>
          <cell r="G416" t="str">
            <v xml:space="preserve">    3030PTGT</v>
          </cell>
          <cell r="H416" t="str">
            <v>PD</v>
          </cell>
        </row>
        <row r="417">
          <cell r="A417" t="str">
            <v>1530-0</v>
          </cell>
          <cell r="B417" t="str">
            <v>TAPE</v>
          </cell>
          <cell r="C417">
            <v>2.2357944000000005</v>
          </cell>
          <cell r="D417">
            <v>0.26040000000000002</v>
          </cell>
          <cell r="E417">
            <v>0.26040000000000002</v>
          </cell>
          <cell r="F417">
            <v>0</v>
          </cell>
          <cell r="G417" t="str">
            <v xml:space="preserve">    3030PTGT</v>
          </cell>
          <cell r="H417" t="str">
            <v>PD</v>
          </cell>
        </row>
        <row r="418">
          <cell r="A418" t="str">
            <v>1533-0</v>
          </cell>
          <cell r="B418" t="str">
            <v>TAPE</v>
          </cell>
          <cell r="C418">
            <v>2.7475200000000002</v>
          </cell>
          <cell r="D418">
            <v>0.32</v>
          </cell>
          <cell r="E418">
            <v>0.32</v>
          </cell>
          <cell r="F418">
            <v>0</v>
          </cell>
          <cell r="G418" t="str">
            <v xml:space="preserve">    3030PTGT</v>
          </cell>
          <cell r="H418" t="str">
            <v>PD</v>
          </cell>
        </row>
        <row r="419">
          <cell r="A419" t="str">
            <v>207256R</v>
          </cell>
          <cell r="B419" t="str">
            <v>SET DE FISTULA</v>
          </cell>
          <cell r="C419">
            <v>8.4159972000000014</v>
          </cell>
          <cell r="D419">
            <v>0.98020000000000007</v>
          </cell>
          <cell r="E419">
            <v>0.754</v>
          </cell>
          <cell r="F419">
            <v>0.22620000000000007</v>
          </cell>
          <cell r="G419" t="str">
            <v xml:space="preserve">    3030PTGT</v>
          </cell>
          <cell r="H419" t="str">
            <v>HE</v>
          </cell>
        </row>
        <row r="420">
          <cell r="A420" t="str">
            <v>210-081</v>
          </cell>
          <cell r="B420" t="str">
            <v>DESFLURANO LIQUIDO VOLATIL</v>
          </cell>
          <cell r="C420">
            <v>243.46728899999997</v>
          </cell>
          <cell r="D420">
            <v>27.078999999999997</v>
          </cell>
          <cell r="E420">
            <v>20.83</v>
          </cell>
          <cell r="F420">
            <v>6.2489999999999988</v>
          </cell>
          <cell r="G420" t="str">
            <v xml:space="preserve">    3030PTGT</v>
          </cell>
          <cell r="H420" t="str">
            <v>AN</v>
          </cell>
        </row>
        <row r="421">
          <cell r="A421" t="str">
            <v>2617-3574</v>
          </cell>
          <cell r="C421">
            <v>87.453658799999985</v>
          </cell>
          <cell r="D421">
            <v>9.7268000000000008</v>
          </cell>
          <cell r="E421">
            <v>3.5422131959999996</v>
          </cell>
          <cell r="F421">
            <v>6.1845868040000012</v>
          </cell>
          <cell r="G421" t="str">
            <v xml:space="preserve">    3030PTGT</v>
          </cell>
          <cell r="H421" t="str">
            <v>EL</v>
          </cell>
        </row>
        <row r="422">
          <cell r="A422" t="str">
            <v>2617-3576</v>
          </cell>
          <cell r="C422">
            <v>183.27973679999997</v>
          </cell>
          <cell r="D422">
            <v>20.384799999999998</v>
          </cell>
          <cell r="E422">
            <v>5.8918388855999995</v>
          </cell>
          <cell r="F422">
            <v>14.4929611144</v>
          </cell>
          <cell r="G422" t="str">
            <v xml:space="preserve">    3030PTGT</v>
          </cell>
          <cell r="H422" t="str">
            <v>EL</v>
          </cell>
        </row>
        <row r="423">
          <cell r="A423" t="str">
            <v>2636-2004</v>
          </cell>
          <cell r="B423" t="str">
            <v>Mitoxantrone ASTA 20 mg. 10 ml</v>
          </cell>
          <cell r="C423">
            <v>485.82680621114963</v>
          </cell>
          <cell r="D423">
            <v>54.034791036720009</v>
          </cell>
          <cell r="E423">
            <v>41.565223874400004</v>
          </cell>
          <cell r="F423">
            <v>12.469567162320004</v>
          </cell>
          <cell r="G423" t="str">
            <v xml:space="preserve">    3030PTGT</v>
          </cell>
          <cell r="H423" t="str">
            <v>EL</v>
          </cell>
        </row>
        <row r="424">
          <cell r="A424" t="str">
            <v>2638-1062</v>
          </cell>
          <cell r="B424" t="str">
            <v>Endoxan 50 mg. 50 tabletas</v>
          </cell>
          <cell r="C424">
            <v>0.81754148167847973</v>
          </cell>
          <cell r="D424">
            <v>9.092887127999999E-2</v>
          </cell>
          <cell r="E424">
            <v>6.994528559999999E-2</v>
          </cell>
          <cell r="F424">
            <v>2.098358568E-2</v>
          </cell>
          <cell r="G424" t="str">
            <v xml:space="preserve">    3030PTGT</v>
          </cell>
          <cell r="H424" t="str">
            <v>EL</v>
          </cell>
        </row>
        <row r="425">
          <cell r="A425" t="str">
            <v>2638-3601</v>
          </cell>
          <cell r="B425" t="str">
            <v>Endoxan 500 mg. 1 fco. ampolla</v>
          </cell>
          <cell r="C425">
            <v>21.389589000000001</v>
          </cell>
          <cell r="D425">
            <v>2.379</v>
          </cell>
          <cell r="E425">
            <v>1.83</v>
          </cell>
          <cell r="F425">
            <v>0.54899999999999993</v>
          </cell>
          <cell r="G425" t="str">
            <v xml:space="preserve">    3030PTGT</v>
          </cell>
          <cell r="H425" t="str">
            <v>EL</v>
          </cell>
        </row>
        <row r="426">
          <cell r="A426" t="str">
            <v>2638-3603</v>
          </cell>
          <cell r="B426" t="str">
            <v>Endoxan 1 g. 1 fco. ampolla</v>
          </cell>
          <cell r="C426">
            <v>32.025942000000001</v>
          </cell>
          <cell r="D426">
            <v>3.5620000000000003</v>
          </cell>
          <cell r="E426">
            <v>2.74</v>
          </cell>
          <cell r="F426">
            <v>0.82200000000000006</v>
          </cell>
          <cell r="G426" t="str">
            <v xml:space="preserve">    3030PTGT</v>
          </cell>
          <cell r="H426" t="str">
            <v>EL</v>
          </cell>
        </row>
        <row r="427">
          <cell r="A427" t="str">
            <v>2639-2058</v>
          </cell>
          <cell r="C427">
            <v>39.537922500000001</v>
          </cell>
          <cell r="D427">
            <v>4.3975</v>
          </cell>
          <cell r="E427">
            <v>0.66011835839999999</v>
          </cell>
          <cell r="F427">
            <v>3.7373816415999999</v>
          </cell>
          <cell r="G427" t="str">
            <v xml:space="preserve">    3030PTGT</v>
          </cell>
          <cell r="H427" t="str">
            <v>EL</v>
          </cell>
        </row>
        <row r="428">
          <cell r="A428" t="str">
            <v>2640-4017</v>
          </cell>
          <cell r="B428" t="str">
            <v>Uromitexan 400mg. 20 tabletas</v>
          </cell>
          <cell r="C428">
            <v>83.337579000000005</v>
          </cell>
          <cell r="D428">
            <v>9.2690000000000001</v>
          </cell>
          <cell r="E428">
            <v>7.13</v>
          </cell>
          <cell r="F428">
            <v>2.1390000000000002</v>
          </cell>
          <cell r="G428" t="str">
            <v xml:space="preserve">    3030PTGT</v>
          </cell>
          <cell r="H428" t="str">
            <v>EL</v>
          </cell>
        </row>
        <row r="429">
          <cell r="A429" t="str">
            <v>29781CE</v>
          </cell>
          <cell r="B429" t="str">
            <v>Cesarean Birth Pk w/pouch 4 cs</v>
          </cell>
          <cell r="C429">
            <v>188.36932724999997</v>
          </cell>
          <cell r="D429">
            <v>21.939125000000001</v>
          </cell>
          <cell r="E429">
            <v>16.876249999999999</v>
          </cell>
          <cell r="F429">
            <v>5.0628750000000018</v>
          </cell>
          <cell r="G429" t="str">
            <v xml:space="preserve">    3030PTGT</v>
          </cell>
          <cell r="H429" t="str">
            <v>CO</v>
          </cell>
        </row>
        <row r="430">
          <cell r="A430" t="str">
            <v>2990-9955</v>
          </cell>
          <cell r="B430" t="str">
            <v>Navelbine 10 mg.</v>
          </cell>
          <cell r="C430">
            <v>259.46857169999998</v>
          </cell>
          <cell r="D430">
            <v>28.858700000000002</v>
          </cell>
          <cell r="E430">
            <v>22.199000000000002</v>
          </cell>
          <cell r="F430">
            <v>6.6597000000000008</v>
          </cell>
          <cell r="G430" t="str">
            <v xml:space="preserve">    3030PTGT</v>
          </cell>
          <cell r="H430" t="str">
            <v>EL</v>
          </cell>
        </row>
        <row r="431">
          <cell r="A431" t="str">
            <v>2990-9956</v>
          </cell>
          <cell r="B431" t="str">
            <v>Navelbine 50 mg.</v>
          </cell>
          <cell r="C431">
            <v>718.58322375371995</v>
          </cell>
          <cell r="D431">
            <v>79.922502919999999</v>
          </cell>
          <cell r="E431">
            <v>61.478848399999997</v>
          </cell>
          <cell r="F431">
            <v>18.443654520000003</v>
          </cell>
          <cell r="G431" t="str">
            <v xml:space="preserve">    3030PTGT</v>
          </cell>
          <cell r="H431" t="str">
            <v>EL</v>
          </cell>
        </row>
        <row r="432">
          <cell r="A432" t="str">
            <v>2B2073Q</v>
          </cell>
          <cell r="B432" t="str">
            <v>LACTATED RINGERS 5% DEXTROSA 5</v>
          </cell>
          <cell r="C432">
            <v>4.4135020799999989</v>
          </cell>
          <cell r="D432">
            <v>0.49087999999999998</v>
          </cell>
          <cell r="E432">
            <v>0.37759999999999999</v>
          </cell>
          <cell r="F432">
            <v>0.11327999999999999</v>
          </cell>
          <cell r="G432" t="str">
            <v xml:space="preserve">    3030PTGT</v>
          </cell>
          <cell r="H432" t="str">
            <v>IV</v>
          </cell>
        </row>
        <row r="433">
          <cell r="A433" t="str">
            <v>2B2074</v>
          </cell>
          <cell r="C433">
            <v>2.5974999000000003</v>
          </cell>
          <cell r="D433">
            <v>0.28889999999999999</v>
          </cell>
          <cell r="E433">
            <v>0.34429999999999999</v>
          </cell>
          <cell r="F433">
            <v>-5.5400000000000005E-2</v>
          </cell>
          <cell r="G433" t="str">
            <v xml:space="preserve">    3030PTGT</v>
          </cell>
          <cell r="H433" t="str">
            <v>IV</v>
          </cell>
        </row>
        <row r="434">
          <cell r="A434" t="str">
            <v>2B2544</v>
          </cell>
          <cell r="C434">
            <v>11.3439447</v>
          </cell>
          <cell r="D434">
            <v>1.2617</v>
          </cell>
          <cell r="E434">
            <v>0.42330000000000001</v>
          </cell>
          <cell r="F434">
            <v>0.83840000000000003</v>
          </cell>
          <cell r="G434" t="str">
            <v xml:space="preserve">    3030PTGT</v>
          </cell>
          <cell r="H434" t="str">
            <v>IV</v>
          </cell>
        </row>
        <row r="435">
          <cell r="A435" t="str">
            <v>2B6751</v>
          </cell>
          <cell r="B435" t="str">
            <v>8.5% TRAVASOL W/LYTES &amp; 5% DEX</v>
          </cell>
          <cell r="C435">
            <v>102.11483294999999</v>
          </cell>
          <cell r="D435">
            <v>11.35745</v>
          </cell>
          <cell r="E435">
            <v>8.7364999999999995</v>
          </cell>
          <cell r="F435">
            <v>2.6209500000000006</v>
          </cell>
          <cell r="G435" t="str">
            <v xml:space="preserve">    3030PTGT</v>
          </cell>
          <cell r="H435" t="str">
            <v>AT</v>
          </cell>
        </row>
        <row r="436">
          <cell r="A436" t="str">
            <v>2B7487</v>
          </cell>
          <cell r="C436">
            <v>19.064516399999995</v>
          </cell>
          <cell r="D436">
            <v>2.1204000000000001</v>
          </cell>
          <cell r="E436">
            <v>0.9758</v>
          </cell>
          <cell r="F436">
            <v>1.1446000000000001</v>
          </cell>
          <cell r="G436" t="str">
            <v xml:space="preserve">    3030PTGT</v>
          </cell>
          <cell r="H436" t="str">
            <v>IV</v>
          </cell>
        </row>
        <row r="437">
          <cell r="A437" t="str">
            <v>2B8043</v>
          </cell>
          <cell r="B437" t="str">
            <v>Sellador manual Clintec para</v>
          </cell>
          <cell r="C437">
            <v>1624.0418999999999</v>
          </cell>
          <cell r="D437">
            <v>189.15</v>
          </cell>
          <cell r="E437">
            <v>145.5</v>
          </cell>
          <cell r="F437">
            <v>43.65</v>
          </cell>
          <cell r="G437" t="str">
            <v xml:space="preserve">    3030PTGT</v>
          </cell>
          <cell r="H437" t="str">
            <v>DD</v>
          </cell>
        </row>
        <row r="438">
          <cell r="A438" t="str">
            <v>2B8045</v>
          </cell>
          <cell r="B438" t="str">
            <v>ANILLOS DE ALUMINIO PARA</v>
          </cell>
          <cell r="C438">
            <v>6.8960969999999983E-2</v>
          </cell>
          <cell r="D438">
            <v>7.6699999999999997E-3</v>
          </cell>
          <cell r="E438">
            <v>5.8999999999999999E-3</v>
          </cell>
          <cell r="F438">
            <v>1.7699999999999999E-3</v>
          </cell>
          <cell r="G438" t="str">
            <v xml:space="preserve">    3030PTGT</v>
          </cell>
          <cell r="H438" t="str">
            <v>AT</v>
          </cell>
        </row>
        <row r="439">
          <cell r="A439" t="str">
            <v>2B8102</v>
          </cell>
          <cell r="B439" t="str">
            <v>Bolsa vac¡a All-in-one x150 mL</v>
          </cell>
          <cell r="C439">
            <v>12.205428299999998</v>
          </cell>
          <cell r="D439">
            <v>1.4215499999999999</v>
          </cell>
          <cell r="E439">
            <v>1.0934999999999999</v>
          </cell>
          <cell r="F439">
            <v>0.32804999999999995</v>
          </cell>
          <cell r="G439" t="str">
            <v xml:space="preserve">    3030PTGT</v>
          </cell>
          <cell r="H439" t="str">
            <v>AT</v>
          </cell>
        </row>
        <row r="440">
          <cell r="A440" t="str">
            <v>2B8112</v>
          </cell>
          <cell r="C440">
            <v>44.717605200000001</v>
          </cell>
          <cell r="D440">
            <v>5.2081999999999997</v>
          </cell>
          <cell r="E440">
            <v>1.1187</v>
          </cell>
          <cell r="F440">
            <v>4.0894999999999992</v>
          </cell>
          <cell r="G440" t="str">
            <v xml:space="preserve">    3030PTGT</v>
          </cell>
          <cell r="H440" t="str">
            <v>AT</v>
          </cell>
        </row>
        <row r="441">
          <cell r="A441" t="str">
            <v>2B8132</v>
          </cell>
          <cell r="C441">
            <v>55.441519200000002</v>
          </cell>
          <cell r="D441">
            <v>6.4572000000000003</v>
          </cell>
          <cell r="E441">
            <v>1.1539999999999999</v>
          </cell>
          <cell r="F441">
            <v>5.3032000000000004</v>
          </cell>
          <cell r="G441" t="str">
            <v xml:space="preserve">    3030PTGT</v>
          </cell>
          <cell r="H441" t="str">
            <v>AT</v>
          </cell>
        </row>
        <row r="442">
          <cell r="A442" t="str">
            <v>2B8152</v>
          </cell>
          <cell r="C442">
            <v>42.996112199999992</v>
          </cell>
          <cell r="D442">
            <v>5.0076999999999998</v>
          </cell>
          <cell r="E442">
            <v>1.1618999999999999</v>
          </cell>
          <cell r="F442">
            <v>3.8457999999999997</v>
          </cell>
          <cell r="G442" t="str">
            <v xml:space="preserve">    3030PTGT</v>
          </cell>
          <cell r="H442" t="str">
            <v>AT</v>
          </cell>
        </row>
        <row r="443">
          <cell r="A443" t="str">
            <v>2B8172</v>
          </cell>
          <cell r="C443">
            <v>7.7943707999999994</v>
          </cell>
          <cell r="D443">
            <v>0.90780000000000005</v>
          </cell>
          <cell r="E443">
            <v>1.1457999999999999</v>
          </cell>
          <cell r="F443">
            <v>-0.23799999999999988</v>
          </cell>
          <cell r="G443" t="str">
            <v xml:space="preserve">    3030PTGT</v>
          </cell>
          <cell r="H443" t="str">
            <v>AT</v>
          </cell>
        </row>
        <row r="444">
          <cell r="A444" t="str">
            <v>2C0477</v>
          </cell>
          <cell r="C444">
            <v>73.709092799999993</v>
          </cell>
          <cell r="D444">
            <v>8.5847999999999995</v>
          </cell>
          <cell r="E444">
            <v>7.4127000000000001</v>
          </cell>
          <cell r="F444">
            <v>1.1720999999999995</v>
          </cell>
          <cell r="G444" t="str">
            <v xml:space="preserve">    3030PTGT</v>
          </cell>
          <cell r="H444" t="str">
            <v>AT</v>
          </cell>
        </row>
        <row r="445">
          <cell r="A445" t="str">
            <v>2C0480</v>
          </cell>
          <cell r="C445">
            <v>100.3420062</v>
          </cell>
          <cell r="D445">
            <v>11.6867</v>
          </cell>
          <cell r="E445">
            <v>12.9764</v>
          </cell>
          <cell r="F445">
            <v>-1.2896999999999998</v>
          </cell>
          <cell r="G445" t="str">
            <v xml:space="preserve">    3030PTGT</v>
          </cell>
          <cell r="H445" t="str">
            <v>AT</v>
          </cell>
        </row>
        <row r="446">
          <cell r="A446" t="str">
            <v>2C0487</v>
          </cell>
          <cell r="C446">
            <v>3.8706254999999996</v>
          </cell>
          <cell r="D446">
            <v>0.43049999999999999</v>
          </cell>
          <cell r="E446">
            <v>0.57499999999999996</v>
          </cell>
          <cell r="F446">
            <v>-0.14449999999999996</v>
          </cell>
          <cell r="G446" t="str">
            <v xml:space="preserve">    3030PTGT</v>
          </cell>
          <cell r="H446" t="str">
            <v>AT</v>
          </cell>
        </row>
        <row r="447">
          <cell r="A447" t="str">
            <v>2C1071K</v>
          </cell>
          <cell r="B447" t="str">
            <v>CD SINGLE DAY INFUSOR 2ML/HR</v>
          </cell>
          <cell r="C447">
            <v>95.142761999999991</v>
          </cell>
          <cell r="D447">
            <v>10.582000000000001</v>
          </cell>
          <cell r="E447">
            <v>8.14</v>
          </cell>
          <cell r="F447">
            <v>2.4420000000000002</v>
          </cell>
          <cell r="G447" t="str">
            <v xml:space="preserve">    3030PTGT</v>
          </cell>
          <cell r="H447" t="str">
            <v>SP</v>
          </cell>
        </row>
        <row r="448">
          <cell r="A448" t="str">
            <v>2C1071KJ</v>
          </cell>
          <cell r="C448">
            <v>144.957438</v>
          </cell>
          <cell r="D448">
            <v>16.882999999999999</v>
          </cell>
          <cell r="E448">
            <v>7.9156000000000004</v>
          </cell>
          <cell r="F448">
            <v>8.9673999999999978</v>
          </cell>
          <cell r="G448" t="str">
            <v xml:space="preserve">    3030PTGT</v>
          </cell>
          <cell r="H448" t="str">
            <v>SP</v>
          </cell>
        </row>
        <row r="449">
          <cell r="A449" t="str">
            <v>2C1080K</v>
          </cell>
          <cell r="B449" t="str">
            <v>MULTI-DAY INFUSOR, 0.5 ML/HR</v>
          </cell>
          <cell r="C449">
            <v>95.991479999999996</v>
          </cell>
          <cell r="D449">
            <v>11.18</v>
          </cell>
          <cell r="E449">
            <v>8.6</v>
          </cell>
          <cell r="F449">
            <v>2.58</v>
          </cell>
          <cell r="G449" t="str">
            <v xml:space="preserve">    3030PTGT</v>
          </cell>
          <cell r="H449" t="str">
            <v>SP</v>
          </cell>
        </row>
        <row r="450">
          <cell r="A450" t="str">
            <v>2C1080KJ</v>
          </cell>
          <cell r="C450">
            <v>129.18753179999999</v>
          </cell>
          <cell r="D450">
            <v>15.0463</v>
          </cell>
          <cell r="E450">
            <v>8.1837999999999997</v>
          </cell>
          <cell r="F450">
            <v>6.8624999999999998</v>
          </cell>
          <cell r="G450" t="str">
            <v xml:space="preserve">    3030PTGT</v>
          </cell>
          <cell r="H450" t="str">
            <v>SP</v>
          </cell>
        </row>
        <row r="451">
          <cell r="A451" t="str">
            <v>2C4013</v>
          </cell>
          <cell r="B451" t="str">
            <v>SET DE IRRIGACION TRANSURETRAL</v>
          </cell>
          <cell r="C451">
            <v>51.058000889999995</v>
          </cell>
          <cell r="D451">
            <v>5.6787899999999993</v>
          </cell>
          <cell r="E451">
            <v>4.3682999999999996</v>
          </cell>
          <cell r="F451">
            <v>1.3104899999999997</v>
          </cell>
          <cell r="G451" t="str">
            <v xml:space="preserve">    3030PTGT</v>
          </cell>
          <cell r="H451" t="str">
            <v>PD</v>
          </cell>
        </row>
        <row r="452">
          <cell r="A452" t="str">
            <v>2C4030</v>
          </cell>
          <cell r="C452">
            <v>49.020730199999996</v>
          </cell>
          <cell r="D452">
            <v>5.4522000000000004</v>
          </cell>
          <cell r="E452">
            <v>3.3517000000000001</v>
          </cell>
          <cell r="F452">
            <v>2.1005000000000003</v>
          </cell>
          <cell r="G452" t="str">
            <v xml:space="preserve">    3030PTGT</v>
          </cell>
          <cell r="H452" t="str">
            <v>EI</v>
          </cell>
        </row>
        <row r="453">
          <cell r="A453" t="str">
            <v>2C4106</v>
          </cell>
          <cell r="B453" t="str">
            <v>CATETER PERITONEAL INFANTIL (A</v>
          </cell>
          <cell r="C453">
            <v>73.315167119999998</v>
          </cell>
          <cell r="D453">
            <v>8.5389199999999992</v>
          </cell>
          <cell r="E453">
            <v>6.5683999999999996</v>
          </cell>
          <cell r="F453">
            <v>1.9705199999999996</v>
          </cell>
          <cell r="G453" t="str">
            <v xml:space="preserve">    3030PTGT</v>
          </cell>
          <cell r="H453" t="str">
            <v>PD</v>
          </cell>
        </row>
        <row r="454">
          <cell r="A454" t="str">
            <v>2C4110</v>
          </cell>
          <cell r="B454" t="str">
            <v>SET ADMINISTRACION SOL. DP.,EQ</v>
          </cell>
          <cell r="C454">
            <v>34.087021020000002</v>
          </cell>
          <cell r="D454">
            <v>3.9700700000000002</v>
          </cell>
          <cell r="E454">
            <v>3.0539000000000001</v>
          </cell>
          <cell r="F454">
            <v>0.91617000000000015</v>
          </cell>
          <cell r="G454" t="str">
            <v xml:space="preserve">    3030PTGT</v>
          </cell>
          <cell r="H454" t="str">
            <v>EI</v>
          </cell>
        </row>
        <row r="455">
          <cell r="A455" t="str">
            <v>2C5427</v>
          </cell>
          <cell r="B455" t="str">
            <v>BASIC SOLUTION SET 2 SITES</v>
          </cell>
          <cell r="C455">
            <v>5.3431536600000005</v>
          </cell>
          <cell r="D455">
            <v>0.62231000000000003</v>
          </cell>
          <cell r="E455">
            <v>0.47870000000000001</v>
          </cell>
          <cell r="F455">
            <v>0.14361000000000002</v>
          </cell>
          <cell r="G455" t="str">
            <v xml:space="preserve">    3030PTGT</v>
          </cell>
          <cell r="H455" t="str">
            <v>PD</v>
          </cell>
        </row>
        <row r="456">
          <cell r="A456" t="str">
            <v>2C5430</v>
          </cell>
          <cell r="C456">
            <v>12.184392599999999</v>
          </cell>
          <cell r="D456">
            <v>1.4191</v>
          </cell>
          <cell r="E456">
            <v>0.45929999999999999</v>
          </cell>
          <cell r="F456">
            <v>0.95979999999999999</v>
          </cell>
          <cell r="G456" t="str">
            <v xml:space="preserve">    3030PTGT</v>
          </cell>
          <cell r="H456" t="str">
            <v>EI</v>
          </cell>
        </row>
        <row r="457">
          <cell r="A457" t="str">
            <v>2C5519</v>
          </cell>
          <cell r="C457">
            <v>28.421377200000002</v>
          </cell>
          <cell r="D457">
            <v>3.3102</v>
          </cell>
          <cell r="E457">
            <v>0.59199999999999997</v>
          </cell>
          <cell r="F457">
            <v>2.7181999999999999</v>
          </cell>
          <cell r="G457" t="str">
            <v xml:space="preserve">    3030PTGT</v>
          </cell>
          <cell r="H457" t="str">
            <v>EI</v>
          </cell>
        </row>
        <row r="458">
          <cell r="A458" t="str">
            <v>2C5519S</v>
          </cell>
          <cell r="B458" t="str">
            <v>Descartable Bomba de infusi¢n</v>
          </cell>
          <cell r="C458">
            <v>9.3379618799999999</v>
          </cell>
          <cell r="D458">
            <v>1.08758</v>
          </cell>
          <cell r="E458">
            <v>0.8365999999999999</v>
          </cell>
          <cell r="F458">
            <v>0.25098000000000009</v>
          </cell>
          <cell r="G458" t="str">
            <v xml:space="preserve">    3030PTGT</v>
          </cell>
          <cell r="H458" t="str">
            <v>EI</v>
          </cell>
        </row>
        <row r="459">
          <cell r="A459" t="str">
            <v>2C6895</v>
          </cell>
          <cell r="B459" t="str">
            <v>INTERLINK CONTINUOUS FLO SOLUT</v>
          </cell>
          <cell r="C459">
            <v>23.568140700000001</v>
          </cell>
          <cell r="D459">
            <v>2.7449500000000002</v>
          </cell>
          <cell r="E459">
            <v>2.1114999999999999</v>
          </cell>
          <cell r="F459">
            <v>0.63345000000000029</v>
          </cell>
          <cell r="G459" t="str">
            <v xml:space="preserve">    3030PTGT</v>
          </cell>
          <cell r="H459" t="str">
            <v>SP</v>
          </cell>
        </row>
        <row r="460">
          <cell r="A460" t="str">
            <v>2C7553</v>
          </cell>
          <cell r="C460">
            <v>29.467151999999999</v>
          </cell>
          <cell r="D460">
            <v>3.4319999999999999</v>
          </cell>
          <cell r="E460">
            <v>1.8471</v>
          </cell>
          <cell r="F460">
            <v>1.5849</v>
          </cell>
          <cell r="G460" t="str">
            <v xml:space="preserve">    3030PTGT</v>
          </cell>
          <cell r="H460" t="str">
            <v>EI</v>
          </cell>
        </row>
        <row r="461">
          <cell r="A461" t="str">
            <v>2C7600</v>
          </cell>
          <cell r="B461" t="str">
            <v>EQUIPO TRANSFUSION S/AGUJA</v>
          </cell>
          <cell r="C461">
            <v>9.3814929000000014</v>
          </cell>
          <cell r="D461">
            <v>1.0926500000000001</v>
          </cell>
          <cell r="E461">
            <v>0.84050000000000002</v>
          </cell>
          <cell r="F461">
            <v>0.2521500000000001</v>
          </cell>
          <cell r="G461" t="str">
            <v xml:space="preserve">    3030PTGT</v>
          </cell>
          <cell r="H461" t="str">
            <v>EI</v>
          </cell>
        </row>
        <row r="462">
          <cell r="A462" t="str">
            <v>2C7831</v>
          </cell>
          <cell r="B462" t="str">
            <v>Dispositivo protector de aguja</v>
          </cell>
          <cell r="C462">
            <v>1.13180652</v>
          </cell>
          <cell r="D462">
            <v>0.13182000000000002</v>
          </cell>
          <cell r="E462">
            <v>0.1014</v>
          </cell>
          <cell r="F462">
            <v>3.0420000000000016E-2</v>
          </cell>
          <cell r="G462" t="str">
            <v xml:space="preserve">    3030PTGT</v>
          </cell>
          <cell r="H462" t="str">
            <v>EI</v>
          </cell>
        </row>
        <row r="463">
          <cell r="A463" t="str">
            <v>2D7251</v>
          </cell>
          <cell r="B463" t="str">
            <v>GUANTES QUIRURGICOS TALLA 6</v>
          </cell>
          <cell r="C463">
            <v>2.0704580909999999</v>
          </cell>
          <cell r="D463">
            <v>0.24114350000000001</v>
          </cell>
          <cell r="E463">
            <v>0.18549499999999999</v>
          </cell>
          <cell r="F463">
            <v>5.5648500000000017E-2</v>
          </cell>
          <cell r="G463" t="str">
            <v xml:space="preserve">    3030PTGT</v>
          </cell>
          <cell r="H463" t="str">
            <v>EI</v>
          </cell>
        </row>
        <row r="464">
          <cell r="A464" t="str">
            <v>2D7252</v>
          </cell>
          <cell r="B464" t="str">
            <v>GUANTES QUIRURGICOS TALLA 6 1/</v>
          </cell>
          <cell r="C464">
            <v>2.0704580909999999</v>
          </cell>
          <cell r="D464">
            <v>0.24114350000000001</v>
          </cell>
          <cell r="E464">
            <v>0.18549499999999999</v>
          </cell>
          <cell r="F464">
            <v>5.5648500000000017E-2</v>
          </cell>
          <cell r="G464" t="str">
            <v xml:space="preserve">    3030PTGT</v>
          </cell>
          <cell r="H464" t="str">
            <v>CO</v>
          </cell>
        </row>
        <row r="465">
          <cell r="A465" t="str">
            <v>2D7253</v>
          </cell>
          <cell r="B465" t="str">
            <v>GUANTES QUIRURGICOS TALLA 7</v>
          </cell>
          <cell r="C465">
            <v>2.0704580909999999</v>
          </cell>
          <cell r="D465">
            <v>0.24114350000000001</v>
          </cell>
          <cell r="E465">
            <v>0.18549499999999999</v>
          </cell>
          <cell r="F465">
            <v>5.5648500000000017E-2</v>
          </cell>
          <cell r="G465" t="str">
            <v xml:space="preserve">    3030PTGT</v>
          </cell>
          <cell r="H465" t="str">
            <v>CO</v>
          </cell>
        </row>
        <row r="466">
          <cell r="A466" t="str">
            <v>2D7254</v>
          </cell>
          <cell r="B466" t="str">
            <v>GUANTES QUIRURGICOS TALLA 7 1/</v>
          </cell>
          <cell r="C466">
            <v>2.0704580909999999</v>
          </cell>
          <cell r="D466">
            <v>0.24114350000000001</v>
          </cell>
          <cell r="E466">
            <v>0.18549499999999999</v>
          </cell>
          <cell r="F466">
            <v>5.5648500000000017E-2</v>
          </cell>
          <cell r="G466" t="str">
            <v xml:space="preserve">    3030PTGT</v>
          </cell>
          <cell r="H466" t="str">
            <v>CO</v>
          </cell>
        </row>
        <row r="467">
          <cell r="A467" t="str">
            <v>2D7255</v>
          </cell>
          <cell r="B467" t="str">
            <v>GUANTES QUIRURGICOS TALLA 8</v>
          </cell>
          <cell r="C467">
            <v>2.0704580909999999</v>
          </cell>
          <cell r="D467">
            <v>0.24114350000000001</v>
          </cell>
          <cell r="E467">
            <v>0.18549499999999999</v>
          </cell>
          <cell r="F467">
            <v>5.5648500000000017E-2</v>
          </cell>
          <cell r="G467" t="str">
            <v xml:space="preserve">    3030PTGT</v>
          </cell>
          <cell r="H467" t="str">
            <v>CO</v>
          </cell>
        </row>
        <row r="468">
          <cell r="A468" t="str">
            <v>2DA</v>
          </cell>
          <cell r="H468" t="e">
            <v>#N/A</v>
          </cell>
        </row>
        <row r="469">
          <cell r="A469" t="str">
            <v>2M8043</v>
          </cell>
          <cell r="B469" t="str">
            <v>Bomba infusi¢n volum‚trica Flo</v>
          </cell>
          <cell r="C469">
            <v>10054.0248354</v>
          </cell>
          <cell r="D469">
            <v>1170.9789000000001</v>
          </cell>
          <cell r="E469">
            <v>900.75300000000004</v>
          </cell>
          <cell r="F469">
            <v>270.22590000000002</v>
          </cell>
          <cell r="G469" t="str">
            <v xml:space="preserve">    3030PTGT</v>
          </cell>
          <cell r="H469" t="str">
            <v>EI</v>
          </cell>
        </row>
        <row r="470">
          <cell r="A470" t="str">
            <v>2M8063</v>
          </cell>
          <cell r="B470" t="str">
            <v>Bomba infusi¢n volum‚trica Flo</v>
          </cell>
          <cell r="C470">
            <v>8921.2740271200018</v>
          </cell>
          <cell r="D470">
            <v>1039.0489200000002</v>
          </cell>
          <cell r="E470">
            <v>799.26840000000004</v>
          </cell>
          <cell r="F470">
            <v>239.78052000000014</v>
          </cell>
          <cell r="G470" t="str">
            <v xml:space="preserve">    3030PTGT</v>
          </cell>
          <cell r="H470" t="str">
            <v>EI</v>
          </cell>
        </row>
        <row r="471">
          <cell r="A471" t="str">
            <v>2M8072</v>
          </cell>
          <cell r="B471" t="str">
            <v>100 pies cable para computador</v>
          </cell>
          <cell r="C471">
            <v>914.99190354000018</v>
          </cell>
          <cell r="D471">
            <v>106.56789000000002</v>
          </cell>
          <cell r="E471">
            <v>96.879900000000006</v>
          </cell>
          <cell r="F471">
            <v>9.6879900000000134</v>
          </cell>
          <cell r="G471" t="str">
            <v xml:space="preserve">    3030REPU</v>
          </cell>
          <cell r="H471" t="str">
            <v>BP</v>
          </cell>
        </row>
        <row r="472">
          <cell r="A472" t="str">
            <v>2M8074</v>
          </cell>
          <cell r="B472" t="str">
            <v>Etiquetas adhesivas 5 pulgadas</v>
          </cell>
          <cell r="C472">
            <v>0.39512772000000002</v>
          </cell>
          <cell r="D472">
            <v>4.6020000000000005E-2</v>
          </cell>
          <cell r="E472">
            <v>3.5400000000000001E-2</v>
          </cell>
          <cell r="F472">
            <v>1.0620000000000004E-2</v>
          </cell>
          <cell r="G472" t="str">
            <v xml:space="preserve">    3030PTGT</v>
          </cell>
          <cell r="H472" t="str">
            <v>EI</v>
          </cell>
        </row>
        <row r="473">
          <cell r="A473" t="str">
            <v>2M8075</v>
          </cell>
          <cell r="B473" t="str">
            <v>AUTOMIX</v>
          </cell>
          <cell r="C473">
            <v>50982.024897180003</v>
          </cell>
          <cell r="D473">
            <v>5937.8086300000004</v>
          </cell>
          <cell r="E473">
            <v>4567.5451000000003</v>
          </cell>
          <cell r="F473">
            <v>1370.2635300000002</v>
          </cell>
          <cell r="G473" t="str">
            <v xml:space="preserve">    3030PTGT</v>
          </cell>
          <cell r="H473" t="str">
            <v>EI</v>
          </cell>
        </row>
        <row r="474">
          <cell r="A474" t="str">
            <v>2M8151</v>
          </cell>
          <cell r="B474" t="str">
            <v>Bomba infusi¢n volum‚trica Co-</v>
          </cell>
          <cell r="C474">
            <v>12579.923432700001</v>
          </cell>
          <cell r="D474">
            <v>1465.16695</v>
          </cell>
          <cell r="E474">
            <v>1127.0515</v>
          </cell>
          <cell r="F474">
            <v>338.11545000000001</v>
          </cell>
          <cell r="G474" t="str">
            <v xml:space="preserve">    3030PTGT</v>
          </cell>
          <cell r="H474" t="str">
            <v>EI</v>
          </cell>
        </row>
        <row r="475">
          <cell r="A475" t="str">
            <v>2M8153R</v>
          </cell>
          <cell r="B475" t="str">
            <v>BOMBA DE INFUSION, COLLEAGUE,</v>
          </cell>
          <cell r="C475">
            <v>16446.800682000001</v>
          </cell>
          <cell r="D475">
            <v>1915.537</v>
          </cell>
          <cell r="E475">
            <v>1473.49</v>
          </cell>
          <cell r="F475">
            <v>442.04700000000003</v>
          </cell>
          <cell r="G475" t="str">
            <v xml:space="preserve">    3030PTGT</v>
          </cell>
          <cell r="H475" t="str">
            <v>EI</v>
          </cell>
        </row>
        <row r="476">
          <cell r="A476" t="str">
            <v>2M8286</v>
          </cell>
          <cell r="B476" t="str">
            <v>AUTOMIX 3</v>
          </cell>
          <cell r="C476">
            <v>53291.456009999994</v>
          </cell>
          <cell r="D476">
            <v>6206.7849999999999</v>
          </cell>
          <cell r="E476">
            <v>4774.45</v>
          </cell>
          <cell r="F476">
            <v>1432.335</v>
          </cell>
          <cell r="G476" t="str">
            <v xml:space="preserve">    3030PTGT</v>
          </cell>
          <cell r="H476" t="str">
            <v>AT</v>
          </cell>
        </row>
        <row r="477">
          <cell r="A477" t="str">
            <v>2M8286R</v>
          </cell>
          <cell r="B477" t="str">
            <v>AUTOMIX 3+3 COMPOUNDER</v>
          </cell>
          <cell r="C477">
            <v>11161.8</v>
          </cell>
          <cell r="D477">
            <v>1300</v>
          </cell>
          <cell r="E477">
            <v>1000</v>
          </cell>
          <cell r="F477">
            <v>300</v>
          </cell>
          <cell r="G477" t="str">
            <v xml:space="preserve">    3030PTGT</v>
          </cell>
          <cell r="H477" t="str">
            <v>AT</v>
          </cell>
        </row>
        <row r="478">
          <cell r="A478" t="str">
            <v>2M8290</v>
          </cell>
          <cell r="B478" t="str">
            <v>Sistema automatizado Micromix</v>
          </cell>
          <cell r="C478">
            <v>159211.91520000002</v>
          </cell>
          <cell r="D478">
            <v>18543.2</v>
          </cell>
          <cell r="E478">
            <v>14264</v>
          </cell>
          <cell r="F478">
            <v>4279.2</v>
          </cell>
          <cell r="G478" t="str">
            <v xml:space="preserve">    3030PTGT</v>
          </cell>
          <cell r="H478" t="str">
            <v>AT</v>
          </cell>
        </row>
        <row r="479">
          <cell r="A479" t="str">
            <v>2N2700X</v>
          </cell>
          <cell r="B479" t="str">
            <v>AGUJA BIOPSIA 3"</v>
          </cell>
          <cell r="C479">
            <v>42.937212240000015</v>
          </cell>
          <cell r="D479">
            <v>5.0008400000000011</v>
          </cell>
          <cell r="E479">
            <v>3.8468000000000004</v>
          </cell>
          <cell r="F479">
            <v>1.1540400000000006</v>
          </cell>
          <cell r="G479" t="str">
            <v xml:space="preserve">    3030PTGT</v>
          </cell>
          <cell r="H479" t="str">
            <v>SP</v>
          </cell>
        </row>
        <row r="480">
          <cell r="A480" t="str">
            <v>2N2704X</v>
          </cell>
          <cell r="B480" t="str">
            <v>AGUJA TRUCUT DE 6"</v>
          </cell>
          <cell r="C480">
            <v>42.230670300000007</v>
          </cell>
          <cell r="D480">
            <v>4.9185500000000006</v>
          </cell>
          <cell r="E480">
            <v>3.7835000000000001</v>
          </cell>
          <cell r="F480">
            <v>1.1350500000000006</v>
          </cell>
          <cell r="G480" t="str">
            <v xml:space="preserve">    3030PTGT</v>
          </cell>
          <cell r="H480" t="str">
            <v>SP</v>
          </cell>
        </row>
        <row r="481">
          <cell r="A481" t="str">
            <v>2N2713X</v>
          </cell>
          <cell r="B481" t="str">
            <v>AGUJA TRUCUT DE 6"</v>
          </cell>
          <cell r="C481">
            <v>50.786189999999998</v>
          </cell>
          <cell r="D481">
            <v>5.915</v>
          </cell>
          <cell r="E481">
            <v>4.55</v>
          </cell>
          <cell r="F481">
            <v>1.365</v>
          </cell>
          <cell r="G481" t="str">
            <v xml:space="preserve">    3030PTGT</v>
          </cell>
          <cell r="H481" t="str">
            <v>SP</v>
          </cell>
        </row>
        <row r="482">
          <cell r="A482" t="str">
            <v>3B3043W29</v>
          </cell>
          <cell r="C482">
            <v>27.400971599999998</v>
          </cell>
          <cell r="D482">
            <v>3.0476000000000001</v>
          </cell>
          <cell r="E482">
            <v>3.8873549999999999</v>
          </cell>
          <cell r="F482">
            <v>-0.83975499999999981</v>
          </cell>
          <cell r="G482" t="str">
            <v xml:space="preserve">    3030PTGT</v>
          </cell>
          <cell r="H482" t="str">
            <v>AT</v>
          </cell>
        </row>
        <row r="483">
          <cell r="A483" t="str">
            <v>3B4043N29</v>
          </cell>
          <cell r="B483" t="str">
            <v>LIPIDOS AL 20%</v>
          </cell>
          <cell r="C483">
            <v>56.314229399999995</v>
          </cell>
          <cell r="D483">
            <v>6.2633999999999999</v>
          </cell>
          <cell r="E483">
            <v>4.8179999999999996</v>
          </cell>
          <cell r="F483">
            <v>1.4454000000000002</v>
          </cell>
          <cell r="G483" t="str">
            <v xml:space="preserve">    3030PTGT</v>
          </cell>
          <cell r="H483" t="str">
            <v>AT</v>
          </cell>
        </row>
        <row r="484">
          <cell r="A484" t="str">
            <v>3B4043W29</v>
          </cell>
          <cell r="C484">
            <v>29.247722999999997</v>
          </cell>
          <cell r="D484">
            <v>3.2530000000000001</v>
          </cell>
          <cell r="E484">
            <v>4.8179999999999996</v>
          </cell>
          <cell r="F484">
            <v>-1.5649999999999999</v>
          </cell>
          <cell r="G484" t="str">
            <v xml:space="preserve">    3030PTGT</v>
          </cell>
          <cell r="H484" t="str">
            <v>AT</v>
          </cell>
        </row>
        <row r="485">
          <cell r="A485" t="str">
            <v>4C2300</v>
          </cell>
          <cell r="C485">
            <v>115.50058919999998</v>
          </cell>
          <cell r="D485">
            <v>13.452199999999999</v>
          </cell>
          <cell r="E485">
            <v>6.0385</v>
          </cell>
          <cell r="F485">
            <v>7.4136999999999995</v>
          </cell>
          <cell r="G485" t="str">
            <v xml:space="preserve">    3030PTGT</v>
          </cell>
          <cell r="H485" t="str">
            <v>BP</v>
          </cell>
        </row>
        <row r="486">
          <cell r="A486" t="str">
            <v>4C2442</v>
          </cell>
          <cell r="B486" t="str">
            <v>FILTROS PARA GLOBULOS BLANCOS</v>
          </cell>
          <cell r="C486">
            <v>152.18109738000001</v>
          </cell>
          <cell r="D486">
            <v>17.724330000000002</v>
          </cell>
          <cell r="E486">
            <v>13.6341</v>
          </cell>
          <cell r="F486">
            <v>4.0902300000000018</v>
          </cell>
          <cell r="G486" t="str">
            <v xml:space="preserve">    3030PTGT</v>
          </cell>
          <cell r="H486" t="str">
            <v>BP</v>
          </cell>
        </row>
        <row r="487">
          <cell r="A487" t="str">
            <v>4C2456</v>
          </cell>
          <cell r="B487" t="str">
            <v>FILTROS SEPACELL PL-10A</v>
          </cell>
          <cell r="C487">
            <v>177.94141560000003</v>
          </cell>
          <cell r="D487">
            <v>20.724600000000002</v>
          </cell>
          <cell r="E487">
            <v>15.942</v>
          </cell>
          <cell r="F487">
            <v>4.7826000000000022</v>
          </cell>
          <cell r="G487" t="str">
            <v xml:space="preserve">    3030PTGT</v>
          </cell>
          <cell r="H487" t="str">
            <v>BP</v>
          </cell>
        </row>
        <row r="488">
          <cell r="A488" t="str">
            <v>4C2491</v>
          </cell>
          <cell r="B488" t="str">
            <v>Filtro Sepacell p`leucoreducci</v>
          </cell>
          <cell r="C488">
            <v>69.888494519999995</v>
          </cell>
          <cell r="D488">
            <v>8.1398200000000003</v>
          </cell>
          <cell r="E488">
            <v>6.2614000000000001</v>
          </cell>
          <cell r="F488">
            <v>1.8784200000000002</v>
          </cell>
          <cell r="G488" t="str">
            <v xml:space="preserve">    3030PTGT</v>
          </cell>
          <cell r="H488" t="str">
            <v>BP</v>
          </cell>
        </row>
        <row r="489">
          <cell r="A489" t="str">
            <v>4C2495</v>
          </cell>
          <cell r="C489">
            <v>243.48608100000001</v>
          </cell>
          <cell r="D489">
            <v>28.358499999999999</v>
          </cell>
          <cell r="E489">
            <v>15.2226</v>
          </cell>
          <cell r="F489">
            <v>13.135899999999999</v>
          </cell>
          <cell r="G489" t="str">
            <v xml:space="preserve">    3030PTGT</v>
          </cell>
          <cell r="H489" t="str">
            <v>BP</v>
          </cell>
        </row>
        <row r="490">
          <cell r="A490" t="str">
            <v>4C2496</v>
          </cell>
          <cell r="B490" t="str">
            <v>Filtro Sepacell p`leucoreducci</v>
          </cell>
          <cell r="C490">
            <v>182.85930468000001</v>
          </cell>
          <cell r="D490">
            <v>21.29738</v>
          </cell>
          <cell r="E490">
            <v>16.3826</v>
          </cell>
          <cell r="F490">
            <v>4.9147800000000004</v>
          </cell>
          <cell r="G490" t="str">
            <v xml:space="preserve">    3030PTGT</v>
          </cell>
          <cell r="H490" t="str">
            <v>BP</v>
          </cell>
        </row>
        <row r="491">
          <cell r="A491" t="str">
            <v>4C4503</v>
          </cell>
          <cell r="B491" t="str">
            <v>SET DE REDUCCION DE LEUCOCITOS</v>
          </cell>
          <cell r="C491">
            <v>182.37041783999999</v>
          </cell>
          <cell r="D491">
            <v>21.24044</v>
          </cell>
          <cell r="E491">
            <v>16.338799999999999</v>
          </cell>
          <cell r="F491">
            <v>4.9016400000000004</v>
          </cell>
          <cell r="G491" t="str">
            <v xml:space="preserve">    3030PTGT</v>
          </cell>
          <cell r="H491" t="str">
            <v>BP</v>
          </cell>
        </row>
        <row r="492">
          <cell r="A492" t="str">
            <v>4R2001</v>
          </cell>
          <cell r="C492">
            <v>8.7285275999999996</v>
          </cell>
          <cell r="D492">
            <v>1.0165999999999999</v>
          </cell>
          <cell r="E492">
            <v>0.71789999999999998</v>
          </cell>
          <cell r="F492">
            <v>0.29869999999999997</v>
          </cell>
          <cell r="G492" t="str">
            <v xml:space="preserve">    3030PTGT</v>
          </cell>
          <cell r="H492" t="str">
            <v>BP</v>
          </cell>
        </row>
        <row r="493">
          <cell r="A493" t="str">
            <v>4R2014</v>
          </cell>
          <cell r="C493">
            <v>8.5027157999999989</v>
          </cell>
          <cell r="D493">
            <v>0.99029999999999996</v>
          </cell>
          <cell r="E493">
            <v>0.69359999999999999</v>
          </cell>
          <cell r="F493">
            <v>0.29669999999999996</v>
          </cell>
          <cell r="G493" t="str">
            <v xml:space="preserve">    3030PTGT</v>
          </cell>
          <cell r="H493" t="str">
            <v>BP</v>
          </cell>
        </row>
        <row r="494">
          <cell r="A494" t="str">
            <v>4R2032</v>
          </cell>
          <cell r="B494" t="str">
            <v>BOLSAS DE TRANSFERENCIA DE</v>
          </cell>
          <cell r="C494">
            <v>8.6191419600000003</v>
          </cell>
          <cell r="D494">
            <v>1.00386</v>
          </cell>
          <cell r="E494">
            <v>0.7722</v>
          </cell>
          <cell r="F494">
            <v>0.23165999999999998</v>
          </cell>
          <cell r="G494" t="str">
            <v xml:space="preserve">    3030PTGT</v>
          </cell>
          <cell r="H494" t="str">
            <v>BP</v>
          </cell>
        </row>
        <row r="495">
          <cell r="A495" t="str">
            <v>4R2180T</v>
          </cell>
          <cell r="C495">
            <v>1019.0843603999999</v>
          </cell>
          <cell r="D495">
            <v>118.6914</v>
          </cell>
          <cell r="E495">
            <v>50.864199999999997</v>
          </cell>
          <cell r="F495">
            <v>67.827200000000005</v>
          </cell>
          <cell r="G495" t="str">
            <v xml:space="preserve">    3030PTGT</v>
          </cell>
          <cell r="H495" t="str">
            <v>PT</v>
          </cell>
        </row>
        <row r="496">
          <cell r="A496" t="str">
            <v>4R2182</v>
          </cell>
          <cell r="C496">
            <v>1016.5214394000001</v>
          </cell>
          <cell r="D496">
            <v>118.3929</v>
          </cell>
          <cell r="E496">
            <v>50.536099999999998</v>
          </cell>
          <cell r="F496">
            <v>67.856799999999993</v>
          </cell>
          <cell r="G496" t="str">
            <v xml:space="preserve">    3030PTGT</v>
          </cell>
          <cell r="H496" t="str">
            <v>PT</v>
          </cell>
        </row>
        <row r="497">
          <cell r="A497" t="str">
            <v>4R2310</v>
          </cell>
          <cell r="C497">
            <v>1094.7149999999999</v>
          </cell>
          <cell r="D497">
            <v>127.5</v>
          </cell>
          <cell r="E497">
            <v>44.3645</v>
          </cell>
          <cell r="F497">
            <v>83.135500000000008</v>
          </cell>
          <cell r="G497" t="str">
            <v xml:space="preserve">    3030PTGT</v>
          </cell>
          <cell r="H497" t="str">
            <v>PT</v>
          </cell>
        </row>
        <row r="498">
          <cell r="A498" t="str">
            <v>4R4211</v>
          </cell>
          <cell r="B498" t="str">
            <v>Silla para donante FENWALL.</v>
          </cell>
          <cell r="C498">
            <v>11071.835892000001</v>
          </cell>
          <cell r="D498">
            <v>1289.5220000000002</v>
          </cell>
          <cell r="E498">
            <v>991.94</v>
          </cell>
          <cell r="F498">
            <v>297.58200000000011</v>
          </cell>
          <cell r="G498" t="str">
            <v xml:space="preserve">    3030PTGT</v>
          </cell>
          <cell r="H498" t="str">
            <v>BP</v>
          </cell>
        </row>
        <row r="499">
          <cell r="A499" t="str">
            <v>4R4335</v>
          </cell>
          <cell r="B499" t="str">
            <v>Hematr¢n III,sella tubos PVC</v>
          </cell>
          <cell r="C499">
            <v>9598.5899100000006</v>
          </cell>
          <cell r="D499">
            <v>1117.9349999999999</v>
          </cell>
          <cell r="E499">
            <v>859.95</v>
          </cell>
          <cell r="F499">
            <v>257.98500000000001</v>
          </cell>
          <cell r="G499" t="str">
            <v xml:space="preserve">    3030PTGT</v>
          </cell>
          <cell r="H499" t="str">
            <v>BP</v>
          </cell>
        </row>
        <row r="500">
          <cell r="A500" t="str">
            <v>4R4409</v>
          </cell>
          <cell r="B500" t="str">
            <v>Contenedor de cartÖn para Plas</v>
          </cell>
          <cell r="C500">
            <v>1.3572748800000001</v>
          </cell>
          <cell r="D500">
            <v>0.15808</v>
          </cell>
          <cell r="E500">
            <v>0.1216</v>
          </cell>
          <cell r="F500">
            <v>3.6479999999999999E-2</v>
          </cell>
          <cell r="G500" t="str">
            <v xml:space="preserve">    3030PTGT</v>
          </cell>
          <cell r="H500" t="str">
            <v>BP</v>
          </cell>
        </row>
        <row r="501">
          <cell r="A501" t="str">
            <v>4R4413P</v>
          </cell>
          <cell r="C501">
            <v>1.5077016000000001</v>
          </cell>
          <cell r="D501">
            <v>0.17560000000000001</v>
          </cell>
          <cell r="E501">
            <v>0.2026</v>
          </cell>
          <cell r="F501">
            <v>-2.6999999999999996E-2</v>
          </cell>
          <cell r="G501" t="str">
            <v xml:space="preserve">    3030PTGT</v>
          </cell>
          <cell r="H501" t="str">
            <v>BP</v>
          </cell>
        </row>
        <row r="502">
          <cell r="A502" t="str">
            <v>4R4414</v>
          </cell>
          <cell r="B502" t="str">
            <v>MANUAL PLASMA EXTRACTOR</v>
          </cell>
          <cell r="C502">
            <v>2309.5382660999999</v>
          </cell>
          <cell r="D502">
            <v>268.98885000000001</v>
          </cell>
          <cell r="E502">
            <v>206.9145</v>
          </cell>
          <cell r="F502">
            <v>62.07435000000001</v>
          </cell>
          <cell r="G502" t="str">
            <v xml:space="preserve">    3030PTGT</v>
          </cell>
          <cell r="H502" t="str">
            <v>BP</v>
          </cell>
        </row>
        <row r="503">
          <cell r="A503" t="str">
            <v>4R4418</v>
          </cell>
          <cell r="B503" t="str">
            <v>CLIPS, HAND SEALER</v>
          </cell>
          <cell r="C503">
            <v>6.5854619999999989E-2</v>
          </cell>
          <cell r="D503">
            <v>7.6699999999999997E-3</v>
          </cell>
          <cell r="E503">
            <v>5.8999999999999999E-3</v>
          </cell>
          <cell r="F503">
            <v>1.7699999999999999E-3</v>
          </cell>
          <cell r="G503" t="str">
            <v xml:space="preserve">    3030PTGT</v>
          </cell>
          <cell r="H503" t="str">
            <v>BP</v>
          </cell>
        </row>
        <row r="504">
          <cell r="A504" t="str">
            <v>4R4453</v>
          </cell>
          <cell r="B504" t="str">
            <v>TUBO SEPARADOR DE DONADOR</v>
          </cell>
          <cell r="C504">
            <v>500.82996599999996</v>
          </cell>
          <cell r="D504">
            <v>58.330999999999996</v>
          </cell>
          <cell r="E504">
            <v>44.87</v>
          </cell>
          <cell r="F504">
            <v>13.460999999999999</v>
          </cell>
          <cell r="G504" t="str">
            <v xml:space="preserve">    3030PTGT</v>
          </cell>
          <cell r="H504" t="str">
            <v>BP</v>
          </cell>
        </row>
        <row r="505">
          <cell r="A505" t="str">
            <v>4R4454</v>
          </cell>
          <cell r="B505" t="str">
            <v>SELLADORES PARA BOLSAS DE SANG</v>
          </cell>
          <cell r="C505">
            <v>615.43932840000002</v>
          </cell>
          <cell r="D505">
            <v>71.679400000000001</v>
          </cell>
          <cell r="E505">
            <v>55.137999999999998</v>
          </cell>
          <cell r="F505">
            <v>16.541400000000003</v>
          </cell>
          <cell r="G505" t="str">
            <v xml:space="preserve">    3030PTGT</v>
          </cell>
          <cell r="H505" t="str">
            <v>BP</v>
          </cell>
        </row>
        <row r="506">
          <cell r="A506" t="str">
            <v>4R4538</v>
          </cell>
          <cell r="B506" t="str">
            <v>MAQUINA CS 3,000</v>
          </cell>
          <cell r="C506">
            <v>358000.47356813995</v>
          </cell>
          <cell r="D506">
            <v>41695.838990000004</v>
          </cell>
          <cell r="E506">
            <v>32073.722300000001</v>
          </cell>
          <cell r="F506">
            <v>9622.1166900000026</v>
          </cell>
          <cell r="G506" t="str">
            <v xml:space="preserve">    3030PTGT</v>
          </cell>
          <cell r="H506" t="str">
            <v>HE</v>
          </cell>
        </row>
        <row r="507">
          <cell r="A507" t="str">
            <v>4R4545R</v>
          </cell>
          <cell r="B507" t="str">
            <v>Fluid Management Module</v>
          </cell>
          <cell r="C507">
            <v>1.1161799999999999E-2</v>
          </cell>
          <cell r="D507">
            <v>1.3000000000000002E-3</v>
          </cell>
          <cell r="E507">
            <v>1E-3</v>
          </cell>
          <cell r="F507">
            <v>3.0000000000000014E-4</v>
          </cell>
          <cell r="G507" t="str">
            <v xml:space="preserve">    3030PTGT</v>
          </cell>
          <cell r="H507" t="str">
            <v>HE</v>
          </cell>
        </row>
        <row r="508">
          <cell r="A508" t="str">
            <v>4R6302P</v>
          </cell>
          <cell r="B508" t="str">
            <v>BOLSA TRIPLE RECOLECTORA DE SA</v>
          </cell>
          <cell r="C508">
            <v>44.773328339999999</v>
          </cell>
          <cell r="D508">
            <v>5.2146900000000009</v>
          </cell>
          <cell r="E508">
            <v>4.0113000000000003</v>
          </cell>
          <cell r="F508">
            <v>1.2033900000000006</v>
          </cell>
          <cell r="G508" t="str">
            <v xml:space="preserve">    3030PTGT</v>
          </cell>
          <cell r="H508" t="str">
            <v>BP</v>
          </cell>
        </row>
        <row r="509">
          <cell r="A509" t="str">
            <v>4R6402P</v>
          </cell>
          <cell r="B509" t="str">
            <v>BOLSA SANGRE CPDA-1 TRIPE x 6</v>
          </cell>
          <cell r="C509">
            <v>68.320261619999997</v>
          </cell>
          <cell r="D509">
            <v>7.9571699999999996</v>
          </cell>
          <cell r="E509">
            <v>6.1208999999999998</v>
          </cell>
          <cell r="F509">
            <v>1.8362699999999998</v>
          </cell>
          <cell r="G509" t="str">
            <v xml:space="preserve">    3030PTGT</v>
          </cell>
          <cell r="H509" t="str">
            <v>BP</v>
          </cell>
        </row>
        <row r="510">
          <cell r="A510" t="str">
            <v>5B9866</v>
          </cell>
          <cell r="B510" t="str">
            <v>DIANEAL 1.5%U-BAG 2 Lts.</v>
          </cell>
          <cell r="C510">
            <v>24.191274510000007</v>
          </cell>
          <cell r="D510">
            <v>2.6906100000000004</v>
          </cell>
          <cell r="E510">
            <v>2.0697000000000001</v>
          </cell>
          <cell r="F510">
            <v>0.6209100000000003</v>
          </cell>
          <cell r="G510" t="str">
            <v xml:space="preserve">    3030PTGT</v>
          </cell>
          <cell r="H510" t="str">
            <v>PD</v>
          </cell>
        </row>
        <row r="511">
          <cell r="A511" t="str">
            <v>5C4129</v>
          </cell>
          <cell r="C511">
            <v>75.953473200000005</v>
          </cell>
          <cell r="D511">
            <v>8.8461999999999996</v>
          </cell>
          <cell r="E511">
            <v>28.837499999999999</v>
          </cell>
          <cell r="F511">
            <v>-19.991299999999999</v>
          </cell>
          <cell r="G511" t="str">
            <v xml:space="preserve">    3030PTGT</v>
          </cell>
          <cell r="H511" t="str">
            <v>PD</v>
          </cell>
        </row>
        <row r="512">
          <cell r="A512" t="str">
            <v>5C4145P</v>
          </cell>
          <cell r="B512" t="str">
            <v>SET DE DRENAJE CICLICO</v>
          </cell>
          <cell r="C512">
            <v>16.62215256</v>
          </cell>
          <cell r="D512">
            <v>1.9359600000000001</v>
          </cell>
          <cell r="E512">
            <v>1.4892000000000001</v>
          </cell>
          <cell r="F512">
            <v>0.44676000000000005</v>
          </cell>
          <cell r="G512" t="str">
            <v xml:space="preserve">    3030PTGT</v>
          </cell>
          <cell r="H512" t="str">
            <v>PD</v>
          </cell>
        </row>
        <row r="513">
          <cell r="A513" t="str">
            <v>5C4150A</v>
          </cell>
          <cell r="B513" t="str">
            <v>BANDEJA DE RECAMBIO DPAC</v>
          </cell>
          <cell r="C513">
            <v>34.601580000000006</v>
          </cell>
          <cell r="D513">
            <v>4.03</v>
          </cell>
          <cell r="E513">
            <v>3.1</v>
          </cell>
          <cell r="F513">
            <v>0.93</v>
          </cell>
          <cell r="G513" t="str">
            <v xml:space="preserve">    3030PTGT</v>
          </cell>
          <cell r="H513" t="str">
            <v>PD</v>
          </cell>
        </row>
        <row r="514">
          <cell r="A514" t="str">
            <v>5C4169</v>
          </cell>
          <cell r="C514">
            <v>3.6610704000000003</v>
          </cell>
          <cell r="D514">
            <v>0.4264</v>
          </cell>
          <cell r="E514">
            <v>0.53959999999999997</v>
          </cell>
          <cell r="F514">
            <v>-0.11319999999999997</v>
          </cell>
          <cell r="G514" t="str">
            <v xml:space="preserve">    3030PTGT</v>
          </cell>
          <cell r="H514" t="str">
            <v>PD</v>
          </cell>
        </row>
        <row r="515">
          <cell r="A515" t="str">
            <v>5C4407</v>
          </cell>
          <cell r="B515" t="str">
            <v>MANIFOLD 4 ESPIGAS</v>
          </cell>
          <cell r="C515">
            <v>118.63319130000001</v>
          </cell>
          <cell r="D515">
            <v>13.817050000000002</v>
          </cell>
          <cell r="E515">
            <v>10.628500000000001</v>
          </cell>
          <cell r="F515">
            <v>3.1885500000000011</v>
          </cell>
          <cell r="G515" t="str">
            <v xml:space="preserve">    3030PTGT</v>
          </cell>
          <cell r="H515" t="str">
            <v>PD</v>
          </cell>
        </row>
        <row r="516">
          <cell r="A516" t="str">
            <v>5C4426</v>
          </cell>
          <cell r="C516">
            <v>15.811118999999998</v>
          </cell>
          <cell r="D516">
            <v>1.8414999999999999</v>
          </cell>
          <cell r="E516">
            <v>2.0956000000000001</v>
          </cell>
          <cell r="F516">
            <v>-0.25410000000000021</v>
          </cell>
          <cell r="G516" t="str">
            <v xml:space="preserve">    3030PTGT</v>
          </cell>
          <cell r="H516" t="str">
            <v>HE</v>
          </cell>
        </row>
        <row r="517">
          <cell r="A517" t="str">
            <v>5C4428</v>
          </cell>
          <cell r="B517" t="str">
            <v>SET CONECTOR 11 ESPIGAS, EQUIP</v>
          </cell>
          <cell r="C517">
            <v>149.21652329999998</v>
          </cell>
          <cell r="D517">
            <v>17.379049999999999</v>
          </cell>
          <cell r="E517">
            <v>13.368499999999999</v>
          </cell>
          <cell r="F517">
            <v>4.0105500000000003</v>
          </cell>
          <cell r="G517" t="str">
            <v xml:space="preserve">    3030PTGT</v>
          </cell>
          <cell r="H517" t="str">
            <v>PD</v>
          </cell>
        </row>
        <row r="518">
          <cell r="A518" t="str">
            <v>5C4437</v>
          </cell>
          <cell r="B518" t="str">
            <v>SET CONECTOR 4 ESPIGAS / EQUIP</v>
          </cell>
          <cell r="C518">
            <v>118.55952341999999</v>
          </cell>
          <cell r="D518">
            <v>13.80847</v>
          </cell>
          <cell r="E518">
            <v>10.6219</v>
          </cell>
          <cell r="F518">
            <v>3.1865699999999997</v>
          </cell>
          <cell r="G518" t="str">
            <v xml:space="preserve">    3030PTGT</v>
          </cell>
          <cell r="H518" t="str">
            <v>PD</v>
          </cell>
        </row>
        <row r="519">
          <cell r="A519" t="str">
            <v>5C4446</v>
          </cell>
          <cell r="C519">
            <v>39.978991799999996</v>
          </cell>
          <cell r="D519">
            <v>4.6562999999999999</v>
          </cell>
          <cell r="E519">
            <v>2.3530000000000002</v>
          </cell>
          <cell r="F519">
            <v>2.3032999999999997</v>
          </cell>
          <cell r="G519" t="str">
            <v xml:space="preserve">    3030PTGT</v>
          </cell>
          <cell r="H519" t="str">
            <v>HE</v>
          </cell>
        </row>
        <row r="520">
          <cell r="A520" t="str">
            <v>5C4466P</v>
          </cell>
          <cell r="C520">
            <v>0.85001400000000005</v>
          </cell>
          <cell r="D520">
            <v>9.9000000000000005E-2</v>
          </cell>
          <cell r="E520">
            <v>0.13450000000000001</v>
          </cell>
          <cell r="F520">
            <v>-3.5500000000000004E-2</v>
          </cell>
          <cell r="G520" t="str">
            <v xml:space="preserve">    3030PTGT</v>
          </cell>
          <cell r="H520" t="str">
            <v>PD</v>
          </cell>
        </row>
        <row r="521">
          <cell r="A521" t="str">
            <v>5C4469</v>
          </cell>
          <cell r="C521">
            <v>53.448708600000003</v>
          </cell>
          <cell r="D521">
            <v>6.2251000000000003</v>
          </cell>
          <cell r="E521">
            <v>3.26</v>
          </cell>
          <cell r="F521">
            <v>2.9651000000000005</v>
          </cell>
          <cell r="G521" t="str">
            <v xml:space="preserve">    3030PTGT</v>
          </cell>
          <cell r="H521" t="str">
            <v>PD</v>
          </cell>
        </row>
        <row r="522">
          <cell r="A522" t="str">
            <v>5C4471</v>
          </cell>
          <cell r="B522" t="str">
            <v>HOME CHOICE</v>
          </cell>
          <cell r="C522">
            <v>25535.858886720001</v>
          </cell>
          <cell r="D522">
            <v>2974.12752</v>
          </cell>
          <cell r="E522">
            <v>2287.7903999999999</v>
          </cell>
          <cell r="F522">
            <v>686.33712000000014</v>
          </cell>
          <cell r="G522" t="str">
            <v xml:space="preserve">    3030PTGT</v>
          </cell>
          <cell r="H522" t="str">
            <v>PD</v>
          </cell>
        </row>
        <row r="523">
          <cell r="A523" t="str">
            <v>5C4482</v>
          </cell>
          <cell r="C523">
            <v>7.6252265999999995</v>
          </cell>
          <cell r="D523">
            <v>0.8881</v>
          </cell>
          <cell r="E523">
            <v>7.9025999999999996</v>
          </cell>
          <cell r="F523">
            <v>-7.0145</v>
          </cell>
          <cell r="G523" t="str">
            <v xml:space="preserve">    3030PTGT</v>
          </cell>
          <cell r="H523" t="str">
            <v>PD</v>
          </cell>
        </row>
        <row r="524">
          <cell r="A524" t="str">
            <v>5C4527</v>
          </cell>
          <cell r="C524">
            <v>1.7979084000000001</v>
          </cell>
          <cell r="D524">
            <v>0.2094</v>
          </cell>
          <cell r="E524">
            <v>0.38150000000000001</v>
          </cell>
          <cell r="F524">
            <v>-0.1721</v>
          </cell>
          <cell r="G524" t="str">
            <v xml:space="preserve">    3030PTGT</v>
          </cell>
          <cell r="H524" t="str">
            <v>PD</v>
          </cell>
        </row>
        <row r="525">
          <cell r="A525" t="str">
            <v>5C4957</v>
          </cell>
          <cell r="C525">
            <v>5.0442749999999998</v>
          </cell>
          <cell r="D525">
            <v>0.58750000000000002</v>
          </cell>
          <cell r="E525">
            <v>3.7988</v>
          </cell>
          <cell r="F525">
            <v>-3.2113</v>
          </cell>
          <cell r="G525" t="str">
            <v xml:space="preserve">    3030PTGT</v>
          </cell>
          <cell r="H525" t="str">
            <v>PD</v>
          </cell>
        </row>
        <row r="526">
          <cell r="A526" t="str">
            <v>5K8123P</v>
          </cell>
          <cell r="C526">
            <v>0.31854060000000001</v>
          </cell>
          <cell r="D526">
            <v>3.7100000000000001E-2</v>
          </cell>
          <cell r="E526">
            <v>3.5999999999999997E-2</v>
          </cell>
          <cell r="F526">
            <v>1.1000000000000038E-3</v>
          </cell>
          <cell r="G526" t="str">
            <v xml:space="preserve">    3030PTGT</v>
          </cell>
          <cell r="H526" t="str">
            <v>PD</v>
          </cell>
        </row>
        <row r="527">
          <cell r="A527" t="str">
            <v>5M0564</v>
          </cell>
          <cell r="C527">
            <v>2.3242301999999997</v>
          </cell>
          <cell r="D527">
            <v>0.2707</v>
          </cell>
          <cell r="E527">
            <v>0.25700000000000001</v>
          </cell>
          <cell r="F527">
            <v>1.369999999999999E-2</v>
          </cell>
          <cell r="G527" t="str">
            <v xml:space="preserve">    3030PTGT</v>
          </cell>
          <cell r="H527" t="str">
            <v>HE</v>
          </cell>
        </row>
        <row r="528">
          <cell r="A528" t="str">
            <v>5M0569</v>
          </cell>
          <cell r="C528">
            <v>2.2967550000000001</v>
          </cell>
          <cell r="D528">
            <v>0.26750000000000002</v>
          </cell>
          <cell r="E528">
            <v>0.25700000000000001</v>
          </cell>
          <cell r="F528">
            <v>1.0500000000000009E-2</v>
          </cell>
          <cell r="G528" t="str">
            <v xml:space="preserve">    3030PTGT</v>
          </cell>
          <cell r="H528" t="str">
            <v>HE</v>
          </cell>
        </row>
        <row r="529">
          <cell r="A529" t="str">
            <v>5M1307</v>
          </cell>
          <cell r="B529" t="str">
            <v>MODULO</v>
          </cell>
          <cell r="C529">
            <v>6850.9911763799992</v>
          </cell>
          <cell r="D529">
            <v>797.92583000000002</v>
          </cell>
          <cell r="E529">
            <v>613.78909999999996</v>
          </cell>
          <cell r="F529">
            <v>184.13673000000006</v>
          </cell>
          <cell r="G529" t="str">
            <v xml:space="preserve">    3030PTGT</v>
          </cell>
          <cell r="H529" t="str">
            <v>HE</v>
          </cell>
        </row>
        <row r="530">
          <cell r="A530" t="str">
            <v>5M1313</v>
          </cell>
          <cell r="B530" t="str">
            <v>MAQUINA PORTATIL OSMOSIS INVER</v>
          </cell>
          <cell r="C530">
            <v>35026.443871379997</v>
          </cell>
          <cell r="D530">
            <v>4079.48333</v>
          </cell>
          <cell r="E530">
            <v>3138.0641000000001</v>
          </cell>
          <cell r="F530">
            <v>941.41922999999997</v>
          </cell>
          <cell r="G530" t="str">
            <v xml:space="preserve">    3030PTGT</v>
          </cell>
          <cell r="H530" t="str">
            <v>HE</v>
          </cell>
        </row>
        <row r="531">
          <cell r="A531" t="str">
            <v>5M1729</v>
          </cell>
          <cell r="C531">
            <v>30.897579599999993</v>
          </cell>
          <cell r="D531">
            <v>3.5985999999999998</v>
          </cell>
          <cell r="E531">
            <v>4.0993000000000004</v>
          </cell>
          <cell r="F531">
            <v>-0.50070000000000059</v>
          </cell>
          <cell r="G531" t="str">
            <v xml:space="preserve">    3030PTGT</v>
          </cell>
          <cell r="H531" t="str">
            <v>HE</v>
          </cell>
        </row>
        <row r="532">
          <cell r="A532" t="str">
            <v>5M1730</v>
          </cell>
          <cell r="B532" t="str">
            <v>CA DIALYZER-MODEL CA70</v>
          </cell>
          <cell r="C532">
            <v>52.70267106</v>
          </cell>
          <cell r="D532">
            <v>6.1382100000000008</v>
          </cell>
          <cell r="E532">
            <v>4.7217000000000002</v>
          </cell>
          <cell r="F532">
            <v>1.4165100000000006</v>
          </cell>
          <cell r="G532" t="str">
            <v xml:space="preserve">    3030PTGT</v>
          </cell>
          <cell r="H532" t="str">
            <v>HE</v>
          </cell>
        </row>
        <row r="533">
          <cell r="A533" t="str">
            <v>5M1731</v>
          </cell>
          <cell r="C533">
            <v>71.604664200000002</v>
          </cell>
          <cell r="D533">
            <v>8.3397000000000006</v>
          </cell>
          <cell r="E533">
            <v>4.8404999999999996</v>
          </cell>
          <cell r="F533">
            <v>3.499200000000001</v>
          </cell>
          <cell r="G533" t="str">
            <v xml:space="preserve">    3030PTGT</v>
          </cell>
          <cell r="H533" t="str">
            <v>HE</v>
          </cell>
        </row>
        <row r="534">
          <cell r="A534" t="str">
            <v>5M1732</v>
          </cell>
          <cell r="C534">
            <v>71.604664200000002</v>
          </cell>
          <cell r="D534">
            <v>8.3397000000000006</v>
          </cell>
          <cell r="E534">
            <v>5.4524999999999997</v>
          </cell>
          <cell r="F534">
            <v>2.8872000000000009</v>
          </cell>
          <cell r="G534" t="str">
            <v xml:space="preserve">    3030PTGT</v>
          </cell>
          <cell r="H534" t="str">
            <v>HE</v>
          </cell>
        </row>
        <row r="535">
          <cell r="A535" t="str">
            <v>5M1735</v>
          </cell>
          <cell r="B535" t="str">
            <v>CA DIALYZER MODEL 170</v>
          </cell>
          <cell r="C535">
            <v>94.179919859999984</v>
          </cell>
          <cell r="D535">
            <v>10.969009999999999</v>
          </cell>
          <cell r="E535">
            <v>8.4376999999999995</v>
          </cell>
          <cell r="F535">
            <v>2.5313099999999995</v>
          </cell>
          <cell r="G535" t="str">
            <v xml:space="preserve">    3030PTGT</v>
          </cell>
          <cell r="H535" t="str">
            <v>HE</v>
          </cell>
        </row>
        <row r="536">
          <cell r="A536" t="str">
            <v>5M1736</v>
          </cell>
          <cell r="B536" t="str">
            <v>CA DIALYZER MODEL 210</v>
          </cell>
          <cell r="C536">
            <v>114.06578274</v>
          </cell>
          <cell r="D536">
            <v>13.28509</v>
          </cell>
          <cell r="E536">
            <v>10.2193</v>
          </cell>
          <cell r="F536">
            <v>3.0657899999999998</v>
          </cell>
          <cell r="G536" t="str">
            <v xml:space="preserve">    3030PTGT</v>
          </cell>
          <cell r="H536" t="str">
            <v>HE</v>
          </cell>
        </row>
        <row r="537">
          <cell r="A537" t="str">
            <v>5M1814</v>
          </cell>
          <cell r="C537">
            <v>71.604664200000002</v>
          </cell>
          <cell r="D537">
            <v>8.3397000000000006</v>
          </cell>
          <cell r="E537">
            <v>6.8228999999999997</v>
          </cell>
          <cell r="F537">
            <v>1.5168000000000008</v>
          </cell>
          <cell r="G537" t="str">
            <v xml:space="preserve">    3030PTGT</v>
          </cell>
          <cell r="H537" t="str">
            <v>HE</v>
          </cell>
        </row>
        <row r="538">
          <cell r="A538" t="str">
            <v>5M1815</v>
          </cell>
          <cell r="C538">
            <v>66.7956456</v>
          </cell>
          <cell r="D538">
            <v>7.7796000000000003</v>
          </cell>
          <cell r="E538">
            <v>7.4292999999999996</v>
          </cell>
          <cell r="F538">
            <v>0.35030000000000072</v>
          </cell>
          <cell r="G538" t="str">
            <v xml:space="preserve">    3030PTGT</v>
          </cell>
          <cell r="H538" t="str">
            <v>HE</v>
          </cell>
        </row>
        <row r="539">
          <cell r="A539" t="str">
            <v>5M1817</v>
          </cell>
          <cell r="C539">
            <v>65.636535599999988</v>
          </cell>
          <cell r="D539">
            <v>7.6445999999999996</v>
          </cell>
          <cell r="E539">
            <v>8.2279</v>
          </cell>
          <cell r="F539">
            <v>-0.58330000000000037</v>
          </cell>
          <cell r="G539" t="str">
            <v xml:space="preserve">    3030PTGT</v>
          </cell>
          <cell r="H539" t="str">
            <v>HE</v>
          </cell>
        </row>
        <row r="540">
          <cell r="A540" t="str">
            <v>5M1818</v>
          </cell>
          <cell r="C540">
            <v>71.604664200000002</v>
          </cell>
          <cell r="D540">
            <v>8.3397000000000006</v>
          </cell>
          <cell r="E540">
            <v>9.1638999999999999</v>
          </cell>
          <cell r="F540">
            <v>-0.82419999999999938</v>
          </cell>
          <cell r="G540" t="str">
            <v xml:space="preserve">    3030PTGT</v>
          </cell>
          <cell r="H540" t="str">
            <v>HE</v>
          </cell>
        </row>
        <row r="541">
          <cell r="A541" t="str">
            <v>5M2731</v>
          </cell>
          <cell r="C541">
            <v>35.204317199999998</v>
          </cell>
          <cell r="D541">
            <v>4.1002000000000001</v>
          </cell>
          <cell r="E541">
            <v>4.9337</v>
          </cell>
          <cell r="F541">
            <v>-0.83349999999999991</v>
          </cell>
          <cell r="G541" t="str">
            <v xml:space="preserve">    3030PTGT</v>
          </cell>
          <cell r="H541" t="str">
            <v>HE</v>
          </cell>
        </row>
        <row r="542">
          <cell r="A542" t="str">
            <v>5M2733</v>
          </cell>
          <cell r="C542">
            <v>71.604664200000002</v>
          </cell>
          <cell r="D542">
            <v>8.3397000000000006</v>
          </cell>
          <cell r="E542">
            <v>6.3509000000000002</v>
          </cell>
          <cell r="F542">
            <v>1.9888000000000003</v>
          </cell>
          <cell r="G542" t="str">
            <v xml:space="preserve">    3030PTGT</v>
          </cell>
          <cell r="H542" t="str">
            <v>HE</v>
          </cell>
        </row>
        <row r="543">
          <cell r="A543" t="str">
            <v>5M2734</v>
          </cell>
          <cell r="C543">
            <v>98.777636999999999</v>
          </cell>
          <cell r="D543">
            <v>11.5045</v>
          </cell>
          <cell r="E543">
            <v>7.3821000000000003</v>
          </cell>
          <cell r="F543">
            <v>4.1223999999999998</v>
          </cell>
          <cell r="G543" t="str">
            <v xml:space="preserve">    3030PTGT</v>
          </cell>
          <cell r="H543" t="str">
            <v>HE</v>
          </cell>
        </row>
        <row r="544">
          <cell r="A544" t="str">
            <v>5M2735</v>
          </cell>
          <cell r="C544">
            <v>71.604664200000002</v>
          </cell>
          <cell r="D544">
            <v>8.3397000000000006</v>
          </cell>
          <cell r="E544">
            <v>8.1073000000000004</v>
          </cell>
          <cell r="F544">
            <v>0.23240000000000016</v>
          </cell>
          <cell r="G544" t="str">
            <v xml:space="preserve">    3030PTGT</v>
          </cell>
          <cell r="H544" t="str">
            <v>HE</v>
          </cell>
        </row>
        <row r="545">
          <cell r="A545" t="str">
            <v>5M2736</v>
          </cell>
          <cell r="C545">
            <v>71.604664200000002</v>
          </cell>
          <cell r="D545">
            <v>8.3397000000000006</v>
          </cell>
          <cell r="E545">
            <v>9.4481000000000002</v>
          </cell>
          <cell r="F545">
            <v>-1.1083999999999996</v>
          </cell>
          <cell r="G545" t="str">
            <v xml:space="preserve">    3030PTGT</v>
          </cell>
          <cell r="H545" t="str">
            <v>HE</v>
          </cell>
        </row>
        <row r="546">
          <cell r="A546" t="str">
            <v>5M4110</v>
          </cell>
          <cell r="B546" t="str">
            <v>SET INTRAVENOSO / EQUIPO DE US</v>
          </cell>
          <cell r="C546">
            <v>3.2369219999999999</v>
          </cell>
          <cell r="D546">
            <v>0.377</v>
          </cell>
          <cell r="E546">
            <v>0.28999999999999998</v>
          </cell>
          <cell r="F546">
            <v>8.7000000000000022E-2</v>
          </cell>
          <cell r="G546" t="str">
            <v xml:space="preserve">    3030PTGT</v>
          </cell>
          <cell r="H546" t="str">
            <v>HE</v>
          </cell>
        </row>
        <row r="547">
          <cell r="A547" t="str">
            <v>5M4140</v>
          </cell>
          <cell r="C547">
            <v>3.9778937999999995</v>
          </cell>
          <cell r="D547">
            <v>0.46329999999999999</v>
          </cell>
          <cell r="E547">
            <v>0.17299999999999999</v>
          </cell>
          <cell r="F547">
            <v>0.2903</v>
          </cell>
          <cell r="G547" t="str">
            <v xml:space="preserve">    3030PTGT</v>
          </cell>
          <cell r="H547" t="str">
            <v>PD</v>
          </cell>
        </row>
        <row r="548">
          <cell r="A548" t="str">
            <v>5M4155</v>
          </cell>
          <cell r="B548" t="str">
            <v>FLUIDOS PARA MONITOR DE UREA /</v>
          </cell>
          <cell r="C548">
            <v>1042.6415968800002</v>
          </cell>
          <cell r="D548">
            <v>121.43508000000001</v>
          </cell>
          <cell r="E548">
            <v>93.411600000000007</v>
          </cell>
          <cell r="F548">
            <v>28.023480000000006</v>
          </cell>
          <cell r="G548" t="str">
            <v xml:space="preserve">    3030PTGT</v>
          </cell>
          <cell r="H548" t="str">
            <v>HE</v>
          </cell>
        </row>
        <row r="549">
          <cell r="A549" t="str">
            <v>5M4156</v>
          </cell>
          <cell r="B549" t="str">
            <v>MEMBRANA PARA MONITOR DE UREA</v>
          </cell>
          <cell r="C549">
            <v>731.14701192000007</v>
          </cell>
          <cell r="D549">
            <v>85.155720000000002</v>
          </cell>
          <cell r="E549">
            <v>65.504400000000004</v>
          </cell>
          <cell r="F549">
            <v>19.651319999999998</v>
          </cell>
          <cell r="G549" t="str">
            <v xml:space="preserve">    3030PTGT</v>
          </cell>
          <cell r="H549" t="str">
            <v>HE</v>
          </cell>
        </row>
        <row r="550">
          <cell r="A550" t="str">
            <v>5M4159</v>
          </cell>
          <cell r="B550" t="str">
            <v>CONTROL DE MONITOR DE UREA / E</v>
          </cell>
          <cell r="C550">
            <v>498.095325</v>
          </cell>
          <cell r="D550">
            <v>58.012500000000003</v>
          </cell>
          <cell r="E550">
            <v>44.625</v>
          </cell>
          <cell r="F550">
            <v>13.387499999999999</v>
          </cell>
          <cell r="G550" t="str">
            <v xml:space="preserve">    3030PTGT</v>
          </cell>
          <cell r="H550" t="str">
            <v>HE</v>
          </cell>
        </row>
        <row r="551">
          <cell r="A551" t="str">
            <v>5M4162</v>
          </cell>
          <cell r="B551" t="str">
            <v>ELECTRODO BUM PARA MONITOR DE</v>
          </cell>
          <cell r="C551">
            <v>1562.7100413600001</v>
          </cell>
          <cell r="D551">
            <v>182.00676000000001</v>
          </cell>
          <cell r="E551">
            <v>140.0052</v>
          </cell>
          <cell r="F551">
            <v>42.001560000000012</v>
          </cell>
          <cell r="G551" t="str">
            <v xml:space="preserve">    3030PTGT</v>
          </cell>
          <cell r="H551" t="str">
            <v>HE</v>
          </cell>
        </row>
        <row r="552">
          <cell r="A552" t="str">
            <v>5M4166</v>
          </cell>
          <cell r="C552">
            <v>9.0092897999999995</v>
          </cell>
          <cell r="D552">
            <v>1.0492999999999999</v>
          </cell>
          <cell r="E552">
            <v>1.2524</v>
          </cell>
          <cell r="F552">
            <v>-0.20310000000000006</v>
          </cell>
          <cell r="G552" t="str">
            <v xml:space="preserve">    3030PTGT</v>
          </cell>
          <cell r="H552" t="str">
            <v>PD</v>
          </cell>
        </row>
        <row r="553">
          <cell r="A553" t="str">
            <v>5M4167</v>
          </cell>
          <cell r="B553" t="str">
            <v>FLOW CARRIDGE</v>
          </cell>
          <cell r="C553">
            <v>1480.0546799999997</v>
          </cell>
          <cell r="D553">
            <v>172.38</v>
          </cell>
          <cell r="E553">
            <v>132.6</v>
          </cell>
          <cell r="F553">
            <v>39.78</v>
          </cell>
          <cell r="G553" t="str">
            <v xml:space="preserve">    3030PTGT</v>
          </cell>
          <cell r="H553" t="str">
            <v>HE</v>
          </cell>
        </row>
        <row r="554">
          <cell r="A554" t="str">
            <v>5M4262N</v>
          </cell>
          <cell r="B554" t="str">
            <v>LINEA ARTERIAL / EQUIPO DE USO</v>
          </cell>
          <cell r="C554">
            <v>15.514901999999999</v>
          </cell>
          <cell r="D554">
            <v>1.8069999999999999</v>
          </cell>
          <cell r="E554">
            <v>1.39</v>
          </cell>
          <cell r="F554">
            <v>0.41700000000000004</v>
          </cell>
          <cell r="G554" t="str">
            <v xml:space="preserve">    3030PTGT</v>
          </cell>
          <cell r="H554" t="str">
            <v>HE</v>
          </cell>
        </row>
        <row r="555">
          <cell r="A555" t="str">
            <v>5M4283N</v>
          </cell>
          <cell r="B555" t="str">
            <v>ARTERIAL BLOOD TUBING SET HEMO</v>
          </cell>
          <cell r="C555">
            <v>16.072991999999996</v>
          </cell>
          <cell r="D555">
            <v>1.8719999999999999</v>
          </cell>
          <cell r="E555">
            <v>1.44</v>
          </cell>
          <cell r="F555">
            <v>0.43199999999999994</v>
          </cell>
          <cell r="G555" t="str">
            <v xml:space="preserve">    3030PTGT</v>
          </cell>
          <cell r="H555" t="str">
            <v>HE</v>
          </cell>
        </row>
        <row r="556">
          <cell r="A556" t="str">
            <v>5M4491N</v>
          </cell>
          <cell r="B556" t="str">
            <v>LINEA VENOSA</v>
          </cell>
          <cell r="C556">
            <v>14.733576000000003</v>
          </cell>
          <cell r="D556">
            <v>1.7160000000000002</v>
          </cell>
          <cell r="E556">
            <v>1.32</v>
          </cell>
          <cell r="F556">
            <v>0.39600000000000013</v>
          </cell>
          <cell r="G556" t="str">
            <v xml:space="preserve">    3030PTGT</v>
          </cell>
          <cell r="H556" t="str">
            <v>HE</v>
          </cell>
        </row>
        <row r="557">
          <cell r="A557" t="str">
            <v>5M5538</v>
          </cell>
          <cell r="B557" t="str">
            <v>1550 SINGLE PATIENT SYSTEM</v>
          </cell>
          <cell r="C557">
            <v>134098.34962212</v>
          </cell>
          <cell r="D557">
            <v>15618.256420000002</v>
          </cell>
          <cell r="E557">
            <v>12014.0434</v>
          </cell>
          <cell r="F557">
            <v>3604.2130200000011</v>
          </cell>
          <cell r="G557" t="str">
            <v xml:space="preserve">    3030PTGT</v>
          </cell>
          <cell r="H557" t="str">
            <v>HE</v>
          </cell>
        </row>
        <row r="558">
          <cell r="A558" t="str">
            <v>5M5538R</v>
          </cell>
          <cell r="B558" t="str">
            <v>1550 SINGLE PATIENT SYSTEM REP</v>
          </cell>
          <cell r="C558">
            <v>36938.309527079997</v>
          </cell>
          <cell r="D558">
            <v>4302.15578</v>
          </cell>
          <cell r="E558">
            <v>3309.3506000000002</v>
          </cell>
          <cell r="F558">
            <v>992.80517999999984</v>
          </cell>
          <cell r="G558" t="str">
            <v xml:space="preserve">    3030PTGT</v>
          </cell>
          <cell r="H558" t="str">
            <v>HE</v>
          </cell>
        </row>
        <row r="559">
          <cell r="A559" t="str">
            <v>5M5539</v>
          </cell>
          <cell r="B559" t="str">
            <v>CARTUCHOS 1550-C</v>
          </cell>
          <cell r="C559">
            <v>799.94276621999995</v>
          </cell>
          <cell r="D559">
            <v>93.168270000000007</v>
          </cell>
          <cell r="E559">
            <v>71.667900000000003</v>
          </cell>
          <cell r="F559">
            <v>21.500370000000004</v>
          </cell>
          <cell r="G559" t="str">
            <v xml:space="preserve">    3030PTGT</v>
          </cell>
          <cell r="H559" t="str">
            <v>HE</v>
          </cell>
        </row>
        <row r="560">
          <cell r="A560" t="str">
            <v>5M5542</v>
          </cell>
          <cell r="B560" t="str">
            <v>CABLE PARA MONITOR</v>
          </cell>
          <cell r="C560">
            <v>200.54182823999994</v>
          </cell>
          <cell r="D560">
            <v>23.356839999999998</v>
          </cell>
          <cell r="E560">
            <v>17.966799999999999</v>
          </cell>
          <cell r="F560">
            <v>5.3900399999999991</v>
          </cell>
          <cell r="G560" t="str">
            <v xml:space="preserve">    3030PTGT</v>
          </cell>
          <cell r="H560" t="str">
            <v>HE</v>
          </cell>
        </row>
        <row r="561">
          <cell r="A561" t="str">
            <v>5M5576</v>
          </cell>
          <cell r="B561" t="str">
            <v>MAQUINA MERIDIAN</v>
          </cell>
          <cell r="C561">
            <v>149741.47056726002</v>
          </cell>
          <cell r="D561">
            <v>17440.189910000001</v>
          </cell>
          <cell r="E561">
            <v>13415.530699999999</v>
          </cell>
          <cell r="F561">
            <v>4024.6592100000016</v>
          </cell>
          <cell r="G561" t="str">
            <v xml:space="preserve">    3030PTGT</v>
          </cell>
          <cell r="H561" t="str">
            <v>HE</v>
          </cell>
        </row>
        <row r="562">
          <cell r="A562" t="str">
            <v>5M5576R</v>
          </cell>
          <cell r="B562" t="str">
            <v>MAQUINAS PARA HEMODIALISIS</v>
          </cell>
          <cell r="C562">
            <v>25367.757714000003</v>
          </cell>
          <cell r="D562">
            <v>2954.549</v>
          </cell>
          <cell r="E562">
            <v>2272.73</v>
          </cell>
          <cell r="F562">
            <v>681.81899999999996</v>
          </cell>
          <cell r="G562" t="str">
            <v xml:space="preserve">    3030PTGT</v>
          </cell>
          <cell r="H562" t="str">
            <v>HE</v>
          </cell>
        </row>
        <row r="563">
          <cell r="A563" t="str">
            <v>5M6604</v>
          </cell>
          <cell r="C563">
            <v>45.613124999999997</v>
          </cell>
          <cell r="D563">
            <v>5.3125</v>
          </cell>
          <cell r="E563">
            <v>3.95</v>
          </cell>
          <cell r="F563">
            <v>1.3625</v>
          </cell>
          <cell r="G563" t="str">
            <v xml:space="preserve">    3030PTGT</v>
          </cell>
          <cell r="H563" t="str">
            <v>HE</v>
          </cell>
        </row>
        <row r="564">
          <cell r="A564" t="str">
            <v>5M9681M</v>
          </cell>
          <cell r="C564">
            <v>20.840797799999997</v>
          </cell>
          <cell r="D564">
            <v>2.4272999999999998</v>
          </cell>
          <cell r="E564">
            <v>2.504</v>
          </cell>
          <cell r="F564">
            <v>-7.6700000000000212E-2</v>
          </cell>
          <cell r="G564" t="str">
            <v xml:space="preserve">    3030PTGT</v>
          </cell>
          <cell r="H564" t="str">
            <v>HE</v>
          </cell>
        </row>
        <row r="565">
          <cell r="A565" t="str">
            <v>5M9696</v>
          </cell>
          <cell r="C565">
            <v>19.937550599999998</v>
          </cell>
          <cell r="D565">
            <v>2.3220999999999998</v>
          </cell>
          <cell r="E565">
            <v>2.609</v>
          </cell>
          <cell r="F565">
            <v>-0.28690000000000015</v>
          </cell>
          <cell r="G565" t="str">
            <v xml:space="preserve">    3030PTGT</v>
          </cell>
          <cell r="H565" t="str">
            <v>HE</v>
          </cell>
        </row>
        <row r="566">
          <cell r="A566" t="str">
            <v>710300084T</v>
          </cell>
          <cell r="B566" t="str">
            <v>ULTRASONIC SENSOR ASSY</v>
          </cell>
          <cell r="C566">
            <v>2376.9891287999999</v>
          </cell>
          <cell r="D566">
            <v>282.1687</v>
          </cell>
          <cell r="E566">
            <v>256.517</v>
          </cell>
          <cell r="F566">
            <v>25.651700000000005</v>
          </cell>
          <cell r="G566" t="str">
            <v xml:space="preserve">    3030REPU</v>
          </cell>
          <cell r="H566" t="str">
            <v>PT</v>
          </cell>
        </row>
        <row r="567">
          <cell r="A567" t="str">
            <v>710400020S</v>
          </cell>
          <cell r="B567" t="str">
            <v>ROTOR MOTOT ASSEMBLY</v>
          </cell>
          <cell r="C567">
            <v>4650.9914880000006</v>
          </cell>
          <cell r="D567">
            <v>552.11200000000008</v>
          </cell>
          <cell r="E567">
            <v>501.92</v>
          </cell>
          <cell r="F567">
            <v>50.192000000000064</v>
          </cell>
          <cell r="G567" t="str">
            <v xml:space="preserve">    3030REPU</v>
          </cell>
          <cell r="H567" t="str">
            <v>PT</v>
          </cell>
        </row>
        <row r="568">
          <cell r="A568" t="str">
            <v>710400069T</v>
          </cell>
          <cell r="B568" t="str">
            <v>Inlet Transducer</v>
          </cell>
          <cell r="C568">
            <v>3865.1081040000004</v>
          </cell>
          <cell r="D568">
            <v>458.82100000000003</v>
          </cell>
          <cell r="E568">
            <v>417.11</v>
          </cell>
          <cell r="F568">
            <v>41.711000000000013</v>
          </cell>
          <cell r="G568" t="str">
            <v xml:space="preserve">    3030REPU</v>
          </cell>
          <cell r="H568" t="str">
            <v>PT</v>
          </cell>
        </row>
        <row r="569">
          <cell r="A569" t="str">
            <v>710400535T</v>
          </cell>
          <cell r="B569" t="str">
            <v>DRIVER PC BD ASSY TESTED</v>
          </cell>
          <cell r="C569">
            <v>3726.9460800000002</v>
          </cell>
          <cell r="D569">
            <v>442.42</v>
          </cell>
          <cell r="E569">
            <v>402.2</v>
          </cell>
          <cell r="F569">
            <v>40.22</v>
          </cell>
          <cell r="G569" t="str">
            <v xml:space="preserve">    3030REPU</v>
          </cell>
          <cell r="H569" t="str">
            <v>PT</v>
          </cell>
        </row>
        <row r="570">
          <cell r="A570" t="str">
            <v>710400538T</v>
          </cell>
          <cell r="B570" t="str">
            <v>LOGIC PCB BOARD</v>
          </cell>
          <cell r="C570">
            <v>7215.8383440000016</v>
          </cell>
          <cell r="D570">
            <v>856.58100000000013</v>
          </cell>
          <cell r="E570">
            <v>778.71</v>
          </cell>
          <cell r="F570">
            <v>77.871000000000095</v>
          </cell>
          <cell r="G570" t="str">
            <v xml:space="preserve">    3030REPU</v>
          </cell>
          <cell r="H570" t="str">
            <v>PT</v>
          </cell>
        </row>
        <row r="571">
          <cell r="A571" t="str">
            <v>710400603T</v>
          </cell>
          <cell r="B571" t="str">
            <v>Return Line Transducer</v>
          </cell>
          <cell r="C571">
            <v>4428.5052239999995</v>
          </cell>
          <cell r="D571">
            <v>525.70100000000002</v>
          </cell>
          <cell r="E571">
            <v>477.91</v>
          </cell>
          <cell r="F571">
            <v>47.790999999999997</v>
          </cell>
          <cell r="G571" t="str">
            <v xml:space="preserve">    3030REPU</v>
          </cell>
          <cell r="H571" t="str">
            <v>PT</v>
          </cell>
        </row>
        <row r="572">
          <cell r="A572" t="str">
            <v>710400604T</v>
          </cell>
          <cell r="B572" t="str">
            <v>press transducer block</v>
          </cell>
          <cell r="C572">
            <v>2368.0338847587877</v>
          </cell>
          <cell r="D572">
            <v>281.10563684221125</v>
          </cell>
          <cell r="E572">
            <v>255.55057894746474</v>
          </cell>
          <cell r="F572">
            <v>25.555057894746511</v>
          </cell>
          <cell r="G572" t="str">
            <v xml:space="preserve">    3030REPU</v>
          </cell>
          <cell r="H572" t="str">
            <v>PT</v>
          </cell>
        </row>
        <row r="573">
          <cell r="A573" t="str">
            <v>710400759T</v>
          </cell>
          <cell r="B573" t="str">
            <v>strobelite pwr sup pc.bd test</v>
          </cell>
          <cell r="C573">
            <v>2115.0213670308358</v>
          </cell>
          <cell r="D573">
            <v>251.07091251553129</v>
          </cell>
          <cell r="E573">
            <v>228.24628410502842</v>
          </cell>
          <cell r="F573">
            <v>22.824628410502868</v>
          </cell>
          <cell r="G573" t="str">
            <v xml:space="preserve">    3030REPU</v>
          </cell>
          <cell r="H573" t="str">
            <v>PT</v>
          </cell>
        </row>
        <row r="574">
          <cell r="A574" t="str">
            <v>710800013T</v>
          </cell>
          <cell r="B574" t="str">
            <v>pc.bd buble det. Tested</v>
          </cell>
          <cell r="C574">
            <v>954.63065976492385</v>
          </cell>
          <cell r="D574">
            <v>113.32272789232239</v>
          </cell>
          <cell r="E574">
            <v>103.02066172029308</v>
          </cell>
          <cell r="F574">
            <v>10.302066172029313</v>
          </cell>
          <cell r="G574" t="str">
            <v xml:space="preserve">    3030REPU</v>
          </cell>
          <cell r="H574" t="str">
            <v>PT</v>
          </cell>
        </row>
        <row r="575">
          <cell r="A575" t="str">
            <v>770200513T</v>
          </cell>
          <cell r="B575" t="str">
            <v>AUTOBOARD</v>
          </cell>
          <cell r="C575">
            <v>4948.9062480000011</v>
          </cell>
          <cell r="D575">
            <v>587.47700000000009</v>
          </cell>
          <cell r="E575">
            <v>534.07000000000005</v>
          </cell>
          <cell r="F575">
            <v>53.407000000000039</v>
          </cell>
          <cell r="G575" t="str">
            <v xml:space="preserve">    3030REPU</v>
          </cell>
          <cell r="H575" t="str">
            <v>PT</v>
          </cell>
        </row>
        <row r="576">
          <cell r="A576" t="str">
            <v>770400358T</v>
          </cell>
          <cell r="B576" t="str">
            <v>CPU PCB WITHOUR PROMS</v>
          </cell>
          <cell r="C576">
            <v>3598.9770960000001</v>
          </cell>
          <cell r="D576">
            <v>427.22900000000004</v>
          </cell>
          <cell r="E576">
            <v>388.39</v>
          </cell>
          <cell r="F576">
            <v>38.839000000000055</v>
          </cell>
          <cell r="G576" t="str">
            <v xml:space="preserve">    3030REPU</v>
          </cell>
          <cell r="H576" t="str">
            <v>PT</v>
          </cell>
        </row>
        <row r="577">
          <cell r="A577" t="str">
            <v>A08400S</v>
          </cell>
          <cell r="B577" t="str">
            <v>LINE CLP ASSY, LINEAR</v>
          </cell>
          <cell r="C577">
            <v>2243.117448</v>
          </cell>
          <cell r="D577">
            <v>266.27699999999999</v>
          </cell>
          <cell r="E577">
            <v>242.07</v>
          </cell>
          <cell r="F577">
            <v>24.206999999999994</v>
          </cell>
          <cell r="G577" t="str">
            <v xml:space="preserve">    3030REPU</v>
          </cell>
          <cell r="H577" t="str">
            <v>HE</v>
          </cell>
        </row>
        <row r="578">
          <cell r="A578" t="str">
            <v>A08410S</v>
          </cell>
          <cell r="B578" t="str">
            <v>FTG ASSY CONC, MALE PNK/TINA</v>
          </cell>
          <cell r="C578">
            <v>197.55964800000001</v>
          </cell>
          <cell r="D578">
            <v>23.452000000000002</v>
          </cell>
          <cell r="E578">
            <v>21.32</v>
          </cell>
          <cell r="F578">
            <v>2.1320000000000014</v>
          </cell>
          <cell r="G578" t="str">
            <v xml:space="preserve">    3030REPU</v>
          </cell>
          <cell r="H578" t="str">
            <v>HE</v>
          </cell>
        </row>
        <row r="579">
          <cell r="A579" t="str">
            <v>A08430S</v>
          </cell>
          <cell r="B579" t="str">
            <v>FTG ASSY CONC MALE BLU/TINA</v>
          </cell>
          <cell r="C579">
            <v>117.405288</v>
          </cell>
          <cell r="D579">
            <v>13.937000000000001</v>
          </cell>
          <cell r="E579">
            <v>12.67</v>
          </cell>
          <cell r="F579">
            <v>1.2670000000000012</v>
          </cell>
          <cell r="G579" t="str">
            <v xml:space="preserve">    3030REPU</v>
          </cell>
          <cell r="H579" t="str">
            <v>HE</v>
          </cell>
        </row>
        <row r="580">
          <cell r="A580" t="str">
            <v>A08460S</v>
          </cell>
          <cell r="B580" t="str">
            <v>FTG ASSY CONC FEM BLUE/TINA</v>
          </cell>
          <cell r="C580">
            <v>157.99212000000003</v>
          </cell>
          <cell r="D580">
            <v>18.754999999999999</v>
          </cell>
          <cell r="E580">
            <v>17.05</v>
          </cell>
          <cell r="F580">
            <v>1.7050000000000001</v>
          </cell>
          <cell r="G580" t="str">
            <v xml:space="preserve">    3030REPU</v>
          </cell>
          <cell r="H580" t="str">
            <v>HE</v>
          </cell>
        </row>
        <row r="581">
          <cell r="A581" t="str">
            <v>A08470S</v>
          </cell>
          <cell r="B581" t="str">
            <v>FTG ASSY CONC, FEM YEL</v>
          </cell>
          <cell r="C581">
            <v>133.065504</v>
          </cell>
          <cell r="D581">
            <v>15.796000000000001</v>
          </cell>
          <cell r="E581">
            <v>14.36</v>
          </cell>
          <cell r="F581">
            <v>1.4360000000000017</v>
          </cell>
          <cell r="G581" t="str">
            <v xml:space="preserve">    3030REPU</v>
          </cell>
          <cell r="H581" t="str">
            <v>HE</v>
          </cell>
        </row>
        <row r="582">
          <cell r="A582" t="str">
            <v>A08480S</v>
          </cell>
          <cell r="B582" t="str">
            <v>FTG ASSY, CONC FEM PINK/TINA</v>
          </cell>
          <cell r="C582">
            <v>157.99212000000003</v>
          </cell>
          <cell r="D582">
            <v>18.754999999999999</v>
          </cell>
          <cell r="E582">
            <v>17.05</v>
          </cell>
          <cell r="F582">
            <v>1.7050000000000001</v>
          </cell>
          <cell r="G582" t="str">
            <v xml:space="preserve">    3030REPU</v>
          </cell>
          <cell r="H582" t="str">
            <v>HE</v>
          </cell>
        </row>
        <row r="583">
          <cell r="A583" t="str">
            <v>A08630S</v>
          </cell>
          <cell r="B583" t="str">
            <v>RGLTR, WTR SPLY, HYD2</v>
          </cell>
          <cell r="C583">
            <v>476.94160800000003</v>
          </cell>
          <cell r="D583">
            <v>56.617000000000004</v>
          </cell>
          <cell r="E583">
            <v>51.47</v>
          </cell>
          <cell r="F583">
            <v>5.1470000000000056</v>
          </cell>
          <cell r="G583" t="str">
            <v xml:space="preserve">    3030REPU</v>
          </cell>
          <cell r="H583" t="str">
            <v>HE</v>
          </cell>
        </row>
        <row r="584">
          <cell r="A584" t="str">
            <v>A08910S</v>
          </cell>
          <cell r="B584" t="str">
            <v>DIAPH ASSY /TINA SYSTEM</v>
          </cell>
          <cell r="C584">
            <v>131.30488800000001</v>
          </cell>
          <cell r="D584">
            <v>15.587000000000002</v>
          </cell>
          <cell r="E584">
            <v>14.17</v>
          </cell>
          <cell r="F584">
            <v>1.4170000000000016</v>
          </cell>
          <cell r="G584" t="str">
            <v xml:space="preserve">    3030REPU</v>
          </cell>
          <cell r="H584" t="str">
            <v>HE</v>
          </cell>
        </row>
        <row r="585">
          <cell r="A585" t="str">
            <v>A08970S</v>
          </cell>
          <cell r="B585" t="str">
            <v>FLOAT, SUPPLY MANIFOLD SYSTEM</v>
          </cell>
          <cell r="C585">
            <v>120.92652000000001</v>
          </cell>
          <cell r="D585">
            <v>14.355</v>
          </cell>
          <cell r="E585">
            <v>13.05</v>
          </cell>
          <cell r="F585">
            <v>1.3049999999999999</v>
          </cell>
          <cell r="G585" t="str">
            <v xml:space="preserve">    3030REPU</v>
          </cell>
          <cell r="H585" t="str">
            <v>HE</v>
          </cell>
        </row>
        <row r="586">
          <cell r="A586" t="str">
            <v>A09280S</v>
          </cell>
          <cell r="B586" t="str">
            <v>DIAPH ASSY OUT EQ/TINA SYSTEM</v>
          </cell>
          <cell r="C586">
            <v>218.22372000000001</v>
          </cell>
          <cell r="D586">
            <v>25.905000000000001</v>
          </cell>
          <cell r="E586">
            <v>23.55</v>
          </cell>
          <cell r="F586">
            <v>2.355</v>
          </cell>
          <cell r="G586" t="str">
            <v xml:space="preserve">    3030REPU</v>
          </cell>
          <cell r="H586" t="str">
            <v>HE</v>
          </cell>
        </row>
        <row r="587">
          <cell r="A587" t="str">
            <v>A09290S</v>
          </cell>
          <cell r="B587" t="str">
            <v>DIAPH ASSY IN SPLY/TINA SYSTEM</v>
          </cell>
          <cell r="C587">
            <v>188.20058399999999</v>
          </cell>
          <cell r="D587">
            <v>22.341000000000001</v>
          </cell>
          <cell r="E587">
            <v>20.309999999999999</v>
          </cell>
          <cell r="F587">
            <v>2.0310000000000024</v>
          </cell>
          <cell r="G587" t="str">
            <v xml:space="preserve">    3030REPU</v>
          </cell>
          <cell r="H587" t="str">
            <v>HE</v>
          </cell>
        </row>
        <row r="588">
          <cell r="A588" t="str">
            <v>A09570S</v>
          </cell>
          <cell r="B588" t="str">
            <v>REED SW ASSY</v>
          </cell>
          <cell r="C588">
            <v>145.48247999999998</v>
          </cell>
          <cell r="D588">
            <v>17.27</v>
          </cell>
          <cell r="E588">
            <v>15.7</v>
          </cell>
          <cell r="F588">
            <v>1.57</v>
          </cell>
          <cell r="G588" t="str">
            <v xml:space="preserve">    3030REPU</v>
          </cell>
          <cell r="H588" t="str">
            <v>HE</v>
          </cell>
        </row>
        <row r="589">
          <cell r="A589" t="str">
            <v>A15047</v>
          </cell>
          <cell r="B589" t="str">
            <v>HUMAN ALBUMIN 20%, 50ML INMUNO</v>
          </cell>
          <cell r="C589">
            <v>154.69227071999998</v>
          </cell>
          <cell r="D589">
            <v>18.36328</v>
          </cell>
          <cell r="E589">
            <v>14.1256</v>
          </cell>
          <cell r="F589">
            <v>4.2376799999999992</v>
          </cell>
          <cell r="G589" t="str">
            <v xml:space="preserve">    3030PTGT</v>
          </cell>
          <cell r="H589" t="str">
            <v>PP</v>
          </cell>
        </row>
        <row r="590">
          <cell r="A590" t="str">
            <v>A1504700992007</v>
          </cell>
          <cell r="C590">
            <v>222.59720159999998</v>
          </cell>
          <cell r="D590">
            <v>25.925599999999999</v>
          </cell>
          <cell r="E590">
            <v>22.318870799999999</v>
          </cell>
          <cell r="F590">
            <v>3.6067292000000002</v>
          </cell>
          <cell r="G590" t="e">
            <v>#N/A</v>
          </cell>
          <cell r="H590">
            <v>0</v>
          </cell>
        </row>
        <row r="591">
          <cell r="A591" t="str">
            <v>A17047</v>
          </cell>
          <cell r="B591" t="str">
            <v>HUMAN ALBUMIN 25%, 50ML INMUNO</v>
          </cell>
          <cell r="C591">
            <v>180.88366608000001</v>
          </cell>
          <cell r="D591">
            <v>21.06728</v>
          </cell>
          <cell r="E591">
            <v>16.2056</v>
          </cell>
          <cell r="F591">
            <v>4.8616799999999998</v>
          </cell>
          <cell r="G591" t="str">
            <v xml:space="preserve">    3030PTGT</v>
          </cell>
          <cell r="H591" t="str">
            <v>PP</v>
          </cell>
        </row>
        <row r="592">
          <cell r="A592" t="str">
            <v>ABA6728</v>
          </cell>
          <cell r="B592" t="str">
            <v>TRAVASOL AL 8.5% (AMINOACIDOS</v>
          </cell>
          <cell r="C592">
            <v>43.308406876271185</v>
          </cell>
          <cell r="D592">
            <v>4.6901025423728813</v>
          </cell>
          <cell r="E592">
            <v>3.6077711864406781</v>
          </cell>
          <cell r="F592">
            <v>1.0823313559322032</v>
          </cell>
          <cell r="G592" t="str">
            <v xml:space="preserve">    3030PTGT</v>
          </cell>
          <cell r="H592" t="str">
            <v>AT</v>
          </cell>
        </row>
        <row r="593">
          <cell r="A593" t="str">
            <v>ABA8000</v>
          </cell>
          <cell r="C593">
            <v>1.2502835999999997</v>
          </cell>
          <cell r="D593">
            <v>0.13539999999999999</v>
          </cell>
          <cell r="E593">
            <v>6.5354999999999996E-2</v>
          </cell>
          <cell r="F593">
            <v>7.0044999999999996E-2</v>
          </cell>
          <cell r="G593" t="str">
            <v xml:space="preserve">    3030PTGT</v>
          </cell>
          <cell r="H593" t="str">
            <v>AN</v>
          </cell>
        </row>
        <row r="594">
          <cell r="A594" t="str">
            <v>ABB4975</v>
          </cell>
          <cell r="C594">
            <v>18.982155599999999</v>
          </cell>
          <cell r="D594">
            <v>1.8898999999999999</v>
          </cell>
          <cell r="E594">
            <v>1.229737288135593</v>
          </cell>
          <cell r="F594">
            <v>0.66016271186440689</v>
          </cell>
          <cell r="G594" t="str">
            <v xml:space="preserve">    3030PTGT</v>
          </cell>
          <cell r="H594" t="str">
            <v>PD</v>
          </cell>
        </row>
        <row r="595">
          <cell r="A595" t="str">
            <v>ABB4977</v>
          </cell>
          <cell r="C595">
            <v>23.655628799999995</v>
          </cell>
          <cell r="D595">
            <v>2.3552</v>
          </cell>
          <cell r="E595">
            <v>1.2671186440677966</v>
          </cell>
          <cell r="F595">
            <v>1.0880813559322033</v>
          </cell>
          <cell r="G595" t="str">
            <v xml:space="preserve">    3030PTGT</v>
          </cell>
          <cell r="H595" t="str">
            <v>PD</v>
          </cell>
        </row>
        <row r="596">
          <cell r="A596" t="str">
            <v>ABB4979</v>
          </cell>
          <cell r="C596">
            <v>20.740859999999998</v>
          </cell>
          <cell r="D596">
            <v>2.0649999999999999</v>
          </cell>
          <cell r="E596">
            <v>1.332508474576271</v>
          </cell>
          <cell r="F596">
            <v>0.73249152542372897</v>
          </cell>
          <cell r="G596" t="str">
            <v xml:space="preserve">    3030PTGT</v>
          </cell>
          <cell r="H596" t="str">
            <v>PD</v>
          </cell>
        </row>
        <row r="597">
          <cell r="A597" t="str">
            <v>ABB4980</v>
          </cell>
          <cell r="C597">
            <v>12.839245200000001</v>
          </cell>
          <cell r="D597">
            <v>1.2783</v>
          </cell>
          <cell r="E597">
            <v>1.1620847457627119</v>
          </cell>
          <cell r="F597">
            <v>0.11621525423728807</v>
          </cell>
          <cell r="G597" t="str">
            <v xml:space="preserve">    3030PTGT</v>
          </cell>
          <cell r="H597" t="str">
            <v>PD</v>
          </cell>
        </row>
        <row r="598">
          <cell r="A598" t="str">
            <v>ABB4987</v>
          </cell>
          <cell r="B598" t="str">
            <v>SOLUCION DIANEL 2.5 2500 ML</v>
          </cell>
          <cell r="C598">
            <v>15.379943094915252</v>
          </cell>
          <cell r="D598">
            <v>1.5312567796610168</v>
          </cell>
          <cell r="E598">
            <v>1.1778898305084744</v>
          </cell>
          <cell r="F598">
            <v>0.35336694915254241</v>
          </cell>
          <cell r="G598" t="str">
            <v xml:space="preserve">    3030PTGT</v>
          </cell>
          <cell r="H598" t="str">
            <v>PD</v>
          </cell>
        </row>
        <row r="599">
          <cell r="A599" t="str">
            <v>ABB4989</v>
          </cell>
          <cell r="C599">
            <v>13.730148</v>
          </cell>
          <cell r="D599">
            <v>1.367</v>
          </cell>
          <cell r="E599">
            <v>1.2419745762711865</v>
          </cell>
          <cell r="F599">
            <v>0.12502542372881353</v>
          </cell>
          <cell r="G599" t="str">
            <v xml:space="preserve">    3030PTGT</v>
          </cell>
          <cell r="H599" t="str">
            <v>PD</v>
          </cell>
        </row>
        <row r="600">
          <cell r="A600" t="str">
            <v>ABB4996</v>
          </cell>
          <cell r="C600">
            <v>10.775203199999998</v>
          </cell>
          <cell r="D600">
            <v>1.0728</v>
          </cell>
          <cell r="E600">
            <v>0.94077100000000002</v>
          </cell>
          <cell r="F600">
            <v>0.13202899999999995</v>
          </cell>
          <cell r="G600" t="str">
            <v xml:space="preserve">    3030PTGT</v>
          </cell>
          <cell r="H600" t="str">
            <v>PD</v>
          </cell>
        </row>
        <row r="601">
          <cell r="A601" t="str">
            <v>ABB4997</v>
          </cell>
          <cell r="C601">
            <v>10.775203199999998</v>
          </cell>
          <cell r="D601">
            <v>1.0728</v>
          </cell>
          <cell r="E601">
            <v>0.95253399999999999</v>
          </cell>
          <cell r="F601">
            <v>0.12026599999999998</v>
          </cell>
          <cell r="G601" t="str">
            <v xml:space="preserve">    3030PTGT</v>
          </cell>
          <cell r="H601" t="str">
            <v>PD</v>
          </cell>
        </row>
        <row r="602">
          <cell r="A602" t="str">
            <v>ABB4998</v>
          </cell>
          <cell r="C602">
            <v>10.775203199999998</v>
          </cell>
          <cell r="D602">
            <v>1.0728</v>
          </cell>
          <cell r="E602">
            <v>1.009636</v>
          </cell>
          <cell r="F602">
            <v>6.3163999999999998E-2</v>
          </cell>
          <cell r="G602" t="str">
            <v xml:space="preserve">    3030PTGT</v>
          </cell>
          <cell r="H602" t="str">
            <v>PD</v>
          </cell>
        </row>
        <row r="603">
          <cell r="A603" t="str">
            <v>ABB5346-E</v>
          </cell>
          <cell r="B603" t="str">
            <v>SOLUCION PARA DIALISIS PERITON</v>
          </cell>
          <cell r="C603">
            <v>7.0972521254237275</v>
          </cell>
          <cell r="D603">
            <v>0.70661610169491518</v>
          </cell>
          <cell r="E603">
            <v>0.54355084745762705</v>
          </cell>
          <cell r="F603">
            <v>0.16306525423728813</v>
          </cell>
          <cell r="G603" t="str">
            <v xml:space="preserve">    3030PTGT</v>
          </cell>
          <cell r="H603" t="str">
            <v>PD</v>
          </cell>
        </row>
        <row r="604">
          <cell r="A604" t="str">
            <v>ABB5356</v>
          </cell>
          <cell r="B604" t="str">
            <v>SOLUCION PARA DIALISIS PERITON</v>
          </cell>
          <cell r="C604">
            <v>8.2310154406779663</v>
          </cell>
          <cell r="D604">
            <v>0.81949576271186442</v>
          </cell>
          <cell r="E604">
            <v>0.63038135593220335</v>
          </cell>
          <cell r="F604">
            <v>0.18911440677966107</v>
          </cell>
          <cell r="G604" t="str">
            <v xml:space="preserve">    3030PTGT</v>
          </cell>
          <cell r="H604" t="str">
            <v>PD</v>
          </cell>
        </row>
        <row r="605">
          <cell r="A605" t="str">
            <v>ABB5437</v>
          </cell>
          <cell r="C605">
            <v>7.4305512</v>
          </cell>
          <cell r="D605">
            <v>0.73980000000000001</v>
          </cell>
          <cell r="E605">
            <v>0.61282203389830503</v>
          </cell>
          <cell r="F605">
            <v>0.12697796610169498</v>
          </cell>
          <cell r="G605" t="str">
            <v xml:space="preserve">    3030PTGT</v>
          </cell>
          <cell r="H605" t="str">
            <v>PD</v>
          </cell>
        </row>
        <row r="606">
          <cell r="A606" t="str">
            <v>ABB7317</v>
          </cell>
          <cell r="C606">
            <v>16.552868400000001</v>
          </cell>
          <cell r="D606">
            <v>1.7926</v>
          </cell>
          <cell r="E606">
            <v>0.9776694915254236</v>
          </cell>
          <cell r="F606">
            <v>0.81493050847457638</v>
          </cell>
          <cell r="G606" t="str">
            <v xml:space="preserve">    3030PTGT</v>
          </cell>
          <cell r="H606" t="str">
            <v>IV</v>
          </cell>
        </row>
        <row r="607">
          <cell r="A607" t="str">
            <v>ABC4466</v>
          </cell>
          <cell r="B607" t="str">
            <v>TAPON CON YODO POVIDONA</v>
          </cell>
          <cell r="C607">
            <v>1.2109957002</v>
          </cell>
          <cell r="D607">
            <v>0.13114529999999999</v>
          </cell>
          <cell r="E607">
            <v>0.100881</v>
          </cell>
          <cell r="F607">
            <v>3.0264299999999994E-2</v>
          </cell>
          <cell r="G607" t="str">
            <v xml:space="preserve">    3030PTGT</v>
          </cell>
          <cell r="H607" t="str">
            <v>PD</v>
          </cell>
        </row>
        <row r="608">
          <cell r="A608" t="str">
            <v>ABD0021</v>
          </cell>
          <cell r="C608">
            <v>19.484663399999999</v>
          </cell>
          <cell r="D608">
            <v>2.1101000000000001</v>
          </cell>
          <cell r="E608">
            <v>0.70730000000000004</v>
          </cell>
          <cell r="F608">
            <v>1.4028</v>
          </cell>
          <cell r="G608" t="str">
            <v xml:space="preserve">    3030PTGT</v>
          </cell>
          <cell r="H608" t="str">
            <v>DP</v>
          </cell>
        </row>
        <row r="609">
          <cell r="A609" t="str">
            <v>ABL006</v>
          </cell>
          <cell r="B609" t="str">
            <v>EQ.MACRO DE ADMON.IV VENTILADO</v>
          </cell>
          <cell r="C609">
            <v>3.1811129999999999</v>
          </cell>
          <cell r="D609">
            <v>0.3705</v>
          </cell>
          <cell r="E609">
            <v>0.28499999999999998</v>
          </cell>
          <cell r="F609">
            <v>8.550000000000002E-2</v>
          </cell>
          <cell r="G609" t="str">
            <v xml:space="preserve">    3030PTGT</v>
          </cell>
          <cell r="H609" t="str">
            <v>DP</v>
          </cell>
        </row>
        <row r="610">
          <cell r="A610" t="str">
            <v>ABM4170</v>
          </cell>
          <cell r="B610" t="str">
            <v>CONCENTRADO DE BICARBONATO DE</v>
          </cell>
          <cell r="C610">
            <v>14.498513382203388</v>
          </cell>
          <cell r="D610">
            <v>1.1853906779661016</v>
          </cell>
          <cell r="E610">
            <v>0.91183898305084743</v>
          </cell>
          <cell r="F610">
            <v>0.27355169491525422</v>
          </cell>
          <cell r="G610" t="str">
            <v xml:space="preserve">    3030PTGT</v>
          </cell>
          <cell r="H610" t="str">
            <v>HE</v>
          </cell>
        </row>
        <row r="611">
          <cell r="A611" t="str">
            <v>ABM4173</v>
          </cell>
          <cell r="C611">
            <v>20.633696999999998</v>
          </cell>
          <cell r="D611">
            <v>1.6870000000000001</v>
          </cell>
          <cell r="E611">
            <v>1.5232542372881357</v>
          </cell>
          <cell r="F611">
            <v>0.16374576271186436</v>
          </cell>
          <cell r="G611" t="str">
            <v xml:space="preserve">    3030PTGT</v>
          </cell>
          <cell r="H611" t="str">
            <v>HE</v>
          </cell>
        </row>
        <row r="612">
          <cell r="A612" t="str">
            <v>ABM4174</v>
          </cell>
          <cell r="B612" t="str">
            <v>KACESOL CONCENTRADO</v>
          </cell>
          <cell r="C612">
            <v>38.94441614237288</v>
          </cell>
          <cell r="D612">
            <v>3.1840745762711866</v>
          </cell>
          <cell r="E612">
            <v>2.4492881355932203</v>
          </cell>
          <cell r="F612">
            <v>0.73478644067796628</v>
          </cell>
          <cell r="G612" t="str">
            <v xml:space="preserve">    3030PTGT</v>
          </cell>
          <cell r="H612" t="str">
            <v>HE</v>
          </cell>
        </row>
        <row r="613">
          <cell r="A613" t="str">
            <v>ABM4177</v>
          </cell>
          <cell r="C613">
            <v>12.306832199999999</v>
          </cell>
          <cell r="D613">
            <v>1.0062</v>
          </cell>
          <cell r="E613">
            <v>0.83330000000000004</v>
          </cell>
          <cell r="F613">
            <v>0.17289999999999994</v>
          </cell>
          <cell r="G613" t="str">
            <v xml:space="preserve">    3030PTGT</v>
          </cell>
          <cell r="H613" t="str">
            <v>HE</v>
          </cell>
        </row>
        <row r="614">
          <cell r="A614" t="str">
            <v>ABR1582</v>
          </cell>
          <cell r="C614">
            <v>36.058769999999996</v>
          </cell>
          <cell r="D614">
            <v>3.9049999999999998</v>
          </cell>
          <cell r="E614">
            <v>2.8593813559322032</v>
          </cell>
          <cell r="F614">
            <v>1.0456186440677966</v>
          </cell>
          <cell r="G614" t="str">
            <v xml:space="preserve">    3030PTGT</v>
          </cell>
          <cell r="H614" t="str">
            <v>BP</v>
          </cell>
        </row>
        <row r="615">
          <cell r="A615" t="str">
            <v>AHN3635</v>
          </cell>
          <cell r="C615">
            <v>571.74860880000006</v>
          </cell>
          <cell r="D615">
            <v>66.590800000000002</v>
          </cell>
          <cell r="E615">
            <v>19.391999999999999</v>
          </cell>
          <cell r="F615">
            <v>47.198800000000006</v>
          </cell>
          <cell r="G615" t="e">
            <v>#N/A</v>
          </cell>
          <cell r="H615">
            <v>0</v>
          </cell>
        </row>
        <row r="616">
          <cell r="A616" t="str">
            <v>AP30</v>
          </cell>
          <cell r="B616" t="str">
            <v>Agitador de plaquetas Presvac</v>
          </cell>
          <cell r="C616">
            <v>6782.94</v>
          </cell>
          <cell r="D616">
            <v>790</v>
          </cell>
          <cell r="E616">
            <v>790</v>
          </cell>
          <cell r="F616">
            <v>0</v>
          </cell>
          <cell r="G616" t="str">
            <v xml:space="preserve">    3030REPU</v>
          </cell>
          <cell r="H616" t="str">
            <v>PT</v>
          </cell>
        </row>
        <row r="617">
          <cell r="A617" t="str">
            <v>AP48LT</v>
          </cell>
          <cell r="B617" t="str">
            <v>AGITADOR DE PLAQUETAS</v>
          </cell>
          <cell r="C617">
            <v>23010.48</v>
          </cell>
          <cell r="D617">
            <v>2680</v>
          </cell>
          <cell r="E617">
            <v>2680</v>
          </cell>
          <cell r="F617">
            <v>0</v>
          </cell>
          <cell r="G617" t="str">
            <v xml:space="preserve">    3030PTGT</v>
          </cell>
          <cell r="H617" t="str">
            <v>PT</v>
          </cell>
        </row>
        <row r="618">
          <cell r="A618" t="str">
            <v>ARB7487</v>
          </cell>
          <cell r="B618" t="str">
            <v>LACTATO DE RINGER 3000 ML.</v>
          </cell>
          <cell r="C618">
            <v>8.9852490000000014</v>
          </cell>
          <cell r="D618">
            <v>1.0465000000000002</v>
          </cell>
          <cell r="E618">
            <v>0.80500000000000005</v>
          </cell>
          <cell r="F618">
            <v>0.24150000000000016</v>
          </cell>
          <cell r="G618" t="str">
            <v xml:space="preserve">    3030PTGT</v>
          </cell>
          <cell r="H618" t="str">
            <v>IV</v>
          </cell>
        </row>
        <row r="619">
          <cell r="A619" t="str">
            <v>ATFDR4548</v>
          </cell>
          <cell r="B619" t="str">
            <v>EQUIPO OPTIPRESS</v>
          </cell>
          <cell r="C619">
            <v>8586</v>
          </cell>
          <cell r="D619">
            <v>1000</v>
          </cell>
          <cell r="E619">
            <v>1000</v>
          </cell>
          <cell r="F619">
            <v>0</v>
          </cell>
          <cell r="G619" t="str">
            <v xml:space="preserve">    3030PTGT</v>
          </cell>
          <cell r="H619" t="str">
            <v>BP</v>
          </cell>
        </row>
        <row r="620">
          <cell r="A620" t="str">
            <v>AV800</v>
          </cell>
          <cell r="B620" t="str">
            <v>BASIC VENTILATOR + MANOMETER</v>
          </cell>
          <cell r="C620">
            <v>17172</v>
          </cell>
          <cell r="D620">
            <v>2000</v>
          </cell>
          <cell r="E620">
            <v>2000</v>
          </cell>
          <cell r="F620">
            <v>0</v>
          </cell>
          <cell r="G620" t="str">
            <v xml:space="preserve">    3030REPU</v>
          </cell>
          <cell r="H620" t="str">
            <v>HE</v>
          </cell>
        </row>
        <row r="621">
          <cell r="A621" t="str">
            <v>B071600</v>
          </cell>
          <cell r="B621" t="str">
            <v>SPRG. CANTED COIL</v>
          </cell>
          <cell r="C621">
            <v>24.839297999999999</v>
          </cell>
          <cell r="D621">
            <v>2.8930000000000002</v>
          </cell>
          <cell r="E621">
            <v>2.63</v>
          </cell>
          <cell r="F621">
            <v>0.26300000000000034</v>
          </cell>
          <cell r="G621" t="str">
            <v xml:space="preserve">    3030REPU</v>
          </cell>
          <cell r="H621" t="str">
            <v>HE</v>
          </cell>
        </row>
        <row r="622">
          <cell r="A622" t="str">
            <v>B10002791</v>
          </cell>
          <cell r="B622" t="str">
            <v>SILICA INHIBITOR (HIPERSENSE G</v>
          </cell>
          <cell r="C622">
            <v>4801.68</v>
          </cell>
          <cell r="D622">
            <v>520</v>
          </cell>
          <cell r="E622">
            <v>520</v>
          </cell>
          <cell r="F622">
            <v>0</v>
          </cell>
          <cell r="G622" t="str">
            <v xml:space="preserve">    3030PTGT</v>
          </cell>
          <cell r="H622" t="str">
            <v>HE</v>
          </cell>
        </row>
        <row r="623">
          <cell r="A623" t="str">
            <v>BBB8261</v>
          </cell>
          <cell r="B623" t="str">
            <v>DIANEAL 1.5%</v>
          </cell>
          <cell r="C623">
            <v>10.0902672</v>
          </cell>
          <cell r="D623">
            <v>1.1752</v>
          </cell>
          <cell r="E623">
            <v>0.90400000000000003</v>
          </cell>
          <cell r="F623">
            <v>0.2712</v>
          </cell>
          <cell r="G623" t="str">
            <v xml:space="preserve">    3030PTGT</v>
          </cell>
          <cell r="H623" t="str">
            <v>PD</v>
          </cell>
        </row>
        <row r="624">
          <cell r="A624" t="str">
            <v>BC1</v>
          </cell>
          <cell r="C624">
            <v>11.130890399999998</v>
          </cell>
          <cell r="D624">
            <v>1.2964</v>
          </cell>
          <cell r="E624">
            <v>1.25</v>
          </cell>
          <cell r="F624">
            <v>4.6399999999999997E-2</v>
          </cell>
          <cell r="G624" t="e">
            <v>#N/A</v>
          </cell>
          <cell r="H624" t="str">
            <v>HE</v>
          </cell>
        </row>
        <row r="625">
          <cell r="A625" t="str">
            <v>BC-1</v>
          </cell>
          <cell r="B625" t="str">
            <v>BICARBONATO EN POLVO 36,86</v>
          </cell>
          <cell r="C625">
            <v>15.725501999999999</v>
          </cell>
          <cell r="D625">
            <v>1.7030000000000001</v>
          </cell>
          <cell r="E625">
            <v>1.31</v>
          </cell>
          <cell r="F625">
            <v>0.39300000000000002</v>
          </cell>
          <cell r="G625" t="str">
            <v xml:space="preserve">    3030PTGT</v>
          </cell>
          <cell r="H625" t="str">
            <v>HE</v>
          </cell>
        </row>
        <row r="626">
          <cell r="A626" t="str">
            <v>BI016445</v>
          </cell>
          <cell r="B626" t="str">
            <v>Fluid  valve</v>
          </cell>
          <cell r="C626">
            <v>7603.2646895155758</v>
          </cell>
          <cell r="D626">
            <v>885.54212549680597</v>
          </cell>
          <cell r="E626">
            <v>805.03829590618716</v>
          </cell>
          <cell r="F626">
            <v>80.503829590618807</v>
          </cell>
          <cell r="G626" t="str">
            <v xml:space="preserve">    3030REPU</v>
          </cell>
          <cell r="H626" t="str">
            <v>HE</v>
          </cell>
        </row>
        <row r="627">
          <cell r="A627" t="str">
            <v>BI016447</v>
          </cell>
          <cell r="B627" t="str">
            <v>PCB Digital sys Part</v>
          </cell>
          <cell r="C627">
            <v>3813.7751221240874</v>
          </cell>
          <cell r="D627">
            <v>444.18531587748515</v>
          </cell>
          <cell r="E627">
            <v>403.80483261589558</v>
          </cell>
          <cell r="F627">
            <v>40.380483261589575</v>
          </cell>
          <cell r="G627" t="str">
            <v xml:space="preserve">    3030REPU</v>
          </cell>
          <cell r="H627" t="str">
            <v>HE</v>
          </cell>
        </row>
        <row r="628">
          <cell r="A628" t="str">
            <v>BI016450</v>
          </cell>
          <cell r="B628" t="str">
            <v>Analog svg part</v>
          </cell>
          <cell r="C628">
            <v>4407.369404703446</v>
          </cell>
          <cell r="D628">
            <v>513.32045244624351</v>
          </cell>
          <cell r="E628">
            <v>466.65495676931226</v>
          </cell>
          <cell r="F628">
            <v>46.665495676931243</v>
          </cell>
          <cell r="G628" t="str">
            <v xml:space="preserve">    3030REPU</v>
          </cell>
          <cell r="H628" t="str">
            <v>HE</v>
          </cell>
        </row>
        <row r="629">
          <cell r="A629" t="str">
            <v>BRD0021</v>
          </cell>
          <cell r="B629" t="str">
            <v>Bolsa para Enema de vario</v>
          </cell>
          <cell r="C629">
            <v>10.35722376</v>
          </cell>
          <cell r="D629">
            <v>1.12164</v>
          </cell>
          <cell r="E629">
            <v>0.86280000000000001</v>
          </cell>
          <cell r="F629">
            <v>0.25883999999999996</v>
          </cell>
          <cell r="G629" t="str">
            <v xml:space="preserve">    3030PTGT</v>
          </cell>
          <cell r="H629" t="str">
            <v>DP</v>
          </cell>
        </row>
        <row r="630">
          <cell r="A630" t="str">
            <v>C90030</v>
          </cell>
          <cell r="B630" t="str">
            <v>INMUNATE 250 X 5 ML</v>
          </cell>
          <cell r="C630">
            <v>278.35699086000005</v>
          </cell>
          <cell r="D630">
            <v>30.144790000000004</v>
          </cell>
          <cell r="E630">
            <v>23.188300000000002</v>
          </cell>
          <cell r="F630">
            <v>6.9564900000000023</v>
          </cell>
          <cell r="G630" t="str">
            <v xml:space="preserve">    3030PTGT</v>
          </cell>
          <cell r="H630" t="str">
            <v>PP</v>
          </cell>
        </row>
        <row r="631">
          <cell r="A631" t="str">
            <v>C9003030992005</v>
          </cell>
          <cell r="C631">
            <v>365.41243259999999</v>
          </cell>
          <cell r="D631">
            <v>42.559100000000001</v>
          </cell>
          <cell r="E631">
            <v>33.699036</v>
          </cell>
          <cell r="F631">
            <v>8.8600640000000013</v>
          </cell>
          <cell r="G631" t="e">
            <v>#N/A</v>
          </cell>
          <cell r="H631">
            <v>0</v>
          </cell>
        </row>
        <row r="632">
          <cell r="A632" t="str">
            <v>C90050</v>
          </cell>
          <cell r="B632" t="str">
            <v>IMMUNATE 500 IU</v>
          </cell>
          <cell r="C632">
            <v>414.10947708000003</v>
          </cell>
          <cell r="D632">
            <v>48.230780000000003</v>
          </cell>
          <cell r="E632">
            <v>37.1006</v>
          </cell>
          <cell r="F632">
            <v>11.130180000000003</v>
          </cell>
          <cell r="G632" t="str">
            <v xml:space="preserve">    3030PTGT</v>
          </cell>
          <cell r="H632" t="str">
            <v>PP</v>
          </cell>
        </row>
        <row r="633">
          <cell r="A633" t="str">
            <v>CFLB-200</v>
          </cell>
          <cell r="C633">
            <v>55754.016389999997</v>
          </cell>
          <cell r="D633">
            <v>6682.73</v>
          </cell>
          <cell r="E633">
            <v>6682.73</v>
          </cell>
          <cell r="F633">
            <v>0</v>
          </cell>
          <cell r="G633" t="str">
            <v xml:space="preserve">    3030PTGT</v>
          </cell>
          <cell r="H633" t="str">
            <v>OP</v>
          </cell>
        </row>
        <row r="634">
          <cell r="A634" t="str">
            <v>CRB1324</v>
          </cell>
          <cell r="B634" t="str">
            <v>CLORURO DE SODIO 0.9% x 1000</v>
          </cell>
          <cell r="C634">
            <v>3.4043489999999998</v>
          </cell>
          <cell r="D634">
            <v>0.39650000000000002</v>
          </cell>
          <cell r="E634">
            <v>0.30499999999999999</v>
          </cell>
          <cell r="F634">
            <v>9.1500000000000026E-2</v>
          </cell>
          <cell r="G634" t="str">
            <v xml:space="preserve">    3030PTGT</v>
          </cell>
          <cell r="H634" t="str">
            <v>IV</v>
          </cell>
        </row>
        <row r="635">
          <cell r="A635" t="str">
            <v>D0403229</v>
          </cell>
          <cell r="B635" t="str">
            <v>BB 10" 5 UM FILTER</v>
          </cell>
          <cell r="C635">
            <v>9.4446000000000012</v>
          </cell>
          <cell r="D635">
            <v>1.1000000000000001</v>
          </cell>
          <cell r="E635">
            <v>1</v>
          </cell>
          <cell r="F635">
            <v>0.1</v>
          </cell>
          <cell r="G635" t="str">
            <v xml:space="preserve">    3030REPU</v>
          </cell>
          <cell r="H635" t="str">
            <v>HE</v>
          </cell>
        </row>
        <row r="636">
          <cell r="A636" t="str">
            <v>D7405130992025</v>
          </cell>
          <cell r="C636">
            <v>324.53706240000002</v>
          </cell>
          <cell r="D636">
            <v>37.798400000000001</v>
          </cell>
          <cell r="E636">
            <v>31.718966400000003</v>
          </cell>
          <cell r="F636">
            <v>6.079433599999998</v>
          </cell>
          <cell r="G636" t="e">
            <v>#N/A</v>
          </cell>
          <cell r="H636">
            <v>0</v>
          </cell>
        </row>
        <row r="637">
          <cell r="A637" t="str">
            <v>D94260</v>
          </cell>
          <cell r="B637" t="str">
            <v>IMMUNINE 600 IU</v>
          </cell>
          <cell r="C637">
            <v>1570.6751018399998</v>
          </cell>
          <cell r="D637">
            <v>182.93444</v>
          </cell>
          <cell r="E637">
            <v>140.71879999999999</v>
          </cell>
          <cell r="F637">
            <v>42.215640000000008</v>
          </cell>
          <cell r="G637" t="str">
            <v xml:space="preserve">    3030PTGT</v>
          </cell>
          <cell r="H637" t="str">
            <v>PP</v>
          </cell>
        </row>
        <row r="638">
          <cell r="A638" t="str">
            <v>D9426030992022</v>
          </cell>
          <cell r="C638">
            <v>1393.0819344000004</v>
          </cell>
          <cell r="D638">
            <v>162.25040000000001</v>
          </cell>
          <cell r="E638">
            <v>134.65660560000001</v>
          </cell>
          <cell r="F638">
            <v>27.593794400000007</v>
          </cell>
          <cell r="G638" t="e">
            <v>#N/A</v>
          </cell>
          <cell r="H638">
            <v>0</v>
          </cell>
        </row>
        <row r="639">
          <cell r="A639" t="str">
            <v>DIN1515X</v>
          </cell>
          <cell r="B639" t="str">
            <v>AGUJA PARA SUCCION DE MEDULA O</v>
          </cell>
          <cell r="C639">
            <v>38.469979781999989</v>
          </cell>
          <cell r="D639">
            <v>4.1661229999999998</v>
          </cell>
          <cell r="E639">
            <v>3.2047099999999999</v>
          </cell>
          <cell r="F639">
            <v>0.96141299999999985</v>
          </cell>
          <cell r="G639" t="str">
            <v xml:space="preserve">    3030PTGT</v>
          </cell>
          <cell r="H639" t="str">
            <v>SP</v>
          </cell>
        </row>
        <row r="640">
          <cell r="A640" t="str">
            <v>DJ4011X</v>
          </cell>
          <cell r="B640" t="str">
            <v>JAMSHIDI BONE MARROW BIOP/ASP</v>
          </cell>
          <cell r="C640">
            <v>59.187788478000002</v>
          </cell>
          <cell r="D640">
            <v>6.4097670000000004</v>
          </cell>
          <cell r="E640">
            <v>4.9305900000000005</v>
          </cell>
          <cell r="F640">
            <v>1.479177</v>
          </cell>
          <cell r="G640" t="str">
            <v xml:space="preserve">    3030PTGT</v>
          </cell>
          <cell r="H640" t="str">
            <v>SP</v>
          </cell>
        </row>
        <row r="641">
          <cell r="A641" t="str">
            <v>E09520S</v>
          </cell>
          <cell r="B641" t="str">
            <v>PCB ASSY POWER SUPPLY 24V/TINA</v>
          </cell>
          <cell r="C641">
            <v>1071.1120860000001</v>
          </cell>
          <cell r="D641">
            <v>124.751</v>
          </cell>
          <cell r="E641">
            <v>113.41</v>
          </cell>
          <cell r="F641">
            <v>11.341000000000008</v>
          </cell>
          <cell r="G641" t="str">
            <v xml:space="preserve">    3030REPU</v>
          </cell>
          <cell r="H641" t="str">
            <v>HE</v>
          </cell>
        </row>
        <row r="642">
          <cell r="A642" t="str">
            <v>E09780S</v>
          </cell>
          <cell r="B642" t="str">
            <v>PCB ASSY MEM CONT P/TINA</v>
          </cell>
          <cell r="C642">
            <v>1178.119404</v>
          </cell>
          <cell r="D642">
            <v>137.214</v>
          </cell>
          <cell r="E642">
            <v>124.74</v>
          </cell>
          <cell r="F642">
            <v>12.474000000000004</v>
          </cell>
          <cell r="G642" t="str">
            <v xml:space="preserve">    3030REPU</v>
          </cell>
          <cell r="H642" t="str">
            <v>HE</v>
          </cell>
        </row>
        <row r="643">
          <cell r="A643" t="str">
            <v>E09880S</v>
          </cell>
          <cell r="B643" t="str">
            <v>PCB ASSY TOUCHSCREEN/TINA</v>
          </cell>
          <cell r="C643">
            <v>731.29537800000003</v>
          </cell>
          <cell r="D643">
            <v>85.173000000000016</v>
          </cell>
          <cell r="E643">
            <v>77.430000000000007</v>
          </cell>
          <cell r="F643">
            <v>7.7430000000000092</v>
          </cell>
          <cell r="G643" t="str">
            <v xml:space="preserve">    3030REPU</v>
          </cell>
          <cell r="H643" t="str">
            <v>HE</v>
          </cell>
        </row>
        <row r="644">
          <cell r="A644" t="str">
            <v>E09890S</v>
          </cell>
          <cell r="B644" t="str">
            <v>PCB ASSY/DB/BP/UF/TINA SYSTEM</v>
          </cell>
          <cell r="C644">
            <v>3606.8927400000002</v>
          </cell>
          <cell r="D644">
            <v>420.09</v>
          </cell>
          <cell r="E644">
            <v>381.9</v>
          </cell>
          <cell r="F644">
            <v>38.190000000000055</v>
          </cell>
          <cell r="G644" t="str">
            <v xml:space="preserve">    3030REPU</v>
          </cell>
          <cell r="H644" t="str">
            <v>HE</v>
          </cell>
        </row>
        <row r="645">
          <cell r="A645" t="str">
            <v>E09930S</v>
          </cell>
          <cell r="B645" t="str">
            <v>PCB ASSY LC/TINA SYSTEM</v>
          </cell>
          <cell r="C645">
            <v>1176.7971599999998</v>
          </cell>
          <cell r="D645">
            <v>137.06</v>
          </cell>
          <cell r="E645">
            <v>124.6</v>
          </cell>
          <cell r="F645">
            <v>12.46</v>
          </cell>
          <cell r="G645" t="str">
            <v xml:space="preserve">    3030REPU</v>
          </cell>
          <cell r="H645" t="str">
            <v>HE</v>
          </cell>
        </row>
        <row r="646">
          <cell r="A646" t="str">
            <v>E10040S</v>
          </cell>
          <cell r="B646" t="str">
            <v>PCB ASSY, I/O HYD PWR, SYSTEM</v>
          </cell>
          <cell r="C646">
            <v>2374.1835480000004</v>
          </cell>
          <cell r="D646">
            <v>276.51800000000003</v>
          </cell>
          <cell r="E646">
            <v>251.38</v>
          </cell>
          <cell r="F646">
            <v>25.138000000000034</v>
          </cell>
          <cell r="G646" t="str">
            <v xml:space="preserve">    3030REPU</v>
          </cell>
          <cell r="H646" t="str">
            <v>HE</v>
          </cell>
        </row>
        <row r="647">
          <cell r="A647" t="str">
            <v>E10400S</v>
          </cell>
          <cell r="B647" t="str">
            <v>PCB ASSY SINGLE BD COMP</v>
          </cell>
          <cell r="C647">
            <v>3795.0291719999996</v>
          </cell>
          <cell r="D647">
            <v>442.00200000000001</v>
          </cell>
          <cell r="E647">
            <v>401.82</v>
          </cell>
          <cell r="F647">
            <v>40.182000000000016</v>
          </cell>
          <cell r="G647" t="str">
            <v xml:space="preserve">    3030REPU</v>
          </cell>
          <cell r="H647" t="str">
            <v>HE</v>
          </cell>
        </row>
        <row r="648">
          <cell r="A648" t="str">
            <v>ECC3473</v>
          </cell>
          <cell r="B648" t="str">
            <v>CATETER RIGIDO ADULTO PARA DIA</v>
          </cell>
          <cell r="C648">
            <v>128.02599341999999</v>
          </cell>
          <cell r="D648">
            <v>13.864630000000002</v>
          </cell>
          <cell r="E648">
            <v>10.665100000000001</v>
          </cell>
          <cell r="F648">
            <v>3.1995300000000011</v>
          </cell>
          <cell r="G648" t="str">
            <v xml:space="preserve">    3030PTGT</v>
          </cell>
          <cell r="H648" t="str">
            <v>HE</v>
          </cell>
        </row>
        <row r="649">
          <cell r="A649" t="str">
            <v>F041130007</v>
          </cell>
          <cell r="B649" t="str">
            <v>SENSOR PCB ASSY 6201</v>
          </cell>
          <cell r="C649">
            <v>633.35487599999999</v>
          </cell>
          <cell r="D649">
            <v>73.766000000000005</v>
          </cell>
          <cell r="E649">
            <v>67.06</v>
          </cell>
          <cell r="F649">
            <v>6.7060000000000031</v>
          </cell>
          <cell r="G649" t="str">
            <v xml:space="preserve">    3030REPU</v>
          </cell>
          <cell r="H649" t="str">
            <v>EI</v>
          </cell>
        </row>
        <row r="650">
          <cell r="A650" t="str">
            <v>FDR4360</v>
          </cell>
          <cell r="B650" t="str">
            <v>Hematron III sellador autom li</v>
          </cell>
          <cell r="C650">
            <v>31420.513331999999</v>
          </cell>
          <cell r="D650">
            <v>3402.6980000000003</v>
          </cell>
          <cell r="E650">
            <v>2617.46</v>
          </cell>
          <cell r="F650">
            <v>785.23800000000028</v>
          </cell>
          <cell r="G650" t="str">
            <v xml:space="preserve">    3030PTGT</v>
          </cell>
          <cell r="H650" t="str">
            <v>BP</v>
          </cell>
        </row>
        <row r="651">
          <cell r="A651" t="str">
            <v>FDR4360U</v>
          </cell>
          <cell r="B651" t="str">
            <v>HEMATRON 3 BENCH SEALER</v>
          </cell>
          <cell r="C651">
            <v>25812.269287199997</v>
          </cell>
          <cell r="D651">
            <v>2795.3508000000002</v>
          </cell>
          <cell r="E651">
            <v>2541.2280000000001</v>
          </cell>
          <cell r="F651">
            <v>254.1228000000001</v>
          </cell>
          <cell r="G651" t="str">
            <v xml:space="preserve">    3030REPU</v>
          </cell>
          <cell r="H651" t="str">
            <v>HE</v>
          </cell>
        </row>
        <row r="652">
          <cell r="A652" t="str">
            <v>FM4779</v>
          </cell>
          <cell r="B652" t="str">
            <v>1550 SINGLE PATIENT SYSTEM</v>
          </cell>
          <cell r="C652">
            <v>138289.70486214</v>
          </cell>
          <cell r="D652">
            <v>16106.41799</v>
          </cell>
          <cell r="E652">
            <v>12389.552299999999</v>
          </cell>
          <cell r="F652">
            <v>3716.8656900000005</v>
          </cell>
          <cell r="G652" t="str">
            <v xml:space="preserve">    3030PTGT</v>
          </cell>
          <cell r="H652" t="str">
            <v>HE</v>
          </cell>
        </row>
        <row r="653">
          <cell r="A653" t="str">
            <v>G13810S</v>
          </cell>
          <cell r="B653" t="str">
            <v>POWER SUPPLY/TINA SYSTEM</v>
          </cell>
          <cell r="C653">
            <v>1174.90824</v>
          </cell>
          <cell r="D653">
            <v>136.84</v>
          </cell>
          <cell r="E653">
            <v>124.4</v>
          </cell>
          <cell r="F653">
            <v>12.44</v>
          </cell>
          <cell r="G653" t="str">
            <v xml:space="preserve">    3030REPU</v>
          </cell>
          <cell r="H653" t="str">
            <v>HE</v>
          </cell>
        </row>
        <row r="654">
          <cell r="A654" t="str">
            <v>G14030S</v>
          </cell>
          <cell r="B654" t="str">
            <v>Touch Screen</v>
          </cell>
          <cell r="C654">
            <v>764.63481599999989</v>
          </cell>
          <cell r="D654">
            <v>89.055999999999997</v>
          </cell>
          <cell r="E654">
            <v>80.959999999999994</v>
          </cell>
          <cell r="F654">
            <v>8.0960000000000036</v>
          </cell>
          <cell r="G654" t="str">
            <v xml:space="preserve">    3030REPU</v>
          </cell>
          <cell r="H654" t="str">
            <v>PD</v>
          </cell>
        </row>
        <row r="655">
          <cell r="A655" t="str">
            <v>G16250S</v>
          </cell>
          <cell r="B655" t="str">
            <v>FLOW SENSOR W/O RING/TINA SYST</v>
          </cell>
          <cell r="C655">
            <v>244.709586</v>
          </cell>
          <cell r="D655">
            <v>28.501000000000001</v>
          </cell>
          <cell r="E655">
            <v>25.91</v>
          </cell>
          <cell r="F655">
            <v>2.5910000000000011</v>
          </cell>
          <cell r="G655" t="str">
            <v xml:space="preserve">    3030REPU</v>
          </cell>
          <cell r="H655" t="str">
            <v>HE</v>
          </cell>
        </row>
        <row r="656">
          <cell r="A656" t="str">
            <v>GC6350S</v>
          </cell>
          <cell r="B656" t="str">
            <v>SRAM INIT CAL, 4.8</v>
          </cell>
          <cell r="C656">
            <v>220.53141000000002</v>
          </cell>
          <cell r="D656">
            <v>25.684999999999999</v>
          </cell>
          <cell r="E656">
            <v>23.35</v>
          </cell>
          <cell r="F656">
            <v>2.335</v>
          </cell>
          <cell r="G656" t="str">
            <v xml:space="preserve">    3030REPU</v>
          </cell>
          <cell r="H656" t="str">
            <v>HE</v>
          </cell>
        </row>
        <row r="657">
          <cell r="A657" t="str">
            <v>GC7120S</v>
          </cell>
          <cell r="B657" t="str">
            <v>LEVEL ADJ NEW HYD</v>
          </cell>
          <cell r="C657">
            <v>200.508858</v>
          </cell>
          <cell r="D657">
            <v>23.353000000000002</v>
          </cell>
          <cell r="E657">
            <v>21.23</v>
          </cell>
          <cell r="F657">
            <v>2.1230000000000011</v>
          </cell>
          <cell r="G657" t="str">
            <v xml:space="preserve">    3030REPU</v>
          </cell>
          <cell r="H657" t="str">
            <v>HE</v>
          </cell>
        </row>
        <row r="658">
          <cell r="A658" t="str">
            <v>GC7211S</v>
          </cell>
          <cell r="B658" t="str">
            <v>SFTWR FILE LAN, ENG/SPAN V4.A</v>
          </cell>
          <cell r="C658">
            <v>191.53648800000002</v>
          </cell>
          <cell r="D658">
            <v>22.308000000000003</v>
          </cell>
          <cell r="E658">
            <v>20.28</v>
          </cell>
          <cell r="F658">
            <v>2.0280000000000022</v>
          </cell>
          <cell r="G658" t="str">
            <v xml:space="preserve">    3030REPU</v>
          </cell>
          <cell r="H658" t="str">
            <v>PT</v>
          </cell>
        </row>
        <row r="659">
          <cell r="A659" t="str">
            <v>HBA6720</v>
          </cell>
          <cell r="B659" t="str">
            <v>TRAVASOL AL 8.5%</v>
          </cell>
          <cell r="C659">
            <v>91.606186947599994</v>
          </cell>
          <cell r="D659">
            <v>9.9205313999999998</v>
          </cell>
          <cell r="E659">
            <v>7.6311780000000002</v>
          </cell>
          <cell r="F659">
            <v>2.2893533999999995</v>
          </cell>
          <cell r="G659" t="str">
            <v xml:space="preserve">    3030PTGT</v>
          </cell>
          <cell r="H659" t="str">
            <v>AT</v>
          </cell>
        </row>
        <row r="660">
          <cell r="A660" t="str">
            <v>HBA6721</v>
          </cell>
          <cell r="C660">
            <v>90.031499999999994</v>
          </cell>
          <cell r="D660">
            <v>9.75</v>
          </cell>
          <cell r="E660">
            <v>7.6536609999999996</v>
          </cell>
          <cell r="F660">
            <v>2.0963390000000004</v>
          </cell>
          <cell r="G660" t="str">
            <v xml:space="preserve">    3030PTGT</v>
          </cell>
          <cell r="H660" t="str">
            <v>AT</v>
          </cell>
        </row>
        <row r="661">
          <cell r="A661" t="str">
            <v>J040700</v>
          </cell>
          <cell r="B661" t="str">
            <v>DIAPH UF FLOW MTR/TINA SYSTEM</v>
          </cell>
          <cell r="C661">
            <v>9.8223839999999996</v>
          </cell>
          <cell r="D661">
            <v>1.1440000000000001</v>
          </cell>
          <cell r="E661">
            <v>1.04</v>
          </cell>
          <cell r="F661">
            <v>0.10400000000000009</v>
          </cell>
          <cell r="G661" t="str">
            <v xml:space="preserve">    3030REPU</v>
          </cell>
          <cell r="H661" t="str">
            <v>HE</v>
          </cell>
        </row>
        <row r="662">
          <cell r="A662" t="str">
            <v>J04210S</v>
          </cell>
          <cell r="B662" t="str">
            <v>LATCH ASSY, CRT REAR PNL</v>
          </cell>
          <cell r="C662">
            <v>234.13163400000002</v>
          </cell>
          <cell r="D662">
            <v>27.269000000000002</v>
          </cell>
          <cell r="E662">
            <v>24.79</v>
          </cell>
          <cell r="F662">
            <v>2.4790000000000028</v>
          </cell>
          <cell r="G662" t="str">
            <v xml:space="preserve">    3030REPU</v>
          </cell>
          <cell r="H662" t="str">
            <v>HE</v>
          </cell>
        </row>
        <row r="663">
          <cell r="A663" t="str">
            <v>J04740S</v>
          </cell>
          <cell r="B663" t="str">
            <v>MOTOR FMI PMP W/CBL TINA</v>
          </cell>
          <cell r="C663">
            <v>629.95481999999993</v>
          </cell>
          <cell r="D663">
            <v>73.37</v>
          </cell>
          <cell r="E663">
            <v>66.7</v>
          </cell>
          <cell r="F663">
            <v>6.67</v>
          </cell>
          <cell r="G663" t="str">
            <v xml:space="preserve">    3030REPU</v>
          </cell>
          <cell r="H663" t="str">
            <v>HE</v>
          </cell>
        </row>
        <row r="664">
          <cell r="A664" t="str">
            <v>J049800</v>
          </cell>
          <cell r="B664" t="str">
            <v>FLTR, DISK 50MM TINA SYSTEM</v>
          </cell>
          <cell r="C664">
            <v>22.100364000000003</v>
          </cell>
          <cell r="D664">
            <v>2.5739999999999998</v>
          </cell>
          <cell r="E664">
            <v>2.34</v>
          </cell>
          <cell r="F664">
            <v>0.23399999999999999</v>
          </cell>
          <cell r="G664" t="str">
            <v xml:space="preserve">    3030REPU</v>
          </cell>
          <cell r="H664" t="str">
            <v>HE</v>
          </cell>
        </row>
        <row r="665">
          <cell r="A665" t="str">
            <v>J053000</v>
          </cell>
          <cell r="B665" t="str">
            <v>EXTRACTOR TERM PIN</v>
          </cell>
          <cell r="C665">
            <v>106.157304</v>
          </cell>
          <cell r="D665">
            <v>12.364000000000001</v>
          </cell>
          <cell r="E665">
            <v>11.24</v>
          </cell>
          <cell r="F665">
            <v>1.1240000000000006</v>
          </cell>
          <cell r="G665" t="str">
            <v xml:space="preserve">    3030REPU</v>
          </cell>
          <cell r="H665" t="str">
            <v>HE</v>
          </cell>
        </row>
        <row r="666">
          <cell r="A666" t="str">
            <v>J05417</v>
          </cell>
          <cell r="B666" t="str">
            <v>ENDOBULIN 5 G.</v>
          </cell>
          <cell r="C666">
            <v>1826.0704800000003</v>
          </cell>
          <cell r="D666">
            <v>212.68</v>
          </cell>
          <cell r="E666">
            <v>163.6</v>
          </cell>
          <cell r="F666">
            <v>49.08</v>
          </cell>
          <cell r="G666" t="str">
            <v xml:space="preserve">    3030PTGT</v>
          </cell>
          <cell r="H666" t="str">
            <v>PP</v>
          </cell>
        </row>
        <row r="667">
          <cell r="A667" t="str">
            <v>J0541730992001</v>
          </cell>
          <cell r="C667">
            <v>1929.2098049999997</v>
          </cell>
          <cell r="D667">
            <v>224.6925</v>
          </cell>
          <cell r="E667">
            <v>187.09334280000002</v>
          </cell>
          <cell r="F667">
            <v>37.599157199999979</v>
          </cell>
          <cell r="G667" t="e">
            <v>#N/A</v>
          </cell>
          <cell r="H667">
            <v>0</v>
          </cell>
        </row>
        <row r="668">
          <cell r="A668" t="str">
            <v>J05423</v>
          </cell>
          <cell r="B668" t="str">
            <v>ENDOBULIN 10 G.</v>
          </cell>
          <cell r="C668">
            <v>3459.2650560000002</v>
          </cell>
          <cell r="D668">
            <v>402.89600000000002</v>
          </cell>
          <cell r="E668">
            <v>309.92</v>
          </cell>
          <cell r="F668">
            <v>92.975999999999999</v>
          </cell>
          <cell r="G668" t="str">
            <v xml:space="preserve">    3030PTGT</v>
          </cell>
          <cell r="H668" t="str">
            <v>PP</v>
          </cell>
        </row>
        <row r="669">
          <cell r="A669" t="str">
            <v>J0542330992001</v>
          </cell>
          <cell r="C669">
            <v>3814.8920244000001</v>
          </cell>
          <cell r="D669">
            <v>444.31540000000001</v>
          </cell>
          <cell r="E669">
            <v>369.92894760000007</v>
          </cell>
          <cell r="F669">
            <v>74.386452399999939</v>
          </cell>
          <cell r="G669" t="e">
            <v>#N/A</v>
          </cell>
          <cell r="H669">
            <v>0</v>
          </cell>
        </row>
        <row r="670">
          <cell r="A670" t="str">
            <v>J071700</v>
          </cell>
          <cell r="B670" t="str">
            <v>DIAPH FLOW EQLZR/TINA SYSTEM</v>
          </cell>
          <cell r="C670">
            <v>85.001400000000004</v>
          </cell>
          <cell r="D670">
            <v>9.9</v>
          </cell>
          <cell r="E670">
            <v>9</v>
          </cell>
          <cell r="F670">
            <v>0.9</v>
          </cell>
          <cell r="G670" t="str">
            <v xml:space="preserve">    3030REPU</v>
          </cell>
          <cell r="H670" t="str">
            <v>HE</v>
          </cell>
        </row>
        <row r="671">
          <cell r="A671" t="str">
            <v>J072000</v>
          </cell>
          <cell r="B671" t="str">
            <v>FLTR DISK,50MM,3/8 TO 1/2 BRB</v>
          </cell>
          <cell r="C671">
            <v>21.911472</v>
          </cell>
          <cell r="D671">
            <v>2.552</v>
          </cell>
          <cell r="E671">
            <v>2.3199999999999998</v>
          </cell>
          <cell r="F671">
            <v>0.23200000000000021</v>
          </cell>
          <cell r="G671" t="str">
            <v xml:space="preserve">    3030REPU</v>
          </cell>
          <cell r="H671" t="str">
            <v>HE</v>
          </cell>
        </row>
        <row r="672">
          <cell r="A672" t="str">
            <v>J08420S</v>
          </cell>
          <cell r="B672" t="str">
            <v>DIENER PUMP ASSY/TINA SYSTEM</v>
          </cell>
          <cell r="C672">
            <v>2431.5122700000002</v>
          </cell>
          <cell r="D672">
            <v>283.19499999999999</v>
          </cell>
          <cell r="E672">
            <v>257.45</v>
          </cell>
          <cell r="F672">
            <v>25.745000000000001</v>
          </cell>
          <cell r="G672" t="str">
            <v xml:space="preserve">    3030REPU</v>
          </cell>
          <cell r="H672" t="str">
            <v>HE</v>
          </cell>
        </row>
        <row r="673">
          <cell r="A673" t="str">
            <v>J400100</v>
          </cell>
          <cell r="B673" t="str">
            <v>FILTER, PARTICLE,PALL, 150 MIC</v>
          </cell>
          <cell r="C673">
            <v>44.578512000000003</v>
          </cell>
          <cell r="D673">
            <v>5.1920000000000002</v>
          </cell>
          <cell r="E673">
            <v>4.72</v>
          </cell>
          <cell r="F673">
            <v>0.47200000000000042</v>
          </cell>
          <cell r="G673" t="str">
            <v xml:space="preserve">    3030REPU</v>
          </cell>
          <cell r="H673" t="str">
            <v>HE</v>
          </cell>
        </row>
        <row r="674">
          <cell r="A674" t="str">
            <v>K020000</v>
          </cell>
          <cell r="B674" t="str">
            <v>CAL KIT, BASIC, SYSIK</v>
          </cell>
          <cell r="C674">
            <v>3035.6833320000005</v>
          </cell>
          <cell r="D674">
            <v>353.56200000000007</v>
          </cell>
          <cell r="E674">
            <v>321.42</v>
          </cell>
          <cell r="F674">
            <v>32.142000000000053</v>
          </cell>
          <cell r="G674" t="str">
            <v xml:space="preserve">    3030REPU</v>
          </cell>
          <cell r="H674" t="str">
            <v>HE</v>
          </cell>
        </row>
        <row r="675">
          <cell r="A675" t="str">
            <v>K020100</v>
          </cell>
          <cell r="B675" t="str">
            <v>CAL KIT,SCALE 1K TINA SYST.</v>
          </cell>
          <cell r="C675">
            <v>4082.4283500000001</v>
          </cell>
          <cell r="D675">
            <v>475.47500000000002</v>
          </cell>
          <cell r="E675">
            <v>432.25</v>
          </cell>
          <cell r="F675">
            <v>43.225000000000001</v>
          </cell>
          <cell r="G675" t="str">
            <v xml:space="preserve">    3030REPU</v>
          </cell>
          <cell r="H675" t="str">
            <v>HE</v>
          </cell>
        </row>
        <row r="676">
          <cell r="A676" t="str">
            <v>K03340S</v>
          </cell>
          <cell r="B676" t="str">
            <v>TORQUE DRIVER 14 IN-LB</v>
          </cell>
          <cell r="C676">
            <v>945.02667600000007</v>
          </cell>
          <cell r="D676">
            <v>110.06600000000002</v>
          </cell>
          <cell r="E676">
            <v>100.06</v>
          </cell>
          <cell r="F676">
            <v>10.006000000000014</v>
          </cell>
          <cell r="G676" t="str">
            <v xml:space="preserve">    3030REPU</v>
          </cell>
          <cell r="H676" t="str">
            <v>HE</v>
          </cell>
        </row>
        <row r="677">
          <cell r="A677" t="str">
            <v>K03350S</v>
          </cell>
          <cell r="B677" t="str">
            <v>TORQUE DRIVER 5.5 IN-LB</v>
          </cell>
          <cell r="C677">
            <v>1176.608268</v>
          </cell>
          <cell r="D677">
            <v>137.03800000000001</v>
          </cell>
          <cell r="E677">
            <v>124.58</v>
          </cell>
          <cell r="F677">
            <v>12.458000000000013</v>
          </cell>
          <cell r="G677" t="str">
            <v xml:space="preserve">    3030REPU</v>
          </cell>
          <cell r="H677" t="str">
            <v>HE</v>
          </cell>
        </row>
        <row r="678">
          <cell r="A678" t="str">
            <v>K04860S</v>
          </cell>
          <cell r="B678" t="str">
            <v>KIT DE MEMORIA SYSTEM 1000</v>
          </cell>
          <cell r="C678">
            <v>148.65800400000001</v>
          </cell>
          <cell r="D678">
            <v>17.314</v>
          </cell>
          <cell r="E678">
            <v>15.74</v>
          </cell>
          <cell r="F678">
            <v>1.5739999999999998</v>
          </cell>
          <cell r="G678" t="str">
            <v xml:space="preserve">    3030REPU</v>
          </cell>
          <cell r="H678" t="str">
            <v>HE</v>
          </cell>
        </row>
        <row r="679">
          <cell r="A679" t="str">
            <v>L251301</v>
          </cell>
          <cell r="B679" t="str">
            <v>MANUAL PARTS ID CRT</v>
          </cell>
          <cell r="C679">
            <v>9.4446000000000002E-2</v>
          </cell>
          <cell r="D679">
            <v>1.1000000000000001E-2</v>
          </cell>
          <cell r="E679">
            <v>0.01</v>
          </cell>
          <cell r="F679">
            <v>1.0000000000000009E-3</v>
          </cell>
          <cell r="G679" t="str">
            <v xml:space="preserve">    3030REPU</v>
          </cell>
          <cell r="H679" t="str">
            <v>HE</v>
          </cell>
        </row>
        <row r="680">
          <cell r="A680" t="str">
            <v>L251614</v>
          </cell>
          <cell r="B680" t="str">
            <v>SERVICE MANUAL W/O BINDER</v>
          </cell>
          <cell r="C680">
            <v>190.686474</v>
          </cell>
          <cell r="D680">
            <v>22.209000000000003</v>
          </cell>
          <cell r="E680">
            <v>20.190000000000001</v>
          </cell>
          <cell r="F680">
            <v>2.0190000000000019</v>
          </cell>
          <cell r="G680" t="str">
            <v xml:space="preserve">    3030REPU</v>
          </cell>
          <cell r="H680" t="str">
            <v>HE</v>
          </cell>
        </row>
        <row r="681">
          <cell r="A681" t="str">
            <v>L251635</v>
          </cell>
          <cell r="B681" t="str">
            <v>MANUAL OPS UPDATE SPANISH NCE</v>
          </cell>
          <cell r="C681">
            <v>14.544684000000002</v>
          </cell>
          <cell r="D681">
            <v>1.6940000000000002</v>
          </cell>
          <cell r="E681">
            <v>1.54</v>
          </cell>
          <cell r="F681">
            <v>0.15400000000000014</v>
          </cell>
          <cell r="G681" t="str">
            <v xml:space="preserve">    3030REPU</v>
          </cell>
          <cell r="H681" t="str">
            <v>HE</v>
          </cell>
        </row>
        <row r="682">
          <cell r="A682" t="str">
            <v>L251788</v>
          </cell>
          <cell r="B682" t="str">
            <v>MANUAL MAINTENANCE</v>
          </cell>
          <cell r="C682">
            <v>231.46164558000004</v>
          </cell>
          <cell r="D682">
            <v>26.958030000000004</v>
          </cell>
          <cell r="E682">
            <v>24.507300000000001</v>
          </cell>
          <cell r="F682">
            <v>2.4507300000000036</v>
          </cell>
          <cell r="G682" t="str">
            <v xml:space="preserve">    3030REPU</v>
          </cell>
          <cell r="H682" t="str">
            <v>DP</v>
          </cell>
        </row>
        <row r="683">
          <cell r="A683" t="str">
            <v>M486400</v>
          </cell>
          <cell r="B683" t="str">
            <v>DOOR BLOOD PUMP LEFT</v>
          </cell>
          <cell r="C683">
            <v>68.00112</v>
          </cell>
          <cell r="D683">
            <v>7.92</v>
          </cell>
          <cell r="E683">
            <v>7.2</v>
          </cell>
          <cell r="F683">
            <v>0.72000000000000064</v>
          </cell>
          <cell r="G683" t="str">
            <v xml:space="preserve">    3030REPU</v>
          </cell>
          <cell r="H683" t="str">
            <v>HE</v>
          </cell>
        </row>
        <row r="684">
          <cell r="A684" t="str">
            <v>MRC0001P</v>
          </cell>
          <cell r="C684">
            <v>1.8847322999999998</v>
          </cell>
          <cell r="D684">
            <v>0.1923</v>
          </cell>
          <cell r="E684">
            <v>0.1807</v>
          </cell>
          <cell r="F684">
            <v>1.1599999999999999E-2</v>
          </cell>
          <cell r="G684" t="str">
            <v xml:space="preserve">    3030PTGT</v>
          </cell>
          <cell r="H684" t="str">
            <v>HE</v>
          </cell>
        </row>
        <row r="685">
          <cell r="A685" t="str">
            <v>MRC0012</v>
          </cell>
          <cell r="C685">
            <v>5.5277639999999995</v>
          </cell>
          <cell r="D685">
            <v>0.56399999999999995</v>
          </cell>
          <cell r="E685">
            <v>0.21429999999999999</v>
          </cell>
          <cell r="F685">
            <v>0.34969999999999996</v>
          </cell>
          <cell r="G685" t="str">
            <v xml:space="preserve">    3030PTGT</v>
          </cell>
          <cell r="H685" t="str">
            <v>HE</v>
          </cell>
        </row>
        <row r="686">
          <cell r="A686" t="str">
            <v>MRC2104</v>
          </cell>
          <cell r="B686" t="str">
            <v>Equipo para administraci¢n de</v>
          </cell>
          <cell r="C686">
            <v>7.3007649000000008</v>
          </cell>
          <cell r="D686">
            <v>0.74490000000000001</v>
          </cell>
          <cell r="E686">
            <v>0.57299999999999995</v>
          </cell>
          <cell r="F686">
            <v>0.17190000000000005</v>
          </cell>
          <cell r="G686" t="str">
            <v xml:space="preserve">    3030PTGT</v>
          </cell>
          <cell r="H686" t="str">
            <v>BP</v>
          </cell>
        </row>
        <row r="687">
          <cell r="A687" t="str">
            <v>MRC2106</v>
          </cell>
          <cell r="C687">
            <v>7.2203967000000002</v>
          </cell>
          <cell r="D687">
            <v>0.73670000000000002</v>
          </cell>
          <cell r="E687">
            <v>0.61599999999999999</v>
          </cell>
          <cell r="F687">
            <v>0.12070000000000003</v>
          </cell>
          <cell r="G687" t="str">
            <v xml:space="preserve">    3030PTGT</v>
          </cell>
          <cell r="H687" t="str">
            <v>BP</v>
          </cell>
        </row>
        <row r="688">
          <cell r="A688" t="str">
            <v>MRC2106P</v>
          </cell>
          <cell r="B688" t="str">
            <v>EQP. PARA LA ADM DE SANGRE</v>
          </cell>
          <cell r="C688">
            <v>8.3289878099999992</v>
          </cell>
          <cell r="D688">
            <v>0.84980999999999995</v>
          </cell>
          <cell r="E688">
            <v>0.65369999999999995</v>
          </cell>
          <cell r="F688">
            <v>0.19611000000000001</v>
          </cell>
          <cell r="G688" t="str">
            <v xml:space="preserve">    3030PTGT</v>
          </cell>
          <cell r="H688" t="str">
            <v>BP</v>
          </cell>
        </row>
        <row r="689">
          <cell r="A689" t="str">
            <v>MRD2926</v>
          </cell>
          <cell r="C689">
            <v>8.6219397000000004</v>
          </cell>
          <cell r="D689">
            <v>0.87970000000000004</v>
          </cell>
          <cell r="E689">
            <v>0.87970000000000004</v>
          </cell>
          <cell r="F689">
            <v>0</v>
          </cell>
          <cell r="G689" t="str">
            <v xml:space="preserve">    3030PTGT</v>
          </cell>
          <cell r="H689" t="str">
            <v>DP</v>
          </cell>
        </row>
        <row r="690">
          <cell r="A690" t="str">
            <v>MRD2926M</v>
          </cell>
          <cell r="C690">
            <v>11.048667299999998</v>
          </cell>
          <cell r="D690">
            <v>1.1273</v>
          </cell>
          <cell r="E690">
            <v>1.1273</v>
          </cell>
          <cell r="F690">
            <v>0</v>
          </cell>
          <cell r="G690" t="str">
            <v xml:space="preserve">    3030PTGT</v>
          </cell>
          <cell r="H690" t="str">
            <v>DP</v>
          </cell>
        </row>
        <row r="691">
          <cell r="A691" t="str">
            <v>MRM2606</v>
          </cell>
          <cell r="C691">
            <v>23.4822159</v>
          </cell>
          <cell r="D691">
            <v>2.3959000000000001</v>
          </cell>
          <cell r="E691">
            <v>2.2385000000000002</v>
          </cell>
          <cell r="F691">
            <v>0.15739999999999998</v>
          </cell>
          <cell r="G691" t="str">
            <v xml:space="preserve">    3030PTGT</v>
          </cell>
          <cell r="H691" t="str">
            <v>HE</v>
          </cell>
        </row>
        <row r="692">
          <cell r="A692" t="str">
            <v>MRM2607</v>
          </cell>
          <cell r="C692">
            <v>23.630211000000003</v>
          </cell>
          <cell r="D692">
            <v>2.411</v>
          </cell>
          <cell r="E692">
            <v>2.411</v>
          </cell>
          <cell r="F692">
            <v>0</v>
          </cell>
          <cell r="G692" t="str">
            <v xml:space="preserve">    3030PTGT</v>
          </cell>
          <cell r="H692" t="str">
            <v>HE</v>
          </cell>
        </row>
        <row r="693">
          <cell r="A693" t="str">
            <v>MRORX06AX</v>
          </cell>
          <cell r="B693" t="str">
            <v>SISTEMA PARA TRATAMIENTO DE</v>
          </cell>
          <cell r="C693">
            <v>268102.62900000002</v>
          </cell>
          <cell r="D693">
            <v>29819</v>
          </cell>
          <cell r="E693">
            <v>29819</v>
          </cell>
          <cell r="F693">
            <v>0</v>
          </cell>
          <cell r="G693" t="str">
            <v xml:space="preserve">    3030PTGT</v>
          </cell>
          <cell r="H693" t="str">
            <v>HE</v>
          </cell>
        </row>
        <row r="694">
          <cell r="A694" t="str">
            <v>MX2L9102PB</v>
          </cell>
          <cell r="C694">
            <v>598.7178828000001</v>
          </cell>
          <cell r="D694">
            <v>66.590800000000002</v>
          </cell>
          <cell r="E694">
            <v>21.41</v>
          </cell>
          <cell r="F694">
            <v>45.180800000000005</v>
          </cell>
          <cell r="G694" t="e">
            <v>#N/A</v>
          </cell>
          <cell r="H694">
            <v>0</v>
          </cell>
        </row>
        <row r="695">
          <cell r="A695" t="str">
            <v>MX2L9102PR</v>
          </cell>
          <cell r="C695">
            <v>598.7178828000001</v>
          </cell>
          <cell r="D695">
            <v>66.590800000000002</v>
          </cell>
          <cell r="E695">
            <v>19.391999999999999</v>
          </cell>
          <cell r="F695">
            <v>47.198800000000006</v>
          </cell>
          <cell r="G695" t="e">
            <v>#N/A</v>
          </cell>
          <cell r="H695">
            <v>0</v>
          </cell>
        </row>
        <row r="696">
          <cell r="A696" t="str">
            <v>O013600</v>
          </cell>
          <cell r="B696" t="str">
            <v>O RING 176IDX/TINA SYSTEM</v>
          </cell>
          <cell r="C696">
            <v>1.6055820000000003</v>
          </cell>
          <cell r="D696">
            <v>0.18700000000000003</v>
          </cell>
          <cell r="E696">
            <v>0.17</v>
          </cell>
          <cell r="F696">
            <v>1.7000000000000015E-2</v>
          </cell>
          <cell r="G696" t="str">
            <v xml:space="preserve">    3030REPU</v>
          </cell>
          <cell r="H696" t="str">
            <v>HE</v>
          </cell>
        </row>
        <row r="697">
          <cell r="A697" t="str">
            <v>OPTI1URF</v>
          </cell>
          <cell r="B697" t="str">
            <v>OPTIPRESS I (REACONDICIONADA)</v>
          </cell>
          <cell r="C697">
            <v>6932.7025199999989</v>
          </cell>
          <cell r="D697">
            <v>750.78</v>
          </cell>
          <cell r="E697">
            <v>750.78</v>
          </cell>
          <cell r="F697">
            <v>0</v>
          </cell>
          <cell r="G697" t="str">
            <v xml:space="preserve">    3030PTGT</v>
          </cell>
          <cell r="H697" t="str">
            <v>BP</v>
          </cell>
        </row>
        <row r="698">
          <cell r="A698" t="str">
            <v>PBR7607YZ</v>
          </cell>
          <cell r="B698" t="str">
            <v>BOLSA TRIPLE RECOLECTORA DE</v>
          </cell>
          <cell r="C698">
            <v>23.257407538983049</v>
          </cell>
          <cell r="D698">
            <v>2.7087593220338984</v>
          </cell>
          <cell r="E698">
            <v>2.0836610169491525</v>
          </cell>
          <cell r="F698">
            <v>0.62509830508474584</v>
          </cell>
          <cell r="G698" t="str">
            <v xml:space="preserve">    3030PTGT</v>
          </cell>
          <cell r="H698" t="str">
            <v>BP</v>
          </cell>
        </row>
        <row r="699">
          <cell r="A699" t="str">
            <v>PL &amp; C</v>
          </cell>
          <cell r="B699" t="str">
            <v>PLACA DE BUTANODIOL</v>
          </cell>
          <cell r="C699">
            <v>832.84199999999987</v>
          </cell>
          <cell r="D699">
            <v>97</v>
          </cell>
          <cell r="E699">
            <v>97</v>
          </cell>
          <cell r="F699">
            <v>0</v>
          </cell>
          <cell r="G699" t="str">
            <v xml:space="preserve">    3030PTGT</v>
          </cell>
          <cell r="H699" t="str">
            <v>BP</v>
          </cell>
        </row>
        <row r="700">
          <cell r="A700" t="str">
            <v>PNM8153</v>
          </cell>
          <cell r="B700" t="str">
            <v>BOMBA INFUSION COLLEAGUE TRIPL</v>
          </cell>
          <cell r="C700">
            <v>34798.267132199995</v>
          </cell>
          <cell r="D700">
            <v>3768.4933000000001</v>
          </cell>
          <cell r="E700">
            <v>2898.8409999999999</v>
          </cell>
          <cell r="F700">
            <v>869.6523000000002</v>
          </cell>
          <cell r="G700" t="str">
            <v xml:space="preserve">    3030PTGT</v>
          </cell>
          <cell r="H700" t="str">
            <v>EI</v>
          </cell>
        </row>
        <row r="701">
          <cell r="A701" t="str">
            <v>PS1E101</v>
          </cell>
          <cell r="B701" t="str">
            <v>POWER MODULE INTERFACE</v>
          </cell>
          <cell r="C701">
            <v>239.54905656000003</v>
          </cell>
          <cell r="D701">
            <v>27.899960000000004</v>
          </cell>
          <cell r="E701">
            <v>25.363600000000002</v>
          </cell>
          <cell r="F701">
            <v>2.5363600000000019</v>
          </cell>
          <cell r="G701" t="str">
            <v xml:space="preserve">    3030REPU</v>
          </cell>
          <cell r="H701" t="str">
            <v>BP</v>
          </cell>
        </row>
        <row r="702">
          <cell r="A702" t="str">
            <v>PS1E1038</v>
          </cell>
          <cell r="B702" t="str">
            <v>POWER MODULE INTERFACE</v>
          </cell>
          <cell r="C702">
            <v>212.34577518000003</v>
          </cell>
          <cell r="D702">
            <v>24.731630000000003</v>
          </cell>
          <cell r="E702">
            <v>22.4833</v>
          </cell>
          <cell r="F702">
            <v>2.2483300000000028</v>
          </cell>
          <cell r="G702" t="str">
            <v xml:space="preserve">    3030REPU</v>
          </cell>
          <cell r="H702" t="str">
            <v>BP</v>
          </cell>
        </row>
        <row r="703">
          <cell r="A703" t="str">
            <v>PS1E21102B</v>
          </cell>
          <cell r="B703" t="str">
            <v>INTERFACE 3/2 WAY</v>
          </cell>
          <cell r="C703">
            <v>1043.45640828</v>
          </cell>
          <cell r="D703">
            <v>121.52998000000002</v>
          </cell>
          <cell r="E703">
            <v>110.48180000000001</v>
          </cell>
          <cell r="F703">
            <v>11.048180000000016</v>
          </cell>
          <cell r="G703" t="str">
            <v xml:space="preserve">    3030REPU</v>
          </cell>
          <cell r="H703" t="str">
            <v>BP</v>
          </cell>
        </row>
        <row r="704">
          <cell r="A704" t="str">
            <v>PS1E28102B</v>
          </cell>
          <cell r="B704" t="str">
            <v>INTERFACE 4/2 WAY</v>
          </cell>
          <cell r="C704">
            <v>1183.1269309199999</v>
          </cell>
          <cell r="D704">
            <v>137.79722000000001</v>
          </cell>
          <cell r="E704">
            <v>125.2702</v>
          </cell>
          <cell r="F704">
            <v>12.527020000000007</v>
          </cell>
          <cell r="G704" t="str">
            <v xml:space="preserve">    3030REPU</v>
          </cell>
          <cell r="H704" t="str">
            <v>BP</v>
          </cell>
        </row>
        <row r="705">
          <cell r="A705" t="str">
            <v>PWRE1145</v>
          </cell>
          <cell r="B705" t="str">
            <v>FLOW CTRL VALVE M5</v>
          </cell>
          <cell r="C705">
            <v>159.66474084000001</v>
          </cell>
          <cell r="D705">
            <v>18.595940000000002</v>
          </cell>
          <cell r="E705">
            <v>16.9054</v>
          </cell>
          <cell r="F705">
            <v>1.6905400000000022</v>
          </cell>
          <cell r="G705" t="str">
            <v xml:space="preserve">    3030REPU</v>
          </cell>
          <cell r="H705" t="str">
            <v>BP</v>
          </cell>
        </row>
        <row r="706">
          <cell r="A706" t="str">
            <v>PWRE1448</v>
          </cell>
          <cell r="B706" t="str">
            <v>FLOW CTRL VALVE 1/8</v>
          </cell>
          <cell r="C706">
            <v>165.34944558000001</v>
          </cell>
          <cell r="D706">
            <v>19.258030000000002</v>
          </cell>
          <cell r="E706">
            <v>17.507300000000001</v>
          </cell>
          <cell r="F706">
            <v>1.7507300000000008</v>
          </cell>
          <cell r="G706" t="str">
            <v xml:space="preserve">    3030REPU</v>
          </cell>
          <cell r="H706" t="str">
            <v>BP</v>
          </cell>
        </row>
        <row r="707">
          <cell r="A707" t="str">
            <v>R5C4150</v>
          </cell>
          <cell r="B707" t="str">
            <v>SET DE BANDEJA DE RECAMBIO PER</v>
          </cell>
          <cell r="C707">
            <v>38.653524000000004</v>
          </cell>
          <cell r="D707">
            <v>4.1860000000000008</v>
          </cell>
          <cell r="E707">
            <v>3.22</v>
          </cell>
          <cell r="F707">
            <v>0.96600000000000064</v>
          </cell>
          <cell r="G707" t="str">
            <v xml:space="preserve">    3030PTGT</v>
          </cell>
          <cell r="H707" t="str">
            <v>PD</v>
          </cell>
        </row>
        <row r="708">
          <cell r="A708" t="str">
            <v>RDR7438C</v>
          </cell>
          <cell r="B708" t="str">
            <v>Mezclador para bolsas de san-</v>
          </cell>
          <cell r="C708">
            <v>13038.601914000001</v>
          </cell>
          <cell r="D708">
            <v>1412.0210000000002</v>
          </cell>
          <cell r="E708">
            <v>1086.17</v>
          </cell>
          <cell r="F708">
            <v>325.85100000000011</v>
          </cell>
          <cell r="G708" t="str">
            <v xml:space="preserve">    3030PTGT</v>
          </cell>
          <cell r="H708" t="str">
            <v>BP</v>
          </cell>
        </row>
        <row r="709">
          <cell r="A709" t="str">
            <v>ROSLM20802213</v>
          </cell>
          <cell r="B709" t="str">
            <v>SYSTEM RO M SUB 8000 LP VERT-F</v>
          </cell>
          <cell r="C709">
            <v>133340.23655999999</v>
          </cell>
          <cell r="D709">
            <v>15529.96</v>
          </cell>
          <cell r="E709">
            <v>15529.96</v>
          </cell>
          <cell r="F709">
            <v>0</v>
          </cell>
          <cell r="G709" t="str">
            <v xml:space="preserve">    3030REPU</v>
          </cell>
          <cell r="H709" t="str">
            <v>HE</v>
          </cell>
        </row>
        <row r="710">
          <cell r="A710" t="str">
            <v>ROSTW2540</v>
          </cell>
          <cell r="B710" t="str">
            <v>MEMBRANE RO FILMTEC</v>
          </cell>
          <cell r="C710">
            <v>1854.576</v>
          </cell>
          <cell r="D710">
            <v>216</v>
          </cell>
          <cell r="E710">
            <v>216</v>
          </cell>
          <cell r="F710">
            <v>0</v>
          </cell>
          <cell r="G710" t="str">
            <v xml:space="preserve">    3030REPU</v>
          </cell>
          <cell r="H710" t="str">
            <v>HE</v>
          </cell>
        </row>
        <row r="711">
          <cell r="A711" t="str">
            <v>S1000L3P</v>
          </cell>
          <cell r="B711" t="str">
            <v>S1000 TINA HD MACHINE 1 PUMP</v>
          </cell>
          <cell r="C711">
            <v>99561.374120519991</v>
          </cell>
          <cell r="D711">
            <v>11595.78082</v>
          </cell>
          <cell r="E711">
            <v>8919.8313999999991</v>
          </cell>
          <cell r="F711">
            <v>2675.9494200000008</v>
          </cell>
          <cell r="G711" t="str">
            <v xml:space="preserve">    3030PTGT</v>
          </cell>
          <cell r="H711" t="str">
            <v>HE</v>
          </cell>
        </row>
        <row r="712">
          <cell r="A712" t="str">
            <v>S1000L3PR</v>
          </cell>
          <cell r="B712" t="str">
            <v>MAQUINA TINA</v>
          </cell>
          <cell r="C712">
            <v>88283.922246000002</v>
          </cell>
          <cell r="D712">
            <v>10282.311000000002</v>
          </cell>
          <cell r="E712">
            <v>7909.47</v>
          </cell>
          <cell r="F712">
            <v>2372.8410000000013</v>
          </cell>
          <cell r="G712" t="str">
            <v xml:space="preserve">    3030PTGT</v>
          </cell>
          <cell r="H712" t="str">
            <v>HE</v>
          </cell>
        </row>
        <row r="713">
          <cell r="A713" t="str">
            <v>S1300</v>
          </cell>
          <cell r="B713" t="str">
            <v>SILICA INHIBITOR (HIPERSENSE G</v>
          </cell>
          <cell r="C713">
            <v>2704.59</v>
          </cell>
          <cell r="D713">
            <v>315</v>
          </cell>
          <cell r="E713">
            <v>315</v>
          </cell>
          <cell r="F713">
            <v>0</v>
          </cell>
          <cell r="G713" t="str">
            <v xml:space="preserve">    3030PTGT</v>
          </cell>
          <cell r="H713" t="str">
            <v>HE</v>
          </cell>
        </row>
        <row r="714">
          <cell r="A714" t="str">
            <v>SP102</v>
          </cell>
          <cell r="B714" t="str">
            <v>MAQUINA DE ANESTECIA PRIMA SP1</v>
          </cell>
          <cell r="C714">
            <v>37601.270819999991</v>
          </cell>
          <cell r="D714">
            <v>4379.37</v>
          </cell>
          <cell r="E714">
            <v>4379.37</v>
          </cell>
          <cell r="F714">
            <v>0</v>
          </cell>
          <cell r="G714" t="str">
            <v xml:space="preserve">    3030PTGT</v>
          </cell>
          <cell r="H714" t="str">
            <v>AN</v>
          </cell>
        </row>
        <row r="715">
          <cell r="A715" t="str">
            <v>SU130-1305</v>
          </cell>
          <cell r="B715" t="str">
            <v>HEYER-SCHULTE 100 CC</v>
          </cell>
          <cell r="C715">
            <v>20.826566747999998</v>
          </cell>
          <cell r="D715">
            <v>2.2554219999999998</v>
          </cell>
          <cell r="E715">
            <v>1.7349399999999999</v>
          </cell>
          <cell r="F715">
            <v>0.52048199999999989</v>
          </cell>
          <cell r="G715" t="str">
            <v xml:space="preserve">    3030PTGT</v>
          </cell>
          <cell r="H715" t="str">
            <v>EI</v>
          </cell>
        </row>
        <row r="716">
          <cell r="A716" t="str">
            <v>SU130-1309</v>
          </cell>
          <cell r="B716" t="str">
            <v>FLAT DRAIN 10 X 4 MM PERF 3/4</v>
          </cell>
          <cell r="C716">
            <v>32.440150079999995</v>
          </cell>
          <cell r="D716">
            <v>3.5131199999999998</v>
          </cell>
          <cell r="E716">
            <v>2.7023999999999999</v>
          </cell>
          <cell r="F716">
            <v>0.81071999999999989</v>
          </cell>
          <cell r="G716" t="str">
            <v xml:space="preserve">    3030PTGT</v>
          </cell>
          <cell r="H716" t="str">
            <v>SP</v>
          </cell>
        </row>
        <row r="717">
          <cell r="A717" t="str">
            <v>SU130-1310</v>
          </cell>
          <cell r="B717" t="str">
            <v>FLAT DRAIN 7 X 4 MM PERF FULL</v>
          </cell>
          <cell r="C717">
            <v>29.271041280000002</v>
          </cell>
          <cell r="D717">
            <v>3.1699200000000003</v>
          </cell>
          <cell r="E717">
            <v>2.4384000000000001</v>
          </cell>
          <cell r="F717">
            <v>0.73152000000000017</v>
          </cell>
          <cell r="G717" t="str">
            <v xml:space="preserve">    3030PTGT</v>
          </cell>
          <cell r="H717" t="str">
            <v>EI</v>
          </cell>
        </row>
        <row r="718">
          <cell r="A718" t="str">
            <v>SU130-1311</v>
          </cell>
          <cell r="B718" t="str">
            <v>FLAT DRAIN 10 X 4 MM PERF FULL</v>
          </cell>
          <cell r="C718">
            <v>32.613010559999999</v>
          </cell>
          <cell r="D718">
            <v>3.5318400000000003</v>
          </cell>
          <cell r="E718">
            <v>2.7168000000000001</v>
          </cell>
          <cell r="F718">
            <v>0.81504000000000021</v>
          </cell>
          <cell r="G718" t="str">
            <v xml:space="preserve">    3030PTGT</v>
          </cell>
          <cell r="H718" t="str">
            <v>EI</v>
          </cell>
        </row>
        <row r="719">
          <cell r="A719" t="str">
            <v>SU130-1334</v>
          </cell>
          <cell r="B719" t="str">
            <v>T-TUBE ROUND SUCTION DRAIN</v>
          </cell>
          <cell r="C719">
            <v>46.94602536</v>
          </cell>
          <cell r="D719">
            <v>5.0840399999999999</v>
          </cell>
          <cell r="E719">
            <v>3.9107999999999996</v>
          </cell>
          <cell r="F719">
            <v>1.1732400000000003</v>
          </cell>
          <cell r="G719" t="str">
            <v xml:space="preserve">    3030PTGT</v>
          </cell>
          <cell r="H719" t="str">
            <v>EI</v>
          </cell>
        </row>
        <row r="720">
          <cell r="A720" t="str">
            <v>SU130-1348</v>
          </cell>
          <cell r="B720" t="str">
            <v>100 CC KIT W/7MM 3/4 PER DRAIM</v>
          </cell>
          <cell r="C720">
            <v>59.6368656</v>
          </cell>
          <cell r="D720">
            <v>6.4584000000000001</v>
          </cell>
          <cell r="E720">
            <v>4.968</v>
          </cell>
          <cell r="F720">
            <v>1.4904000000000002</v>
          </cell>
          <cell r="G720" t="str">
            <v xml:space="preserve">    3030PTGT</v>
          </cell>
          <cell r="H720" t="str">
            <v>SP</v>
          </cell>
        </row>
        <row r="721">
          <cell r="A721" t="str">
            <v>SU130-1349</v>
          </cell>
          <cell r="B721" t="str">
            <v>100 CC KIT W/10MM 3/4 PER DRAI</v>
          </cell>
          <cell r="C721">
            <v>58.830183360000007</v>
          </cell>
          <cell r="D721">
            <v>6.3710400000000007</v>
          </cell>
          <cell r="E721">
            <v>4.9008000000000003</v>
          </cell>
          <cell r="F721">
            <v>1.4702400000000004</v>
          </cell>
          <cell r="G721" t="str">
            <v xml:space="preserve">    3030PTGT</v>
          </cell>
          <cell r="H721" t="str">
            <v>SP</v>
          </cell>
        </row>
        <row r="722">
          <cell r="A722" t="str">
            <v>T-14441</v>
          </cell>
          <cell r="B722" t="str">
            <v>DESFLURANO LIQUIDO VOLATIL, FR</v>
          </cell>
          <cell r="C722">
            <v>232.50029399999997</v>
          </cell>
          <cell r="D722">
            <v>27.078999999999997</v>
          </cell>
          <cell r="E722">
            <v>20.83</v>
          </cell>
          <cell r="F722">
            <v>6.2489999999999988</v>
          </cell>
          <cell r="G722" t="str">
            <v xml:space="preserve">    3030PTGT</v>
          </cell>
          <cell r="H722" t="str">
            <v>AN</v>
          </cell>
        </row>
        <row r="723">
          <cell r="A723" t="str">
            <v>T-4I</v>
          </cell>
          <cell r="B723" t="str">
            <v>SILLON PARA DONACION DE SANGRE</v>
          </cell>
          <cell r="C723">
            <v>4894.0200000000004</v>
          </cell>
          <cell r="D723">
            <v>570</v>
          </cell>
          <cell r="E723">
            <v>570</v>
          </cell>
          <cell r="F723">
            <v>0</v>
          </cell>
          <cell r="G723" t="str">
            <v xml:space="preserve">    3030PTGT</v>
          </cell>
          <cell r="H723" t="str">
            <v>BP</v>
          </cell>
        </row>
        <row r="724">
          <cell r="A724" t="str">
            <v>T571251346</v>
          </cell>
          <cell r="B724" t="str">
            <v>Assy Optical Detector CS3000</v>
          </cell>
          <cell r="C724">
            <v>2302.9712640000007</v>
          </cell>
          <cell r="D724">
            <v>268.22400000000005</v>
          </cell>
          <cell r="E724">
            <v>243.84</v>
          </cell>
          <cell r="F724">
            <v>24.384000000000043</v>
          </cell>
          <cell r="G724" t="str">
            <v xml:space="preserve">    3030REPU</v>
          </cell>
          <cell r="H724" t="str">
            <v>DP</v>
          </cell>
        </row>
        <row r="725">
          <cell r="A725" t="str">
            <v>T57251346</v>
          </cell>
          <cell r="B725" t="str">
            <v>optical detector assy</v>
          </cell>
          <cell r="C725">
            <v>1555.6681593405251</v>
          </cell>
          <cell r="D725">
            <v>181.18660136740334</v>
          </cell>
          <cell r="E725">
            <v>164.71509215218484</v>
          </cell>
          <cell r="F725">
            <v>16.471509215218504</v>
          </cell>
          <cell r="G725" t="str">
            <v xml:space="preserve">    3030REPU</v>
          </cell>
          <cell r="H725" t="str">
            <v>HE</v>
          </cell>
        </row>
        <row r="726">
          <cell r="A726" t="str">
            <v>TEC6</v>
          </cell>
          <cell r="B726" t="str">
            <v>VAPORIZADOR DESF 120V D-0</v>
          </cell>
          <cell r="C726">
            <v>34000.559999999998</v>
          </cell>
          <cell r="D726">
            <v>3960</v>
          </cell>
          <cell r="E726">
            <v>3960</v>
          </cell>
          <cell r="F726">
            <v>0</v>
          </cell>
          <cell r="G726" t="str">
            <v xml:space="preserve">    3030PTGT</v>
          </cell>
          <cell r="H726" t="str">
            <v>AN</v>
          </cell>
        </row>
        <row r="727">
          <cell r="A727" t="str">
            <v>V01540S</v>
          </cell>
          <cell r="B727" t="str">
            <v>CBL  ASSY, NO DESCRIP*</v>
          </cell>
          <cell r="C727">
            <v>519.83078399999999</v>
          </cell>
          <cell r="D727">
            <v>60.544000000000004</v>
          </cell>
          <cell r="E727">
            <v>55.04</v>
          </cell>
          <cell r="F727">
            <v>5.5040000000000049</v>
          </cell>
          <cell r="G727" t="str">
            <v xml:space="preserve">    3030REPU</v>
          </cell>
          <cell r="H727" t="str">
            <v>HE</v>
          </cell>
        </row>
        <row r="728">
          <cell r="A728" t="str">
            <v>V01550S</v>
          </cell>
          <cell r="B728" t="str">
            <v>CBL ASSY BLD PUMP/TINA SYSTEM</v>
          </cell>
          <cell r="C728">
            <v>341.13895199999996</v>
          </cell>
          <cell r="D728">
            <v>39.731999999999999</v>
          </cell>
          <cell r="E728">
            <v>36.119999999999997</v>
          </cell>
          <cell r="F728">
            <v>3.6120000000000019</v>
          </cell>
          <cell r="G728" t="str">
            <v xml:space="preserve">    3030REPU</v>
          </cell>
          <cell r="H728" t="str">
            <v>HE</v>
          </cell>
        </row>
        <row r="729">
          <cell r="A729" t="str">
            <v>V02070S</v>
          </cell>
          <cell r="B729" t="str">
            <v>CBL ASSY PRESS/TINA SYSTEM</v>
          </cell>
          <cell r="C729">
            <v>707.96721600000001</v>
          </cell>
          <cell r="D729">
            <v>82.456000000000003</v>
          </cell>
          <cell r="E729">
            <v>74.959999999999994</v>
          </cell>
          <cell r="F729">
            <v>7.4960000000000093</v>
          </cell>
          <cell r="G729" t="str">
            <v xml:space="preserve">    3030REPU</v>
          </cell>
          <cell r="H729" t="str">
            <v>HE</v>
          </cell>
        </row>
        <row r="730">
          <cell r="A730" t="str">
            <v>V15PS ENEZ</v>
          </cell>
          <cell r="B730" t="str">
            <v>DELTA ISO% PFIL (PENLON PRODUC</v>
          </cell>
          <cell r="C730">
            <v>9234</v>
          </cell>
          <cell r="D730">
            <v>1000</v>
          </cell>
          <cell r="E730">
            <v>1000</v>
          </cell>
          <cell r="F730">
            <v>0</v>
          </cell>
          <cell r="G730" t="str">
            <v xml:space="preserve">    3030PTGT</v>
          </cell>
          <cell r="H730" t="str">
            <v>AN</v>
          </cell>
        </row>
        <row r="731">
          <cell r="A731" t="str">
            <v>VBB0062</v>
          </cell>
          <cell r="B731" t="str">
            <v>DEXT. 5% X 250ML</v>
          </cell>
          <cell r="C731">
            <v>2.0545649999999998</v>
          </cell>
          <cell r="D731">
            <v>0.2225</v>
          </cell>
          <cell r="E731">
            <v>0.20227999999999999</v>
          </cell>
          <cell r="F731">
            <v>2.0220000000000016E-2</v>
          </cell>
          <cell r="G731" t="str">
            <v xml:space="preserve">    3030PTGT</v>
          </cell>
          <cell r="H731" t="str">
            <v>IV</v>
          </cell>
        </row>
        <row r="732">
          <cell r="A732" t="str">
            <v>VBB0062A</v>
          </cell>
          <cell r="C732">
            <v>2.0545649999999998</v>
          </cell>
          <cell r="D732">
            <v>0.2225</v>
          </cell>
          <cell r="E732">
            <v>0.20227966101694916</v>
          </cell>
          <cell r="F732">
            <v>2.022033898305084E-2</v>
          </cell>
          <cell r="G732" t="str">
            <v xml:space="preserve">    3030PTGT</v>
          </cell>
          <cell r="H732" t="str">
            <v>IV</v>
          </cell>
        </row>
        <row r="733">
          <cell r="A733" t="str">
            <v>VBB0063A</v>
          </cell>
          <cell r="C733">
            <v>2.3620572000000002</v>
          </cell>
          <cell r="D733">
            <v>0.25580000000000003</v>
          </cell>
          <cell r="E733">
            <v>0.23255932203389829</v>
          </cell>
          <cell r="F733">
            <v>2.3240677966101742E-2</v>
          </cell>
          <cell r="G733" t="str">
            <v xml:space="preserve">    3030PTGT</v>
          </cell>
          <cell r="H733" t="str">
            <v>IV</v>
          </cell>
        </row>
        <row r="734">
          <cell r="A734" t="str">
            <v>VBB0063E</v>
          </cell>
          <cell r="B734" t="str">
            <v>DEXTROSA ISOTONICA 5% 500 ML,</v>
          </cell>
          <cell r="C734">
            <v>2.3620572000000002</v>
          </cell>
          <cell r="D734">
            <v>0.25580000000000003</v>
          </cell>
          <cell r="E734">
            <v>0.23255899999999999</v>
          </cell>
          <cell r="F734">
            <v>2.3241000000000039E-2</v>
          </cell>
          <cell r="G734" t="str">
            <v xml:space="preserve">    3030PTGT</v>
          </cell>
          <cell r="H734" t="str">
            <v>IV</v>
          </cell>
        </row>
        <row r="735">
          <cell r="A735" t="str">
            <v>VBB0064</v>
          </cell>
          <cell r="C735">
            <v>3.2485211999999999</v>
          </cell>
          <cell r="D735">
            <v>0.3518</v>
          </cell>
          <cell r="E735">
            <v>0.31978813559322034</v>
          </cell>
          <cell r="F735">
            <v>3.2011864406779666E-2</v>
          </cell>
          <cell r="G735" t="str">
            <v xml:space="preserve">    3030PTGT</v>
          </cell>
          <cell r="H735" t="str">
            <v>IV</v>
          </cell>
        </row>
        <row r="736">
          <cell r="A736" t="str">
            <v>VBB0086E</v>
          </cell>
          <cell r="C736">
            <v>2.7609659999999998</v>
          </cell>
          <cell r="D736">
            <v>0.29899999999999999</v>
          </cell>
          <cell r="E736">
            <v>0.19478813559322031</v>
          </cell>
          <cell r="F736">
            <v>0.10421186440677968</v>
          </cell>
          <cell r="G736" t="str">
            <v xml:space="preserve">    3030PTGT</v>
          </cell>
          <cell r="H736" t="str">
            <v>IV</v>
          </cell>
        </row>
        <row r="737">
          <cell r="A737" t="str">
            <v>VBB0087E</v>
          </cell>
          <cell r="C737">
            <v>3.1875767999999995</v>
          </cell>
          <cell r="D737">
            <v>0.34520000000000001</v>
          </cell>
          <cell r="E737">
            <v>0.20172881355932204</v>
          </cell>
          <cell r="F737">
            <v>0.14347118644067797</v>
          </cell>
          <cell r="G737" t="str">
            <v xml:space="preserve">    3030PTGT</v>
          </cell>
          <cell r="H737" t="str">
            <v>IV</v>
          </cell>
        </row>
        <row r="738">
          <cell r="A738" t="str">
            <v>VBB0163</v>
          </cell>
          <cell r="B738" t="str">
            <v>DEXT. 10% X 500ml.</v>
          </cell>
          <cell r="C738">
            <v>2.5559711999999997</v>
          </cell>
          <cell r="D738">
            <v>0.27679999999999999</v>
          </cell>
          <cell r="E738">
            <v>0.25161</v>
          </cell>
          <cell r="F738">
            <v>2.518999999999999E-2</v>
          </cell>
          <cell r="G738" t="str">
            <v xml:space="preserve">    3030PTGT</v>
          </cell>
          <cell r="H738" t="str">
            <v>IV</v>
          </cell>
        </row>
        <row r="739">
          <cell r="A739" t="str">
            <v>VBB0163A</v>
          </cell>
          <cell r="C739">
            <v>2.5559711999999997</v>
          </cell>
          <cell r="D739">
            <v>0.27679999999999999</v>
          </cell>
          <cell r="E739">
            <v>0.25161016949152543</v>
          </cell>
          <cell r="F739">
            <v>2.5189830508474564E-2</v>
          </cell>
          <cell r="G739" t="str">
            <v xml:space="preserve">    3030PTGT</v>
          </cell>
          <cell r="H739" t="str">
            <v>IV</v>
          </cell>
        </row>
        <row r="740">
          <cell r="A740" t="str">
            <v>VBB0164</v>
          </cell>
          <cell r="C740">
            <v>3.6197279999999998</v>
          </cell>
          <cell r="D740">
            <v>0.39200000000000002</v>
          </cell>
          <cell r="E740">
            <v>0.35634745762711861</v>
          </cell>
          <cell r="F740">
            <v>3.5652542372881402E-2</v>
          </cell>
          <cell r="G740" t="str">
            <v xml:space="preserve">    3030PTGT</v>
          </cell>
          <cell r="H740" t="str">
            <v>IV</v>
          </cell>
        </row>
        <row r="741">
          <cell r="A741" t="str">
            <v>VBB1063</v>
          </cell>
          <cell r="B741" t="str">
            <v>DEXT. 5% en SS 0,9% x 500mL</v>
          </cell>
          <cell r="C741">
            <v>2.8084786235999997</v>
          </cell>
          <cell r="D741">
            <v>0.30414540000000001</v>
          </cell>
          <cell r="E741">
            <v>0.233958</v>
          </cell>
          <cell r="F741">
            <v>7.0187400000000011E-2</v>
          </cell>
          <cell r="G741" t="str">
            <v xml:space="preserve">    3030PTGT</v>
          </cell>
          <cell r="H741" t="str">
            <v>IV</v>
          </cell>
        </row>
        <row r="742">
          <cell r="A742" t="str">
            <v>VBB1063A</v>
          </cell>
          <cell r="B742" t="str">
            <v>DEXTROSA Y CLORURO DE SODIO SO</v>
          </cell>
          <cell r="C742">
            <v>2.8084741474576265</v>
          </cell>
          <cell r="D742">
            <v>0.30414491525423726</v>
          </cell>
          <cell r="E742">
            <v>0.23395762711864404</v>
          </cell>
          <cell r="F742">
            <v>7.0187288135593218E-2</v>
          </cell>
          <cell r="G742" t="str">
            <v xml:space="preserve">    3030PTGT</v>
          </cell>
          <cell r="H742" t="str">
            <v>IV</v>
          </cell>
        </row>
        <row r="743">
          <cell r="A743" t="str">
            <v>VBB1064</v>
          </cell>
          <cell r="C743">
            <v>3.2752998</v>
          </cell>
          <cell r="D743">
            <v>0.35470000000000002</v>
          </cell>
          <cell r="E743">
            <v>0.32247457627118642</v>
          </cell>
          <cell r="F743">
            <v>3.2225423728813596E-2</v>
          </cell>
          <cell r="G743" t="str">
            <v xml:space="preserve">    3030PTGT</v>
          </cell>
          <cell r="H743" t="str">
            <v>IV</v>
          </cell>
        </row>
        <row r="744">
          <cell r="A744" t="str">
            <v>VBB1306</v>
          </cell>
          <cell r="B744" t="str">
            <v>SOL SALINA 0.9% x 50mL</v>
          </cell>
          <cell r="C744">
            <v>1.9585314</v>
          </cell>
          <cell r="D744">
            <v>0.21210000000000001</v>
          </cell>
          <cell r="E744">
            <v>0.19278000000000001</v>
          </cell>
          <cell r="F744">
            <v>1.9320000000000004E-2</v>
          </cell>
          <cell r="G744" t="str">
            <v xml:space="preserve">    3030PTGT</v>
          </cell>
          <cell r="H744" t="str">
            <v>IV</v>
          </cell>
        </row>
        <row r="745">
          <cell r="A745" t="str">
            <v>VBB1306E</v>
          </cell>
          <cell r="C745">
            <v>1.9585314</v>
          </cell>
          <cell r="D745">
            <v>0.21210000000000001</v>
          </cell>
          <cell r="E745">
            <v>0.19277966101694913</v>
          </cell>
          <cell r="F745">
            <v>1.9320338983050883E-2</v>
          </cell>
          <cell r="G745" t="e">
            <v>#N/A</v>
          </cell>
          <cell r="H745" t="str">
            <v>IV</v>
          </cell>
        </row>
        <row r="746">
          <cell r="A746" t="str">
            <v>VBB1307</v>
          </cell>
          <cell r="B746" t="str">
            <v>SOL SALINA 0.9% X 100ML</v>
          </cell>
          <cell r="C746">
            <v>3.0010499999999998</v>
          </cell>
          <cell r="D746">
            <v>0.32500000000000001</v>
          </cell>
          <cell r="E746">
            <v>0.198153</v>
          </cell>
          <cell r="F746">
            <v>0.12684700000000002</v>
          </cell>
          <cell r="G746" t="str">
            <v xml:space="preserve">    3030PTGT</v>
          </cell>
          <cell r="H746" t="str">
            <v>IV</v>
          </cell>
        </row>
        <row r="747">
          <cell r="A747" t="str">
            <v>VBB1307E</v>
          </cell>
          <cell r="C747">
            <v>3.0010499999999998</v>
          </cell>
          <cell r="D747">
            <v>0.32500000000000001</v>
          </cell>
          <cell r="E747">
            <v>0.19815254237288138</v>
          </cell>
          <cell r="F747">
            <v>0.12684745762711863</v>
          </cell>
          <cell r="G747" t="e">
            <v>#N/A</v>
          </cell>
          <cell r="H747" t="str">
            <v>IV</v>
          </cell>
        </row>
        <row r="748">
          <cell r="A748" t="str">
            <v>VBB1322</v>
          </cell>
          <cell r="B748" t="str">
            <v>SOL SALINA 0.9% X250ML</v>
          </cell>
          <cell r="C748">
            <v>1.9649951999999999</v>
          </cell>
          <cell r="D748">
            <v>0.21279999999999999</v>
          </cell>
          <cell r="E748">
            <v>0.19348299999999999</v>
          </cell>
          <cell r="F748">
            <v>1.9317000000000001E-2</v>
          </cell>
          <cell r="G748" t="str">
            <v xml:space="preserve">    3030PTGT</v>
          </cell>
          <cell r="H748" t="str">
            <v>IV</v>
          </cell>
        </row>
        <row r="749">
          <cell r="A749" t="str">
            <v>VBB1322A</v>
          </cell>
          <cell r="C749">
            <v>1.9649951999999999</v>
          </cell>
          <cell r="D749">
            <v>0.21279999999999999</v>
          </cell>
          <cell r="E749">
            <v>0.19348305084745762</v>
          </cell>
          <cell r="F749">
            <v>1.9316949152542368E-2</v>
          </cell>
          <cell r="G749" t="str">
            <v xml:space="preserve">    3030PTGT</v>
          </cell>
          <cell r="H749" t="str">
            <v>IV</v>
          </cell>
        </row>
        <row r="750">
          <cell r="A750" t="str">
            <v>VBB1323</v>
          </cell>
          <cell r="B750" t="str">
            <v>SOL SALINA 0.9% x 500mL</v>
          </cell>
          <cell r="C750">
            <v>2.1829175999999997</v>
          </cell>
          <cell r="D750">
            <v>0.2364</v>
          </cell>
          <cell r="E750">
            <v>0.21494099999999999</v>
          </cell>
          <cell r="F750">
            <v>2.1459000000000006E-2</v>
          </cell>
          <cell r="G750" t="str">
            <v xml:space="preserve">    3030PTGT</v>
          </cell>
          <cell r="H750" t="str">
            <v>IV</v>
          </cell>
        </row>
        <row r="751">
          <cell r="A751" t="str">
            <v>VBB1323A</v>
          </cell>
          <cell r="C751">
            <v>2.1829175999999997</v>
          </cell>
          <cell r="D751">
            <v>0.2364</v>
          </cell>
          <cell r="E751">
            <v>0.21494067796610167</v>
          </cell>
          <cell r="F751">
            <v>2.1459322033898331E-2</v>
          </cell>
          <cell r="G751" t="str">
            <v xml:space="preserve">    3030PTGT</v>
          </cell>
          <cell r="H751" t="str">
            <v>IV</v>
          </cell>
        </row>
        <row r="752">
          <cell r="A752" t="str">
            <v>VBB1324</v>
          </cell>
          <cell r="C752">
            <v>2.9050164000000001</v>
          </cell>
          <cell r="D752">
            <v>0.31459999999999999</v>
          </cell>
          <cell r="E752">
            <v>0.28598305084745762</v>
          </cell>
          <cell r="F752">
            <v>2.861694915254237E-2</v>
          </cell>
          <cell r="G752" t="str">
            <v xml:space="preserve">    3030PTGT</v>
          </cell>
          <cell r="H752" t="str">
            <v>IV</v>
          </cell>
        </row>
        <row r="753">
          <cell r="A753" t="str">
            <v>VBB1324H</v>
          </cell>
          <cell r="B753" t="str">
            <v>CLORURO DE SODIO 0.9% 1000 ML.</v>
          </cell>
          <cell r="C753">
            <v>2.9050164000000001</v>
          </cell>
          <cell r="D753">
            <v>0.31459999999999999</v>
          </cell>
          <cell r="E753">
            <v>0.28598305084745762</v>
          </cell>
          <cell r="F753">
            <v>2.861694915254237E-2</v>
          </cell>
          <cell r="G753" t="str">
            <v xml:space="preserve">    3030PTGT</v>
          </cell>
          <cell r="H753" t="str">
            <v>HE</v>
          </cell>
        </row>
        <row r="754">
          <cell r="A754" t="str">
            <v>VBB2322</v>
          </cell>
          <cell r="B754" t="str">
            <v>HARTMAN 250 ML</v>
          </cell>
          <cell r="C754">
            <v>2.0167055999999999</v>
          </cell>
          <cell r="D754">
            <v>0.21840000000000001</v>
          </cell>
          <cell r="E754">
            <v>0.19856799999999999</v>
          </cell>
          <cell r="F754">
            <v>1.9832000000000016E-2</v>
          </cell>
          <cell r="G754" t="str">
            <v xml:space="preserve">    3030PTGT</v>
          </cell>
          <cell r="H754" t="str">
            <v>IV</v>
          </cell>
        </row>
        <row r="755">
          <cell r="A755" t="str">
            <v>VBB2322A</v>
          </cell>
          <cell r="C755">
            <v>2.0167055999999999</v>
          </cell>
          <cell r="D755">
            <v>0.21840000000000001</v>
          </cell>
          <cell r="E755">
            <v>0.19856779661016949</v>
          </cell>
          <cell r="F755">
            <v>1.9832203389830522E-2</v>
          </cell>
          <cell r="G755" t="str">
            <v xml:space="preserve">    3030PTGT</v>
          </cell>
          <cell r="H755" t="str">
            <v>VI</v>
          </cell>
        </row>
        <row r="756">
          <cell r="A756" t="str">
            <v>VBB2323</v>
          </cell>
          <cell r="B756" t="str">
            <v>LACTATO RINGER x 500 mL</v>
          </cell>
          <cell r="C756">
            <v>2.2863384</v>
          </cell>
          <cell r="D756">
            <v>0.24759999999999999</v>
          </cell>
          <cell r="E756">
            <v>0.22512699999999999</v>
          </cell>
          <cell r="F756">
            <v>2.2472999999999993E-2</v>
          </cell>
          <cell r="G756" t="str">
            <v xml:space="preserve">    3030PTGT</v>
          </cell>
          <cell r="H756" t="str">
            <v>VI</v>
          </cell>
        </row>
        <row r="757">
          <cell r="A757" t="str">
            <v>VBB2323A</v>
          </cell>
          <cell r="C757">
            <v>2.2863384</v>
          </cell>
          <cell r="D757">
            <v>0.24759999999999999</v>
          </cell>
          <cell r="E757">
            <v>0.22512711864406776</v>
          </cell>
          <cell r="F757">
            <v>2.2472881355932228E-2</v>
          </cell>
          <cell r="G757" t="str">
            <v xml:space="preserve">    3030PTGT</v>
          </cell>
          <cell r="H757" t="str">
            <v>IV</v>
          </cell>
        </row>
        <row r="758">
          <cell r="A758" t="str">
            <v>VBB2324</v>
          </cell>
          <cell r="C758">
            <v>3.1035474000000001</v>
          </cell>
          <cell r="D758">
            <v>0.33610000000000001</v>
          </cell>
          <cell r="E758">
            <v>0.30552542372881353</v>
          </cell>
          <cell r="F758">
            <v>3.0574576271186482E-2</v>
          </cell>
          <cell r="G758" t="str">
            <v xml:space="preserve">    3030PTGT</v>
          </cell>
          <cell r="H758" t="str">
            <v>IV</v>
          </cell>
        </row>
        <row r="759">
          <cell r="A759" t="str">
            <v>VBB4996</v>
          </cell>
          <cell r="B759" t="str">
            <v>SOLUCION DIANEAL 1.5% 2000 ML.</v>
          </cell>
          <cell r="C759">
            <v>10.775203199999998</v>
          </cell>
          <cell r="D759">
            <v>1.0728</v>
          </cell>
          <cell r="E759">
            <v>1.02</v>
          </cell>
          <cell r="F759">
            <v>5.2799999999999958E-2</v>
          </cell>
          <cell r="G759" t="str">
            <v xml:space="preserve">    3030PTGT</v>
          </cell>
          <cell r="H759" t="str">
            <v>PD</v>
          </cell>
        </row>
        <row r="760">
          <cell r="A760" t="str">
            <v>VBB4997</v>
          </cell>
          <cell r="B760" t="str">
            <v>SOLUCION DIANEAL 2.5% 2000 ML.</v>
          </cell>
          <cell r="C760">
            <v>10.775203199999998</v>
          </cell>
          <cell r="D760">
            <v>1.0728</v>
          </cell>
          <cell r="E760">
            <v>1.03</v>
          </cell>
          <cell r="F760">
            <v>4.2799999999999949E-2</v>
          </cell>
          <cell r="G760" t="str">
            <v xml:space="preserve">    3030PTGT</v>
          </cell>
          <cell r="H760" t="str">
            <v>PD</v>
          </cell>
        </row>
        <row r="761">
          <cell r="A761" t="str">
            <v>VBB4998</v>
          </cell>
          <cell r="B761" t="str">
            <v>SOLUCION DIANEAL 4.25% 2000 ML</v>
          </cell>
          <cell r="C761">
            <v>10.775203199999998</v>
          </cell>
          <cell r="D761">
            <v>1.0728</v>
          </cell>
          <cell r="E761">
            <v>1.0900000000000001</v>
          </cell>
          <cell r="F761">
            <v>-1.7200000000000104E-2</v>
          </cell>
          <cell r="G761" t="str">
            <v xml:space="preserve">    3030PTGT</v>
          </cell>
          <cell r="H761" t="str">
            <v>PD</v>
          </cell>
        </row>
        <row r="762">
          <cell r="A762" t="str">
            <v>VI5PS-ENEZ</v>
          </cell>
          <cell r="B762" t="str">
            <v>VAPORIZADOR PARA ISOFLURANO</v>
          </cell>
          <cell r="C762">
            <v>9234</v>
          </cell>
          <cell r="D762">
            <v>1000</v>
          </cell>
          <cell r="E762">
            <v>1000</v>
          </cell>
          <cell r="F762">
            <v>0</v>
          </cell>
          <cell r="G762" t="str">
            <v xml:space="preserve">    3030PTGT</v>
          </cell>
          <cell r="H762" t="str">
            <v>OP</v>
          </cell>
        </row>
        <row r="763">
          <cell r="A763" t="str">
            <v>YBR6205U</v>
          </cell>
          <cell r="C763">
            <v>14.570328600000002</v>
          </cell>
          <cell r="D763">
            <v>1.5779000000000001</v>
          </cell>
          <cell r="E763">
            <v>1.4344830508474575</v>
          </cell>
          <cell r="F763">
            <v>0.14341694915254255</v>
          </cell>
          <cell r="G763" t="str">
            <v xml:space="preserve">    3030PTGT</v>
          </cell>
          <cell r="H763" t="str">
            <v>BP</v>
          </cell>
        </row>
        <row r="764">
          <cell r="A764">
            <v>710400037</v>
          </cell>
          <cell r="B764" t="str">
            <v>ROTO CONTROLLER COMPLETE GOLD</v>
          </cell>
          <cell r="C764">
            <v>12142.8703</v>
          </cell>
          <cell r="D764">
            <v>1441.4612999999999</v>
          </cell>
          <cell r="E764">
            <v>1310.4194</v>
          </cell>
          <cell r="F764">
            <v>131.04189999999994</v>
          </cell>
          <cell r="G764" t="str">
            <v xml:space="preserve">    3030REPU</v>
          </cell>
          <cell r="H764" t="str">
            <v>BP</v>
          </cell>
        </row>
        <row r="765">
          <cell r="A765">
            <v>770400243</v>
          </cell>
          <cell r="B765" t="str">
            <v>INSERT TNX-6 SEP</v>
          </cell>
          <cell r="C765">
            <v>737.87509999999997</v>
          </cell>
          <cell r="D765">
            <v>87.591999999999999</v>
          </cell>
          <cell r="E765">
            <v>79.629099999999994</v>
          </cell>
          <cell r="F765">
            <v>7.9629000000000048</v>
          </cell>
          <cell r="G765" t="str">
            <v xml:space="preserve">    3030REPU</v>
          </cell>
          <cell r="H765" t="str">
            <v>PT</v>
          </cell>
        </row>
        <row r="766">
          <cell r="A766">
            <v>710400008</v>
          </cell>
          <cell r="B766" t="str">
            <v>Insert Plt Coll A35</v>
          </cell>
          <cell r="C766">
            <v>737.87509999999997</v>
          </cell>
          <cell r="D766">
            <v>87.591999999999999</v>
          </cell>
          <cell r="E766">
            <v>79.629099999999994</v>
          </cell>
          <cell r="F766">
            <v>7.9629000000000048</v>
          </cell>
          <cell r="G766" t="str">
            <v xml:space="preserve">    3030REPU</v>
          </cell>
          <cell r="H766" t="str">
            <v>PT</v>
          </cell>
        </row>
        <row r="767">
          <cell r="A767" t="str">
            <v>CRB1324H</v>
          </cell>
          <cell r="B767" t="str">
            <v>CLORURO DE SODIO 0.9% x 1000</v>
          </cell>
          <cell r="C767">
            <v>3.4043000000000001</v>
          </cell>
          <cell r="D767">
            <v>0.39650000000000002</v>
          </cell>
          <cell r="E767">
            <v>0.30499999999999999</v>
          </cell>
          <cell r="F767">
            <v>9.1500000000000026E-2</v>
          </cell>
          <cell r="G767" t="str">
            <v xml:space="preserve">    3030PTGT</v>
          </cell>
          <cell r="H767" t="str">
            <v>HE</v>
          </cell>
        </row>
      </sheetData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isiones mes de enero "/>
      <sheetName val="comisiones por quincena "/>
      <sheetName val="DICIEMBRE"/>
    </sheetNames>
    <sheetDataSet>
      <sheetData sheetId="0"/>
      <sheetData sheetId="1"/>
      <sheetData sheetId="2" refreshError="1">
        <row r="1">
          <cell r="C1" t="str">
            <v>Nombre</v>
          </cell>
          <cell r="D1" t="str">
            <v>Venta Neta</v>
          </cell>
          <cell r="E1" t="str">
            <v>Paquetes</v>
          </cell>
          <cell r="F1" t="str">
            <v>Venta Sin Paquetes</v>
          </cell>
          <cell r="G1" t="str">
            <v>Iva &amp; TC</v>
          </cell>
          <cell r="H1" t="str">
            <v>Venta S/IVA</v>
          </cell>
          <cell r="I1" t="str">
            <v>Salario</v>
          </cell>
          <cell r="J1" t="str">
            <v>Para p/ Comisión</v>
          </cell>
          <cell r="K1" t="str">
            <v>Porcentaje</v>
          </cell>
          <cell r="L1" t="str">
            <v>Comisión</v>
          </cell>
          <cell r="M1" t="str">
            <v>Comisión x Paquete</v>
          </cell>
          <cell r="N1" t="str">
            <v>Comisión x Cepillado</v>
          </cell>
          <cell r="O1" t="str">
            <v>Bono x Meta</v>
          </cell>
          <cell r="P1" t="str">
            <v>Anticipos</v>
          </cell>
          <cell r="Q1" t="str">
            <v>T.C.B</v>
          </cell>
          <cell r="S1" t="str">
            <v>Comisión Neta</v>
          </cell>
          <cell r="T1" t="str">
            <v>OBSERVACIONES</v>
          </cell>
        </row>
        <row r="2">
          <cell r="C2" t="str">
            <v>Benjamin Pineda</v>
          </cell>
          <cell r="D2">
            <v>50239</v>
          </cell>
          <cell r="F2">
            <v>50239</v>
          </cell>
          <cell r="G2">
            <v>3014.3399999999997</v>
          </cell>
          <cell r="H2">
            <v>47224.66</v>
          </cell>
          <cell r="I2">
            <v>14000</v>
          </cell>
          <cell r="J2">
            <v>33224.660000000003</v>
          </cell>
          <cell r="K2">
            <v>0.15</v>
          </cell>
          <cell r="L2">
            <v>4983.6990000000005</v>
          </cell>
          <cell r="Q2">
            <v>50</v>
          </cell>
          <cell r="S2">
            <v>5033.6990000000005</v>
          </cell>
          <cell r="T2" t="str">
            <v>Da factura x sus comisiones y salario</v>
          </cell>
          <cell r="V2" t="str">
            <v>s24</v>
          </cell>
        </row>
        <row r="3">
          <cell r="C3" t="str">
            <v>Berta Alicia Sunue Can</v>
          </cell>
          <cell r="D3">
            <v>86485</v>
          </cell>
          <cell r="F3">
            <v>86485</v>
          </cell>
          <cell r="G3">
            <v>15567.3</v>
          </cell>
          <cell r="H3">
            <v>70917.7</v>
          </cell>
          <cell r="J3">
            <v>70917.7</v>
          </cell>
          <cell r="K3">
            <v>0.25</v>
          </cell>
          <cell r="L3">
            <v>17729.424999999999</v>
          </cell>
          <cell r="O3">
            <v>1000</v>
          </cell>
          <cell r="Q3">
            <v>50</v>
          </cell>
          <cell r="S3">
            <v>18779.424999999999</v>
          </cell>
          <cell r="T3" t="str">
            <v>Tiene bono</v>
          </cell>
          <cell r="V3">
            <v>9</v>
          </cell>
        </row>
        <row r="4">
          <cell r="C4" t="str">
            <v>JOSE ROBERTO LOPEZ FLORES</v>
          </cell>
          <cell r="D4">
            <v>44652</v>
          </cell>
          <cell r="F4">
            <v>44652</v>
          </cell>
          <cell r="G4">
            <v>8037.36</v>
          </cell>
          <cell r="H4">
            <v>36614.639999999999</v>
          </cell>
          <cell r="J4">
            <v>36614.639999999999</v>
          </cell>
          <cell r="K4">
            <v>0.15</v>
          </cell>
          <cell r="L4">
            <v>5492.1959999999999</v>
          </cell>
          <cell r="Q4">
            <v>750</v>
          </cell>
          <cell r="S4">
            <v>6242.1959999999999</v>
          </cell>
          <cell r="V4">
            <v>208</v>
          </cell>
        </row>
        <row r="5">
          <cell r="C5" t="str">
            <v xml:space="preserve">sandra morales </v>
          </cell>
          <cell r="F5">
            <v>0</v>
          </cell>
          <cell r="G5">
            <v>0</v>
          </cell>
          <cell r="H5">
            <v>0</v>
          </cell>
          <cell r="J5">
            <v>0</v>
          </cell>
          <cell r="K5">
            <v>0.15</v>
          </cell>
          <cell r="L5">
            <v>0</v>
          </cell>
          <cell r="S5">
            <v>850</v>
          </cell>
          <cell r="T5" t="str">
            <v>Ella en su oportunidad pidio Aumento, Gabriel autorizo q a los coodinadores se les pagara un bono x llegar a meta se le dan Q1,000 si llega a 100% de la meta establecida y así sucesivamente</v>
          </cell>
          <cell r="V5">
            <v>160</v>
          </cell>
        </row>
        <row r="6">
          <cell r="C6" t="str">
            <v>Byron Medina</v>
          </cell>
          <cell r="D6">
            <v>43927</v>
          </cell>
          <cell r="F6">
            <v>43927</v>
          </cell>
          <cell r="G6">
            <v>2635.62</v>
          </cell>
          <cell r="H6">
            <v>41291.379999999997</v>
          </cell>
          <cell r="I6">
            <v>0</v>
          </cell>
          <cell r="J6">
            <v>41291.379999999997</v>
          </cell>
          <cell r="K6">
            <v>0.15</v>
          </cell>
          <cell r="L6">
            <v>6193.7069999999994</v>
          </cell>
          <cell r="Q6">
            <v>100</v>
          </cell>
          <cell r="S6">
            <v>6293.7069999999994</v>
          </cell>
          <cell r="T6" t="str">
            <v>Da factura x sus comisiones y salario</v>
          </cell>
          <cell r="V6" t="str">
            <v>c100</v>
          </cell>
        </row>
        <row r="7">
          <cell r="C7" t="str">
            <v>Cristian Fernando Gomez</v>
          </cell>
          <cell r="D7">
            <v>45309</v>
          </cell>
          <cell r="F7">
            <v>45309</v>
          </cell>
          <cell r="G7">
            <v>8155.62</v>
          </cell>
          <cell r="H7">
            <v>37153.379999999997</v>
          </cell>
          <cell r="J7">
            <v>37153.379999999997</v>
          </cell>
          <cell r="K7">
            <v>0.15</v>
          </cell>
          <cell r="L7">
            <v>5573.0069999999996</v>
          </cell>
          <cell r="S7">
            <v>5573.0069999999996</v>
          </cell>
          <cell r="V7">
            <v>143</v>
          </cell>
        </row>
        <row r="8">
          <cell r="C8" t="str">
            <v>Dany Castañeda</v>
          </cell>
          <cell r="D8">
            <v>50896</v>
          </cell>
          <cell r="F8">
            <v>50896</v>
          </cell>
          <cell r="G8">
            <v>9161.2799999999988</v>
          </cell>
          <cell r="H8">
            <v>41734.720000000001</v>
          </cell>
          <cell r="J8">
            <v>41734.720000000001</v>
          </cell>
          <cell r="K8">
            <v>0.15</v>
          </cell>
          <cell r="L8">
            <v>6260.2079999999996</v>
          </cell>
          <cell r="O8">
            <v>1000</v>
          </cell>
          <cell r="S8">
            <v>7260.2079999999996</v>
          </cell>
          <cell r="T8" t="str">
            <v>Si llega a una venta de Q60,000 debe sacara Q18,000 incluyendo salario</v>
          </cell>
          <cell r="V8">
            <v>18</v>
          </cell>
        </row>
        <row r="9">
          <cell r="C9" t="str">
            <v>Jose Rafael Mayorga</v>
          </cell>
          <cell r="D9">
            <v>25029</v>
          </cell>
          <cell r="F9">
            <v>25029</v>
          </cell>
          <cell r="G9">
            <v>4505.22</v>
          </cell>
          <cell r="H9">
            <v>20523.78</v>
          </cell>
          <cell r="J9">
            <v>20523.78</v>
          </cell>
          <cell r="K9">
            <v>0.1</v>
          </cell>
          <cell r="L9">
            <v>2052.3780000000002</v>
          </cell>
          <cell r="S9">
            <v>2052.3780000000002</v>
          </cell>
          <cell r="V9" t="str">
            <v>s21</v>
          </cell>
        </row>
        <row r="10">
          <cell r="C10" t="str">
            <v>Ana Beatriz Alvarado Sanchez</v>
          </cell>
          <cell r="D10">
            <v>21762</v>
          </cell>
          <cell r="F10">
            <v>21762</v>
          </cell>
          <cell r="G10">
            <v>3917.16</v>
          </cell>
          <cell r="H10">
            <v>17844.84</v>
          </cell>
          <cell r="J10">
            <v>17844.84</v>
          </cell>
          <cell r="K10">
            <v>0.15</v>
          </cell>
          <cell r="L10">
            <v>2676.7260000000001</v>
          </cell>
          <cell r="M10">
            <v>0</v>
          </cell>
          <cell r="N10">
            <v>177</v>
          </cell>
          <cell r="Q10">
            <v>150</v>
          </cell>
          <cell r="S10">
            <v>3003.7260000000001</v>
          </cell>
          <cell r="V10">
            <v>19</v>
          </cell>
        </row>
        <row r="11">
          <cell r="C11" t="str">
            <v>ANA PATRICIA RIVERA RUIZ</v>
          </cell>
          <cell r="D11">
            <v>9122</v>
          </cell>
          <cell r="F11">
            <v>9122</v>
          </cell>
          <cell r="G11">
            <v>1641.96</v>
          </cell>
          <cell r="H11">
            <v>7480.04</v>
          </cell>
          <cell r="I11">
            <v>4800</v>
          </cell>
          <cell r="J11">
            <v>2680.04</v>
          </cell>
          <cell r="L11">
            <v>0</v>
          </cell>
          <cell r="M11">
            <v>0</v>
          </cell>
          <cell r="N11">
            <v>531</v>
          </cell>
          <cell r="S11">
            <v>531</v>
          </cell>
          <cell r="T11" t="str">
            <v>Se acordo con ella q se le pagaría x servicio Q9.00</v>
          </cell>
          <cell r="V11">
            <v>6</v>
          </cell>
        </row>
        <row r="12">
          <cell r="C12" t="str">
            <v>Aura Lorena Real Morales</v>
          </cell>
          <cell r="D12">
            <v>6174</v>
          </cell>
          <cell r="F12">
            <v>6174</v>
          </cell>
          <cell r="G12">
            <v>1111.32</v>
          </cell>
          <cell r="H12">
            <v>5062.68</v>
          </cell>
          <cell r="I12">
            <v>3500</v>
          </cell>
          <cell r="J12">
            <v>1562.6800000000003</v>
          </cell>
          <cell r="K12">
            <v>0.15</v>
          </cell>
          <cell r="L12">
            <v>234.40200000000004</v>
          </cell>
          <cell r="M12">
            <v>0</v>
          </cell>
          <cell r="N12">
            <v>60</v>
          </cell>
          <cell r="S12">
            <v>294.40200000000004</v>
          </cell>
          <cell r="V12">
            <v>191</v>
          </cell>
        </row>
        <row r="13">
          <cell r="C13" t="str">
            <v>Brenda Marisol Vasquez Sandoval</v>
          </cell>
          <cell r="D13">
            <v>5919</v>
          </cell>
          <cell r="F13">
            <v>5919</v>
          </cell>
          <cell r="G13">
            <v>1065.42</v>
          </cell>
          <cell r="H13">
            <v>4853.58</v>
          </cell>
          <cell r="J13">
            <v>4853.58</v>
          </cell>
          <cell r="K13">
            <v>0.15</v>
          </cell>
          <cell r="L13">
            <v>728.03699999999992</v>
          </cell>
          <cell r="N13">
            <v>603</v>
          </cell>
          <cell r="Q13">
            <v>50</v>
          </cell>
          <cell r="S13">
            <v>1381.0369999999998</v>
          </cell>
          <cell r="T13" t="str">
            <v>Se acordo con ella q se le pagaría x servicio Q9.00</v>
          </cell>
          <cell r="V13">
            <v>5</v>
          </cell>
        </row>
        <row r="14">
          <cell r="C14" t="str">
            <v>Cesarea Hermelinda Orozco Castro</v>
          </cell>
          <cell r="D14">
            <v>9483</v>
          </cell>
          <cell r="F14">
            <v>9483</v>
          </cell>
          <cell r="G14">
            <v>1706.9399999999998</v>
          </cell>
          <cell r="H14">
            <v>7776.06</v>
          </cell>
          <cell r="J14">
            <v>7776.06</v>
          </cell>
          <cell r="K14">
            <v>0.15</v>
          </cell>
          <cell r="L14">
            <v>1166.4090000000001</v>
          </cell>
          <cell r="M14">
            <v>0</v>
          </cell>
          <cell r="N14">
            <v>450</v>
          </cell>
          <cell r="S14">
            <v>1616.4090000000001</v>
          </cell>
          <cell r="T14" t="str">
            <v>Se acordo con ella q se le pagaría x servicio Q5</v>
          </cell>
          <cell r="V14">
            <v>25</v>
          </cell>
        </row>
        <row r="15">
          <cell r="C15" t="str">
            <v>Claudia Leticia Cordoba Hernandez</v>
          </cell>
          <cell r="F15">
            <v>0</v>
          </cell>
          <cell r="G15">
            <v>0</v>
          </cell>
          <cell r="H15">
            <v>0</v>
          </cell>
          <cell r="J15">
            <v>0</v>
          </cell>
          <cell r="L15">
            <v>0</v>
          </cell>
          <cell r="M15">
            <v>0</v>
          </cell>
          <cell r="S15">
            <v>950</v>
          </cell>
          <cell r="T15" t="str">
            <v>Ella en su oportunidad pidio Aumento, Gabriel autorizo q a los coodinadores se les pagara un bono x llegar a meta se le dan Q1,000 si llega a 100% de la meta establecida y así sucesivamente</v>
          </cell>
          <cell r="V15">
            <v>43</v>
          </cell>
        </row>
        <row r="16">
          <cell r="C16" t="str">
            <v>Cynthia Pamela Hernandez Ramirez</v>
          </cell>
          <cell r="D16">
            <v>7651</v>
          </cell>
          <cell r="F16">
            <v>7651</v>
          </cell>
          <cell r="G16">
            <v>1377.1799999999998</v>
          </cell>
          <cell r="H16">
            <v>6273.82</v>
          </cell>
          <cell r="I16">
            <v>3000</v>
          </cell>
          <cell r="J16">
            <v>3273.8199999999997</v>
          </cell>
          <cell r="K16">
            <v>0.15</v>
          </cell>
          <cell r="L16">
            <v>491.07299999999992</v>
          </cell>
          <cell r="M16">
            <v>0</v>
          </cell>
          <cell r="N16">
            <v>222</v>
          </cell>
          <cell r="S16">
            <v>713.07299999999987</v>
          </cell>
          <cell r="V16" t="str">
            <v>c32</v>
          </cell>
        </row>
        <row r="17">
          <cell r="C17" t="str">
            <v>Kary de Leiva</v>
          </cell>
          <cell r="D17">
            <v>11044</v>
          </cell>
          <cell r="F17">
            <v>11044</v>
          </cell>
          <cell r="G17">
            <v>1987.9199999999998</v>
          </cell>
          <cell r="H17">
            <v>9056.08</v>
          </cell>
          <cell r="I17">
            <v>4000</v>
          </cell>
          <cell r="J17">
            <v>5056.08</v>
          </cell>
          <cell r="K17">
            <v>0.15</v>
          </cell>
          <cell r="L17">
            <v>758.41199999999992</v>
          </cell>
          <cell r="M17">
            <v>0</v>
          </cell>
          <cell r="N17">
            <v>177</v>
          </cell>
          <cell r="S17">
            <v>935.41199999999992</v>
          </cell>
          <cell r="V17" t="str">
            <v>c48</v>
          </cell>
        </row>
        <row r="18">
          <cell r="C18" t="str">
            <v>Miriam Elizabeth Fuentes Puac</v>
          </cell>
          <cell r="D18">
            <v>9023</v>
          </cell>
          <cell r="F18">
            <v>9023</v>
          </cell>
          <cell r="G18">
            <v>1624.1399999999999</v>
          </cell>
          <cell r="H18">
            <v>7398.8600000000006</v>
          </cell>
          <cell r="J18">
            <v>7398.8600000000006</v>
          </cell>
          <cell r="K18">
            <v>0.15</v>
          </cell>
          <cell r="L18">
            <v>1109.829</v>
          </cell>
          <cell r="M18">
            <v>0</v>
          </cell>
          <cell r="N18">
            <v>144</v>
          </cell>
          <cell r="S18">
            <v>1253.829</v>
          </cell>
          <cell r="V18" t="str">
            <v>c109</v>
          </cell>
        </row>
        <row r="19">
          <cell r="C19" t="str">
            <v xml:space="preserve">Susana Monterroso </v>
          </cell>
          <cell r="D19">
            <v>33999</v>
          </cell>
          <cell r="F19">
            <v>33999</v>
          </cell>
          <cell r="G19">
            <v>6119.82</v>
          </cell>
          <cell r="H19">
            <v>27879.18</v>
          </cell>
          <cell r="J19">
            <v>27879.18</v>
          </cell>
          <cell r="K19">
            <v>0.2</v>
          </cell>
          <cell r="L19">
            <v>5575.8360000000002</v>
          </cell>
          <cell r="M19">
            <v>0</v>
          </cell>
          <cell r="N19">
            <v>0</v>
          </cell>
          <cell r="S19">
            <v>5575.8360000000002</v>
          </cell>
          <cell r="V19" t="str">
            <v>C125</v>
          </cell>
        </row>
        <row r="20">
          <cell r="C20" t="str">
            <v xml:space="preserve">Sandra Liseth Perez </v>
          </cell>
          <cell r="D20">
            <v>4701</v>
          </cell>
          <cell r="F20">
            <v>4701</v>
          </cell>
          <cell r="G20">
            <v>846.18</v>
          </cell>
          <cell r="H20">
            <v>3854.82</v>
          </cell>
          <cell r="J20">
            <v>3854.82</v>
          </cell>
          <cell r="K20">
            <v>0.15</v>
          </cell>
          <cell r="L20">
            <v>578.22299999999996</v>
          </cell>
          <cell r="M20">
            <v>0</v>
          </cell>
          <cell r="N20">
            <v>0</v>
          </cell>
          <cell r="S20">
            <v>578.22299999999996</v>
          </cell>
          <cell r="V20" t="str">
            <v>SP</v>
          </cell>
        </row>
        <row r="21">
          <cell r="C21" t="str">
            <v>Amalia Leticia Garcia Chumil</v>
          </cell>
          <cell r="D21">
            <v>3940</v>
          </cell>
          <cell r="F21">
            <v>3940</v>
          </cell>
          <cell r="G21">
            <v>709.19999999999993</v>
          </cell>
          <cell r="H21">
            <v>3230.8</v>
          </cell>
          <cell r="J21">
            <v>3230.8</v>
          </cell>
          <cell r="K21">
            <v>0.1</v>
          </cell>
          <cell r="L21">
            <v>323.08000000000004</v>
          </cell>
          <cell r="S21">
            <v>323.08000000000004</v>
          </cell>
          <cell r="T21" t="str">
            <v>A las chicas de Spa Jose le ofrecio Q10 x cada masaje y Q8 x cada ampolla vendida</v>
          </cell>
          <cell r="V21" t="str">
            <v>c61</v>
          </cell>
        </row>
        <row r="22">
          <cell r="C22" t="str">
            <v>Ana Patricia Hernandez de Marroquin</v>
          </cell>
          <cell r="D22">
            <v>5195</v>
          </cell>
          <cell r="F22">
            <v>5195</v>
          </cell>
          <cell r="G22">
            <v>935.09999999999991</v>
          </cell>
          <cell r="H22">
            <v>4259.8999999999996</v>
          </cell>
          <cell r="J22">
            <v>4259.8999999999996</v>
          </cell>
          <cell r="K22">
            <v>0.1</v>
          </cell>
          <cell r="L22">
            <v>425.99</v>
          </cell>
          <cell r="S22">
            <v>425.99</v>
          </cell>
          <cell r="V22">
            <v>124</v>
          </cell>
        </row>
        <row r="23">
          <cell r="C23" t="str">
            <v>Julia Esperanza Sunuc</v>
          </cell>
          <cell r="D23">
            <v>9075</v>
          </cell>
          <cell r="F23">
            <v>9075</v>
          </cell>
          <cell r="G23">
            <v>1633.5</v>
          </cell>
          <cell r="H23">
            <v>7441.5</v>
          </cell>
          <cell r="J23">
            <v>7441.5</v>
          </cell>
          <cell r="K23">
            <v>0.1</v>
          </cell>
          <cell r="L23">
            <v>744.15000000000009</v>
          </cell>
          <cell r="S23">
            <v>744.15000000000009</v>
          </cell>
          <cell r="V23">
            <v>131</v>
          </cell>
        </row>
        <row r="24">
          <cell r="C24" t="str">
            <v>Evelyn yanira Castañon</v>
          </cell>
          <cell r="D24">
            <v>6825</v>
          </cell>
          <cell r="F24">
            <v>6825</v>
          </cell>
          <cell r="G24">
            <v>1228.5</v>
          </cell>
          <cell r="H24">
            <v>5596.5</v>
          </cell>
          <cell r="J24">
            <v>5596.5</v>
          </cell>
          <cell r="K24">
            <v>0.1</v>
          </cell>
          <cell r="L24">
            <v>559.65</v>
          </cell>
          <cell r="S24">
            <v>559.65</v>
          </cell>
          <cell r="V24" t="str">
            <v>c116</v>
          </cell>
        </row>
        <row r="25">
          <cell r="C25" t="str">
            <v>Luz de Maria Rodriguez Torres</v>
          </cell>
          <cell r="D25">
            <v>10165</v>
          </cell>
          <cell r="F25">
            <v>10165</v>
          </cell>
          <cell r="G25">
            <v>1829.7</v>
          </cell>
          <cell r="H25">
            <v>8335.2999999999993</v>
          </cell>
          <cell r="J25">
            <v>8335.2999999999993</v>
          </cell>
          <cell r="K25">
            <v>0.1</v>
          </cell>
          <cell r="L25">
            <v>833.53</v>
          </cell>
          <cell r="S25">
            <v>833.53</v>
          </cell>
          <cell r="V25" t="str">
            <v>c54</v>
          </cell>
        </row>
        <row r="26">
          <cell r="C26" t="str">
            <v>Maria Eliza Coc López</v>
          </cell>
          <cell r="D26">
            <v>10005</v>
          </cell>
          <cell r="F26">
            <v>10005</v>
          </cell>
          <cell r="G26">
            <v>1800.8999999999999</v>
          </cell>
          <cell r="H26">
            <v>8204.1</v>
          </cell>
          <cell r="J26">
            <v>8204.1</v>
          </cell>
          <cell r="K26">
            <v>0.1</v>
          </cell>
          <cell r="L26">
            <v>820.41000000000008</v>
          </cell>
          <cell r="S26">
            <v>820.41000000000008</v>
          </cell>
          <cell r="V26" t="str">
            <v>c36</v>
          </cell>
        </row>
        <row r="27">
          <cell r="C27" t="str">
            <v>Norma Isabel Vasquez Lux</v>
          </cell>
          <cell r="D27">
            <v>4745</v>
          </cell>
          <cell r="F27">
            <v>4745</v>
          </cell>
          <cell r="G27">
            <v>854.1</v>
          </cell>
          <cell r="H27">
            <v>3890.9</v>
          </cell>
          <cell r="J27">
            <v>3890.9</v>
          </cell>
          <cell r="K27">
            <v>0.1</v>
          </cell>
          <cell r="L27">
            <v>389.09000000000003</v>
          </cell>
          <cell r="S27">
            <v>389.09000000000003</v>
          </cell>
          <cell r="V27" t="str">
            <v>c40</v>
          </cell>
        </row>
        <row r="28">
          <cell r="C28" t="str">
            <v xml:space="preserve">Rosa sesibel raymundo </v>
          </cell>
          <cell r="F28">
            <v>0</v>
          </cell>
          <cell r="G28">
            <v>0</v>
          </cell>
          <cell r="H28">
            <v>0</v>
          </cell>
          <cell r="J28">
            <v>0</v>
          </cell>
          <cell r="K28">
            <v>0.1</v>
          </cell>
          <cell r="L28">
            <v>0</v>
          </cell>
          <cell r="S28">
            <v>1500</v>
          </cell>
          <cell r="V28">
            <v>172</v>
          </cell>
        </row>
        <row r="29">
          <cell r="C29" t="str">
            <v>Sonia Esperanza Molina Perez</v>
          </cell>
          <cell r="D29">
            <v>8410</v>
          </cell>
          <cell r="F29">
            <v>8410</v>
          </cell>
          <cell r="G29">
            <v>1513.8</v>
          </cell>
          <cell r="H29">
            <v>6896.2</v>
          </cell>
          <cell r="J29">
            <v>6896.2</v>
          </cell>
          <cell r="K29">
            <v>0.1</v>
          </cell>
          <cell r="L29">
            <v>689.62</v>
          </cell>
          <cell r="S29">
            <v>689.62</v>
          </cell>
          <cell r="V29">
            <v>53</v>
          </cell>
        </row>
        <row r="30">
          <cell r="C30" t="str">
            <v>Tereza Rebeca Marroquin</v>
          </cell>
          <cell r="D30">
            <v>9335</v>
          </cell>
          <cell r="F30">
            <v>9335</v>
          </cell>
          <cell r="G30">
            <v>1680.3</v>
          </cell>
          <cell r="H30">
            <v>7654.7</v>
          </cell>
          <cell r="J30">
            <v>7654.7</v>
          </cell>
          <cell r="K30">
            <v>0.1</v>
          </cell>
          <cell r="L30">
            <v>765.47</v>
          </cell>
          <cell r="S30">
            <v>765.47</v>
          </cell>
          <cell r="V30" t="str">
            <v>c24</v>
          </cell>
        </row>
        <row r="31">
          <cell r="C31" t="str">
            <v xml:space="preserve">alejandra Escobar </v>
          </cell>
          <cell r="F31">
            <v>0</v>
          </cell>
          <cell r="G31">
            <v>0</v>
          </cell>
          <cell r="H31">
            <v>0</v>
          </cell>
          <cell r="J31">
            <v>0</v>
          </cell>
          <cell r="K31">
            <v>0.1</v>
          </cell>
          <cell r="L31">
            <v>0</v>
          </cell>
          <cell r="S31">
            <v>200</v>
          </cell>
          <cell r="V31" t="str">
            <v>ae</v>
          </cell>
        </row>
        <row r="32">
          <cell r="C32" t="str">
            <v>Aura Virginia Nufio Cifuentes</v>
          </cell>
          <cell r="D32">
            <v>14804</v>
          </cell>
          <cell r="F32">
            <v>14804</v>
          </cell>
          <cell r="G32">
            <v>2664.72</v>
          </cell>
          <cell r="H32">
            <v>12139.28</v>
          </cell>
          <cell r="I32">
            <v>2500</v>
          </cell>
          <cell r="J32">
            <v>9639.2800000000007</v>
          </cell>
          <cell r="K32">
            <v>0.15</v>
          </cell>
          <cell r="L32">
            <v>1445.8920000000001</v>
          </cell>
          <cell r="S32">
            <v>1445.8920000000001</v>
          </cell>
          <cell r="V32" t="str">
            <v>c106</v>
          </cell>
        </row>
        <row r="33">
          <cell r="C33" t="str">
            <v>Cecibel Contreras</v>
          </cell>
          <cell r="F33">
            <v>0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  <cell r="L33">
            <v>0</v>
          </cell>
          <cell r="S33">
            <v>1000</v>
          </cell>
          <cell r="T33" t="str">
            <v>Ella en su oportunidad pidio Aumento, Gabriel autorizo q a los coodinadores se les pagara un bono x llegar a meta se le dan Q1,000 si llega a 100% de la meta establecida y así sucesivamente</v>
          </cell>
          <cell r="V33">
            <v>35</v>
          </cell>
        </row>
        <row r="34">
          <cell r="C34" t="str">
            <v>Cinthya Valeska Rivera</v>
          </cell>
          <cell r="D34">
            <v>15527</v>
          </cell>
          <cell r="F34">
            <v>15527</v>
          </cell>
          <cell r="G34">
            <v>2794.8599999999997</v>
          </cell>
          <cell r="H34">
            <v>12732.14</v>
          </cell>
          <cell r="I34">
            <v>2500</v>
          </cell>
          <cell r="J34">
            <v>10232.14</v>
          </cell>
          <cell r="K34">
            <v>0.15</v>
          </cell>
          <cell r="L34">
            <v>1534.8209999999999</v>
          </cell>
          <cell r="S34">
            <v>1534.8209999999999</v>
          </cell>
          <cell r="V34">
            <v>178</v>
          </cell>
        </row>
        <row r="35">
          <cell r="C35" t="str">
            <v>Claudia Izabel Hernandez Martin</v>
          </cell>
          <cell r="D35">
            <v>12811</v>
          </cell>
          <cell r="F35">
            <v>12811</v>
          </cell>
          <cell r="G35">
            <v>2305.98</v>
          </cell>
          <cell r="H35">
            <v>10505.02</v>
          </cell>
          <cell r="I35">
            <v>1000</v>
          </cell>
          <cell r="J35">
            <v>9505.02</v>
          </cell>
          <cell r="K35">
            <v>0.15</v>
          </cell>
          <cell r="L35">
            <v>1425.7529999999999</v>
          </cell>
          <cell r="S35">
            <v>1425.7529999999999</v>
          </cell>
          <cell r="T35" t="str">
            <v>A Izabel se le aumento x lo q se le descuenta su aumento</v>
          </cell>
          <cell r="V35">
            <v>180</v>
          </cell>
        </row>
        <row r="36">
          <cell r="C36" t="str">
            <v>Dora Arias</v>
          </cell>
          <cell r="D36">
            <v>13850</v>
          </cell>
          <cell r="F36">
            <v>13850</v>
          </cell>
          <cell r="G36">
            <v>2493</v>
          </cell>
          <cell r="H36">
            <v>11357</v>
          </cell>
          <cell r="I36">
            <v>2500</v>
          </cell>
          <cell r="J36">
            <v>8857</v>
          </cell>
          <cell r="K36">
            <v>0.15</v>
          </cell>
          <cell r="L36">
            <v>1328.55</v>
          </cell>
          <cell r="S36">
            <v>1328.55</v>
          </cell>
          <cell r="V36" t="str">
            <v>c73</v>
          </cell>
        </row>
        <row r="37">
          <cell r="C37" t="str">
            <v>Elizabeth Alarcon Garcia</v>
          </cell>
          <cell r="D37">
            <v>15260</v>
          </cell>
          <cell r="F37">
            <v>15260</v>
          </cell>
          <cell r="G37">
            <v>2746.7999999999997</v>
          </cell>
          <cell r="H37">
            <v>12513.2</v>
          </cell>
          <cell r="I37">
            <v>3700</v>
          </cell>
          <cell r="J37">
            <v>8813.2000000000007</v>
          </cell>
          <cell r="K37">
            <v>0.15</v>
          </cell>
          <cell r="L37">
            <v>1321.98</v>
          </cell>
          <cell r="S37">
            <v>1321.98</v>
          </cell>
          <cell r="V37" t="str">
            <v>c89</v>
          </cell>
        </row>
        <row r="38">
          <cell r="C38" t="str">
            <v>Elsa Zarceño</v>
          </cell>
          <cell r="D38">
            <v>14445</v>
          </cell>
          <cell r="F38">
            <v>14445</v>
          </cell>
          <cell r="G38">
            <v>2600.1</v>
          </cell>
          <cell r="H38">
            <v>11844.9</v>
          </cell>
          <cell r="I38">
            <v>3000</v>
          </cell>
          <cell r="J38">
            <v>8844.9</v>
          </cell>
          <cell r="K38">
            <v>0.15</v>
          </cell>
          <cell r="L38">
            <v>1326.7349999999999</v>
          </cell>
          <cell r="S38">
            <v>1326.7349999999999</v>
          </cell>
          <cell r="V38">
            <v>169</v>
          </cell>
        </row>
        <row r="39">
          <cell r="C39" t="str">
            <v>FRANCISCA ESPERANZA CAAL</v>
          </cell>
          <cell r="D39">
            <v>11476</v>
          </cell>
          <cell r="F39">
            <v>11476</v>
          </cell>
          <cell r="G39">
            <v>2065.6799999999998</v>
          </cell>
          <cell r="H39">
            <v>9410.32</v>
          </cell>
          <cell r="J39">
            <v>9410.32</v>
          </cell>
          <cell r="K39">
            <v>0.15</v>
          </cell>
          <cell r="L39">
            <v>1411.548</v>
          </cell>
          <cell r="S39">
            <v>1411.548</v>
          </cell>
          <cell r="T39" t="str">
            <v>Se acordo no descontar el salario</v>
          </cell>
          <cell r="V39">
            <v>10</v>
          </cell>
        </row>
        <row r="40">
          <cell r="C40" t="str">
            <v>Gabriela Lucia Cardona Soyoy</v>
          </cell>
          <cell r="D40">
            <v>12875</v>
          </cell>
          <cell r="F40">
            <v>12875</v>
          </cell>
          <cell r="G40">
            <v>2317.5</v>
          </cell>
          <cell r="H40">
            <v>10557.5</v>
          </cell>
          <cell r="I40">
            <v>2500</v>
          </cell>
          <cell r="J40">
            <v>8057.5</v>
          </cell>
          <cell r="K40">
            <v>0.15</v>
          </cell>
          <cell r="L40">
            <v>1208.625</v>
          </cell>
          <cell r="S40">
            <v>1208.625</v>
          </cell>
          <cell r="V40" t="str">
            <v>s5</v>
          </cell>
        </row>
        <row r="41">
          <cell r="C41" t="str">
            <v>Glenda Marina del Aguila López</v>
          </cell>
          <cell r="D41">
            <v>12730</v>
          </cell>
          <cell r="F41">
            <v>12730</v>
          </cell>
          <cell r="G41">
            <v>2291.4</v>
          </cell>
          <cell r="H41">
            <v>10438.6</v>
          </cell>
          <cell r="I41">
            <v>4000</v>
          </cell>
          <cell r="J41">
            <v>6438.6</v>
          </cell>
          <cell r="K41">
            <v>0.15</v>
          </cell>
          <cell r="L41">
            <v>965.79</v>
          </cell>
          <cell r="S41">
            <v>965.79</v>
          </cell>
          <cell r="V41" t="str">
            <v>c64</v>
          </cell>
        </row>
        <row r="42">
          <cell r="C42" t="str">
            <v>Herlin Vanessa López Cotto</v>
          </cell>
          <cell r="D42">
            <v>13040</v>
          </cell>
          <cell r="F42">
            <v>13040</v>
          </cell>
          <cell r="G42">
            <v>2347.1999999999998</v>
          </cell>
          <cell r="H42">
            <v>10692.8</v>
          </cell>
          <cell r="I42">
            <v>2500</v>
          </cell>
          <cell r="J42">
            <v>8192.7999999999993</v>
          </cell>
          <cell r="K42">
            <v>0.15</v>
          </cell>
          <cell r="L42">
            <v>1228.9199999999998</v>
          </cell>
          <cell r="S42">
            <v>1228.9199999999998</v>
          </cell>
          <cell r="V42" t="str">
            <v>c91</v>
          </cell>
        </row>
        <row r="43">
          <cell r="C43" t="str">
            <v>Irma Esperanza Garcia Hernández</v>
          </cell>
          <cell r="D43">
            <v>13446</v>
          </cell>
          <cell r="F43">
            <v>13446</v>
          </cell>
          <cell r="G43">
            <v>2420.2799999999997</v>
          </cell>
          <cell r="H43">
            <v>11025.720000000001</v>
          </cell>
          <cell r="I43">
            <v>2500</v>
          </cell>
          <cell r="J43">
            <v>8525.7200000000012</v>
          </cell>
          <cell r="K43">
            <v>0.15</v>
          </cell>
          <cell r="L43">
            <v>1278.8580000000002</v>
          </cell>
          <cell r="S43">
            <v>1278.8580000000002</v>
          </cell>
          <cell r="V43" t="str">
            <v>c19</v>
          </cell>
        </row>
        <row r="44">
          <cell r="C44" t="str">
            <v>Sonia Liseth Muñoz Silvestre</v>
          </cell>
          <cell r="D44">
            <v>15096</v>
          </cell>
          <cell r="F44">
            <v>15096</v>
          </cell>
          <cell r="G44">
            <v>2717.2799999999997</v>
          </cell>
          <cell r="H44">
            <v>12378.720000000001</v>
          </cell>
          <cell r="I44">
            <v>3600</v>
          </cell>
          <cell r="J44">
            <v>8778.7200000000012</v>
          </cell>
          <cell r="K44">
            <v>0.15</v>
          </cell>
          <cell r="L44">
            <v>1316.8080000000002</v>
          </cell>
          <cell r="S44">
            <v>1316.8080000000002</v>
          </cell>
          <cell r="V44">
            <v>181</v>
          </cell>
        </row>
        <row r="45">
          <cell r="C45" t="str">
            <v xml:space="preserve">Ruth Noemi gonzales hernandez </v>
          </cell>
          <cell r="D45">
            <v>19583.46</v>
          </cell>
          <cell r="F45">
            <v>8343</v>
          </cell>
          <cell r="G45">
            <v>1501.74</v>
          </cell>
          <cell r="H45">
            <v>6841.26</v>
          </cell>
          <cell r="I45">
            <v>3000</v>
          </cell>
          <cell r="J45">
            <v>3841.26</v>
          </cell>
          <cell r="K45">
            <v>0.15</v>
          </cell>
          <cell r="L45">
            <v>576.18899999999996</v>
          </cell>
          <cell r="Q45">
            <v>585</v>
          </cell>
          <cell r="S45">
            <v>1161.1889999999999</v>
          </cell>
          <cell r="V45" t="str">
            <v>c120</v>
          </cell>
        </row>
        <row r="46">
          <cell r="C46" t="str">
            <v xml:space="preserve">Massianskaia Svetlana Valeria </v>
          </cell>
          <cell r="Q46">
            <v>1320</v>
          </cell>
          <cell r="S46">
            <v>1320</v>
          </cell>
          <cell r="V46" t="str">
            <v>c119</v>
          </cell>
        </row>
        <row r="47">
          <cell r="C47" t="str">
            <v xml:space="preserve">laura herrrera </v>
          </cell>
          <cell r="D47">
            <v>10947</v>
          </cell>
          <cell r="F47">
            <v>10947</v>
          </cell>
          <cell r="G47">
            <v>1970.46</v>
          </cell>
          <cell r="H47">
            <v>8976.5400000000009</v>
          </cell>
          <cell r="I47">
            <v>1860</v>
          </cell>
          <cell r="J47">
            <v>7116.5400000000009</v>
          </cell>
          <cell r="K47">
            <v>0.15</v>
          </cell>
          <cell r="L47">
            <v>1067.481</v>
          </cell>
          <cell r="S47">
            <v>1067.481</v>
          </cell>
          <cell r="V47" t="str">
            <v>C118</v>
          </cell>
        </row>
        <row r="48">
          <cell r="C48" t="str">
            <v xml:space="preserve">jeniffer susana Iboy </v>
          </cell>
          <cell r="D48">
            <v>13075</v>
          </cell>
          <cell r="F48">
            <v>13075</v>
          </cell>
          <cell r="G48">
            <v>2353.5</v>
          </cell>
          <cell r="H48">
            <v>10721.5</v>
          </cell>
          <cell r="I48">
            <v>2500</v>
          </cell>
          <cell r="J48">
            <v>8221.5</v>
          </cell>
          <cell r="K48">
            <v>0.15</v>
          </cell>
          <cell r="L48">
            <v>1233.2249999999999</v>
          </cell>
          <cell r="S48">
            <v>1233.2249999999999</v>
          </cell>
          <cell r="V48" t="str">
            <v>C122</v>
          </cell>
        </row>
        <row r="49">
          <cell r="C49" t="str">
            <v xml:space="preserve">Brenda ines Holario </v>
          </cell>
          <cell r="D49">
            <v>12050</v>
          </cell>
          <cell r="F49">
            <v>12050</v>
          </cell>
          <cell r="G49">
            <v>2169</v>
          </cell>
          <cell r="H49">
            <v>9881</v>
          </cell>
          <cell r="I49">
            <v>2500</v>
          </cell>
          <cell r="J49">
            <v>7381</v>
          </cell>
          <cell r="K49">
            <v>0.15</v>
          </cell>
          <cell r="L49">
            <v>1107.1499999999999</v>
          </cell>
          <cell r="S49">
            <v>1107.1499999999999</v>
          </cell>
          <cell r="V49" t="str">
            <v>C123</v>
          </cell>
        </row>
        <row r="50">
          <cell r="C50" t="str">
            <v xml:space="preserve">gabriela Seija </v>
          </cell>
          <cell r="D50">
            <v>3315</v>
          </cell>
          <cell r="F50">
            <v>3315</v>
          </cell>
          <cell r="G50">
            <v>596.69999999999993</v>
          </cell>
          <cell r="H50">
            <v>2718.3</v>
          </cell>
          <cell r="J50">
            <v>2718.3</v>
          </cell>
          <cell r="K50">
            <v>0.1</v>
          </cell>
          <cell r="L50">
            <v>271.83000000000004</v>
          </cell>
          <cell r="S50">
            <v>271.83000000000004</v>
          </cell>
          <cell r="V50" t="str">
            <v>C117</v>
          </cell>
        </row>
        <row r="51">
          <cell r="C51" t="str">
            <v xml:space="preserve">Vilma escobar </v>
          </cell>
          <cell r="D51">
            <v>2530</v>
          </cell>
          <cell r="F51">
            <v>2530</v>
          </cell>
          <cell r="G51">
            <v>455.4</v>
          </cell>
          <cell r="H51">
            <v>2074.6</v>
          </cell>
          <cell r="J51">
            <v>2074.6</v>
          </cell>
          <cell r="K51">
            <v>0.1</v>
          </cell>
          <cell r="L51">
            <v>207.46</v>
          </cell>
          <cell r="S51">
            <v>207.46</v>
          </cell>
          <cell r="V51" t="str">
            <v>C127</v>
          </cell>
        </row>
        <row r="52">
          <cell r="C52" t="str">
            <v>Gloria Aracely Escobar Paz</v>
          </cell>
          <cell r="D52">
            <v>4545</v>
          </cell>
          <cell r="F52">
            <v>4545</v>
          </cell>
          <cell r="G52">
            <v>818.1</v>
          </cell>
          <cell r="H52">
            <v>3726.9</v>
          </cell>
          <cell r="J52">
            <v>3726.9</v>
          </cell>
          <cell r="K52">
            <v>0.15</v>
          </cell>
          <cell r="L52">
            <v>559.03499999999997</v>
          </cell>
          <cell r="S52">
            <v>559.03499999999997</v>
          </cell>
          <cell r="V52">
            <v>216</v>
          </cell>
        </row>
        <row r="53">
          <cell r="C53" t="str">
            <v xml:space="preserve">Abel Ruiz </v>
          </cell>
          <cell r="D53">
            <v>10470</v>
          </cell>
          <cell r="F53">
            <v>10470</v>
          </cell>
          <cell r="G53">
            <v>1884.6</v>
          </cell>
          <cell r="H53">
            <v>8585.4</v>
          </cell>
          <cell r="J53">
            <v>8585.4</v>
          </cell>
          <cell r="K53">
            <v>0.15</v>
          </cell>
          <cell r="L53">
            <v>1287.81</v>
          </cell>
          <cell r="S53">
            <v>1287.81</v>
          </cell>
          <cell r="V53" t="str">
            <v>s9</v>
          </cell>
        </row>
        <row r="54">
          <cell r="C54" t="str">
            <v xml:space="preserve">Luis Godinez </v>
          </cell>
          <cell r="D54">
            <v>4500</v>
          </cell>
          <cell r="F54">
            <v>4500</v>
          </cell>
          <cell r="G54">
            <v>810</v>
          </cell>
          <cell r="H54">
            <v>3690</v>
          </cell>
          <cell r="J54">
            <v>3690</v>
          </cell>
          <cell r="K54">
            <v>0.15</v>
          </cell>
          <cell r="L54">
            <v>553.5</v>
          </cell>
          <cell r="S54">
            <v>553.5</v>
          </cell>
          <cell r="V54" t="str">
            <v>c105</v>
          </cell>
        </row>
        <row r="55">
          <cell r="D55">
            <v>779485.46</v>
          </cell>
          <cell r="F55">
            <v>768245</v>
          </cell>
          <cell r="G55">
            <v>126984.18</v>
          </cell>
          <cell r="H55">
            <v>641260.82000000018</v>
          </cell>
          <cell r="I55">
            <v>69460</v>
          </cell>
          <cell r="J55">
            <v>571800.82000000018</v>
          </cell>
          <cell r="L55">
            <v>89812.516999999993</v>
          </cell>
          <cell r="M55">
            <v>0</v>
          </cell>
          <cell r="N55">
            <v>2364</v>
          </cell>
          <cell r="O55">
            <v>2000</v>
          </cell>
          <cell r="P55">
            <v>0</v>
          </cell>
          <cell r="Q55">
            <v>3055</v>
          </cell>
          <cell r="R55">
            <v>0</v>
          </cell>
          <cell r="S55">
            <v>101731.51699999996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TPNEW (2)"/>
      <sheetName val="C-Dic02"/>
      <sheetName val="V-NuevTP04"/>
      <sheetName val="V-Dic03 (3)"/>
      <sheetName val="V-NuevoTP03"/>
      <sheetName val="V-Dic02"/>
      <sheetName val="E-ESTADISTICA NOV"/>
      <sheetName val="R-FAC"/>
      <sheetName val="R-HEMOFIL &amp; GAMMAGARD"/>
      <sheetName val="Maestro de Artículos ORIGINAL"/>
      <sheetName val="RESPALDO"/>
      <sheetName val="INGRESO AL SISTEMA JDE (2)"/>
      <sheetName val="V-COMPARATIVO"/>
      <sheetName val="ERASE2"/>
      <sheetName val="INDEX"/>
      <sheetName val="Sheet3"/>
      <sheetName val="Sheet3 (2)"/>
      <sheetName val="ERASE"/>
      <sheetName val="INV-U"/>
      <sheetName val="Sheet1"/>
      <sheetName val="INV (2)"/>
      <sheetName val="M-Maestro COSTOS 03"/>
      <sheetName val="INV"/>
      <sheetName val="C-Dic03"/>
      <sheetName val="M-TPNEW"/>
      <sheetName val="M-Dic03"/>
      <sheetName val="M-Dic03 (2)"/>
      <sheetName val="M-TPNEW AGREG"/>
      <sheetName val="M-Maestro de Artículos"/>
      <sheetName val="M-IMPR3"/>
      <sheetName val="M-REPETIDOS"/>
      <sheetName val="M-impresion2"/>
      <sheetName val="M-impresion2 (2)"/>
      <sheetName val="M-impresion"/>
      <sheetName val="M-TPNEW2"/>
      <sheetName val="M-CODREP"/>
      <sheetName val="M-Maestro de Artículos (2)"/>
      <sheetName val="M-Maestro de Artículos (3)"/>
      <sheetName val="RESPALDO (2)"/>
      <sheetName val="RESPALDO (3)"/>
      <sheetName val="M-Maestro de Repues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ODIGOS"/>
      <sheetName val="CONCILIACION"/>
      <sheetName val="ESTADOS_FINANCIEROS"/>
      <sheetName val="RESUMEN"/>
      <sheetName val="CEMOSA"/>
      <sheetName val="SERVICOLT"/>
      <sheetName val="ECOSA"/>
      <sheetName val="SERVITALLERES"/>
      <sheetName val="AUTOKIA"/>
      <sheetName val="EXC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A3" t="str">
            <v>No. de Cuenta</v>
          </cell>
          <cell r="B3" t="str">
            <v>Nombre de la Cuenta</v>
          </cell>
          <cell r="C3" t="str">
            <v>Saldo Anterior</v>
          </cell>
          <cell r="D3" t="str">
            <v>DEBE</v>
          </cell>
          <cell r="E3" t="str">
            <v>HABER</v>
          </cell>
          <cell r="F3" t="str">
            <v>Saldo Actual</v>
          </cell>
        </row>
        <row r="4">
          <cell r="A4" t="str">
            <v>1.000.000.0000</v>
          </cell>
          <cell r="B4" t="str">
            <v>ACTIVO</v>
          </cell>
          <cell r="C4">
            <v>14213602.99</v>
          </cell>
          <cell r="D4">
            <v>16898108.329999998</v>
          </cell>
          <cell r="E4">
            <v>17237068.059999999</v>
          </cell>
          <cell r="F4">
            <v>13874643.26</v>
          </cell>
        </row>
        <row r="5">
          <cell r="A5" t="str">
            <v>1.001.000.0000</v>
          </cell>
          <cell r="B5" t="str">
            <v>CIRCULANTE</v>
          </cell>
          <cell r="C5">
            <v>11242256.1</v>
          </cell>
          <cell r="D5">
            <v>14877440.869999999</v>
          </cell>
          <cell r="E5">
            <v>15074207.92</v>
          </cell>
          <cell r="F5">
            <v>11045489.050000001</v>
          </cell>
        </row>
        <row r="6">
          <cell r="A6" t="str">
            <v>1.001.001.0000</v>
          </cell>
          <cell r="B6" t="str">
            <v>CAJA GENERAL</v>
          </cell>
          <cell r="C6">
            <v>256288.37</v>
          </cell>
          <cell r="D6">
            <v>3307839.16</v>
          </cell>
          <cell r="E6">
            <v>3354134.27</v>
          </cell>
          <cell r="F6">
            <v>209993.26</v>
          </cell>
        </row>
        <row r="7">
          <cell r="A7" t="str">
            <v>1.001.001.0001</v>
          </cell>
          <cell r="B7" t="str">
            <v>Caja General Taller Zona 9</v>
          </cell>
          <cell r="C7">
            <v>229361.01</v>
          </cell>
          <cell r="D7">
            <v>2826421.88</v>
          </cell>
          <cell r="E7">
            <v>2867868.35</v>
          </cell>
          <cell r="F7">
            <v>187914.54</v>
          </cell>
        </row>
        <row r="8">
          <cell r="A8" t="str">
            <v>1.001.001.0003</v>
          </cell>
          <cell r="B8" t="str">
            <v>Caja General Taller Pradera</v>
          </cell>
          <cell r="C8">
            <v>13246.73</v>
          </cell>
          <cell r="D8">
            <v>477850.76</v>
          </cell>
          <cell r="E8">
            <v>483609.3</v>
          </cell>
          <cell r="F8">
            <v>7488.19</v>
          </cell>
        </row>
        <row r="9">
          <cell r="A9" t="str">
            <v>1.001.001.0011</v>
          </cell>
          <cell r="B9" t="str">
            <v>Ingresos a Desglosar</v>
          </cell>
          <cell r="C9">
            <v>0</v>
          </cell>
          <cell r="D9">
            <v>2656.62</v>
          </cell>
          <cell r="E9">
            <v>2656.62</v>
          </cell>
          <cell r="F9">
            <v>0</v>
          </cell>
        </row>
        <row r="10">
          <cell r="A10" t="str">
            <v>1.001.001.0012</v>
          </cell>
          <cell r="B10" t="str">
            <v>Caja Dólares</v>
          </cell>
          <cell r="C10">
            <v>13680.63</v>
          </cell>
          <cell r="D10">
            <v>909.9</v>
          </cell>
          <cell r="F10">
            <v>14590.53</v>
          </cell>
        </row>
        <row r="11">
          <cell r="A11" t="str">
            <v>1.001.002.0000</v>
          </cell>
          <cell r="B11" t="str">
            <v>CAJAS CHICAS</v>
          </cell>
          <cell r="C11">
            <v>26300</v>
          </cell>
          <cell r="F11">
            <v>26300</v>
          </cell>
        </row>
        <row r="12">
          <cell r="A12" t="str">
            <v>1.001.002.0001</v>
          </cell>
          <cell r="B12" t="str">
            <v>Caja Chica Taller Zona 9</v>
          </cell>
          <cell r="C12">
            <v>8500</v>
          </cell>
          <cell r="F12">
            <v>8500</v>
          </cell>
        </row>
        <row r="13">
          <cell r="A13" t="str">
            <v>1.001.002.0003</v>
          </cell>
          <cell r="B13" t="str">
            <v>Caja Chica Fondo Gerencia</v>
          </cell>
          <cell r="C13">
            <v>2000</v>
          </cell>
          <cell r="F13">
            <v>2000</v>
          </cell>
        </row>
        <row r="14">
          <cell r="A14" t="str">
            <v>1.001.002.0004</v>
          </cell>
          <cell r="B14" t="str">
            <v>Caja Chica Taller Pradera</v>
          </cell>
          <cell r="C14">
            <v>5000</v>
          </cell>
          <cell r="F14">
            <v>5000</v>
          </cell>
        </row>
        <row r="15">
          <cell r="A15" t="str">
            <v>1.001.002.0005</v>
          </cell>
          <cell r="B15" t="str">
            <v>Caja Chica Fondo Pradera</v>
          </cell>
          <cell r="C15">
            <v>500</v>
          </cell>
          <cell r="F15">
            <v>500</v>
          </cell>
        </row>
        <row r="16">
          <cell r="A16" t="str">
            <v>1.001.002.0006</v>
          </cell>
          <cell r="B16" t="str">
            <v>Caja Chica Taller Pintura</v>
          </cell>
          <cell r="C16">
            <v>10000</v>
          </cell>
          <cell r="F16">
            <v>10000</v>
          </cell>
        </row>
        <row r="17">
          <cell r="A17" t="str">
            <v>1.001.002.0015</v>
          </cell>
          <cell r="B17" t="str">
            <v>Caja Chica Contabilidad Zona 11</v>
          </cell>
          <cell r="C17">
            <v>300</v>
          </cell>
          <cell r="F17">
            <v>300</v>
          </cell>
        </row>
        <row r="18">
          <cell r="A18" t="str">
            <v>1.001.004.0000</v>
          </cell>
          <cell r="B18" t="str">
            <v>DEPOSITOS MONETARIOS</v>
          </cell>
          <cell r="C18">
            <v>764613.43</v>
          </cell>
          <cell r="D18">
            <v>5287179.8600000003</v>
          </cell>
          <cell r="E18">
            <v>5556464.9100000001</v>
          </cell>
          <cell r="F18">
            <v>495328.38</v>
          </cell>
        </row>
        <row r="19">
          <cell r="A19" t="str">
            <v>1.001.004.0014</v>
          </cell>
          <cell r="B19" t="str">
            <v>Banco Continental, S.A.</v>
          </cell>
          <cell r="C19">
            <v>0</v>
          </cell>
          <cell r="D19">
            <v>4260425.3899999997</v>
          </cell>
          <cell r="E19">
            <v>3872800.14</v>
          </cell>
          <cell r="F19">
            <v>387625.25</v>
          </cell>
        </row>
        <row r="20">
          <cell r="A20" t="str">
            <v>1.001.004.0016</v>
          </cell>
          <cell r="B20" t="str">
            <v>Transf. Bancarias en Tránsito</v>
          </cell>
          <cell r="C20">
            <v>647265.32999999996</v>
          </cell>
          <cell r="D20">
            <v>348851.02</v>
          </cell>
          <cell r="E20">
            <v>996116.35</v>
          </cell>
          <cell r="F20">
            <v>0</v>
          </cell>
        </row>
        <row r="21">
          <cell r="A21" t="str">
            <v>1.001.004.0020</v>
          </cell>
          <cell r="B21" t="str">
            <v>Banco de América Central</v>
          </cell>
          <cell r="C21">
            <v>93908.02</v>
          </cell>
          <cell r="D21">
            <v>567903.44999999995</v>
          </cell>
          <cell r="E21">
            <v>583408.22</v>
          </cell>
          <cell r="F21">
            <v>78403.25</v>
          </cell>
        </row>
        <row r="22">
          <cell r="A22" t="str">
            <v>1.001.004.0021</v>
          </cell>
          <cell r="B22" t="str">
            <v>Banco de Desarrollo Rural, S.A.</v>
          </cell>
          <cell r="C22">
            <v>23440.080000000002</v>
          </cell>
          <cell r="D22">
            <v>110000</v>
          </cell>
          <cell r="E22">
            <v>104140.2</v>
          </cell>
          <cell r="F22">
            <v>29299.88</v>
          </cell>
        </row>
        <row r="23">
          <cell r="A23" t="str">
            <v>1.001.005.0000</v>
          </cell>
          <cell r="B23" t="str">
            <v>DEPOSITOS DE AHORRO</v>
          </cell>
          <cell r="C23">
            <v>502553.95</v>
          </cell>
          <cell r="D23">
            <v>2474129.46</v>
          </cell>
          <cell r="E23">
            <v>2976683.41</v>
          </cell>
          <cell r="F23">
            <v>0</v>
          </cell>
        </row>
        <row r="24">
          <cell r="A24" t="str">
            <v>1.001.005.0007</v>
          </cell>
          <cell r="B24" t="str">
            <v>Banco Continental, S.A.</v>
          </cell>
          <cell r="C24">
            <v>502553.95</v>
          </cell>
          <cell r="D24">
            <v>2474129.46</v>
          </cell>
          <cell r="E24">
            <v>2976683.41</v>
          </cell>
          <cell r="F24">
            <v>0</v>
          </cell>
        </row>
        <row r="25">
          <cell r="A25" t="str">
            <v>1.001.007.0000</v>
          </cell>
          <cell r="B25" t="str">
            <v>CUENTAS POR COBRAR</v>
          </cell>
          <cell r="C25">
            <v>3301418.84</v>
          </cell>
          <cell r="D25">
            <v>1740307.14</v>
          </cell>
          <cell r="E25">
            <v>1144999.42</v>
          </cell>
          <cell r="F25">
            <v>3896726.56</v>
          </cell>
        </row>
        <row r="26">
          <cell r="A26" t="str">
            <v>1.001.007.0004</v>
          </cell>
          <cell r="B26" t="str">
            <v>Cuentas Por Cobrar Servicios Taller</v>
          </cell>
          <cell r="C26">
            <v>3301418.84</v>
          </cell>
          <cell r="D26">
            <v>1740307.14</v>
          </cell>
          <cell r="E26">
            <v>1144999.42</v>
          </cell>
          <cell r="F26">
            <v>3896726.56</v>
          </cell>
        </row>
        <row r="27">
          <cell r="A27" t="str">
            <v>1.001.008.0000</v>
          </cell>
          <cell r="B27" t="str">
            <v>CUENTAS POR COBRAR EXTERIOR</v>
          </cell>
          <cell r="C27">
            <v>0</v>
          </cell>
          <cell r="D27">
            <v>7950.74</v>
          </cell>
          <cell r="E27">
            <v>7950.74</v>
          </cell>
          <cell r="F27">
            <v>0</v>
          </cell>
        </row>
        <row r="28">
          <cell r="A28" t="str">
            <v>1.001.008.0005</v>
          </cell>
          <cell r="B28" t="str">
            <v>Varios Del Exterior</v>
          </cell>
          <cell r="C28">
            <v>0</v>
          </cell>
          <cell r="D28">
            <v>7950.74</v>
          </cell>
          <cell r="E28">
            <v>7950.74</v>
          </cell>
          <cell r="F28">
            <v>0</v>
          </cell>
        </row>
        <row r="29">
          <cell r="A29" t="str">
            <v>1.001.009.0000</v>
          </cell>
          <cell r="B29" t="str">
            <v>CHEQUES RECHAZADOS</v>
          </cell>
          <cell r="C29">
            <v>35798.629999999997</v>
          </cell>
          <cell r="D29">
            <v>59609.01</v>
          </cell>
          <cell r="E29">
            <v>32513.4</v>
          </cell>
          <cell r="F29">
            <v>62894.239999999998</v>
          </cell>
        </row>
        <row r="30">
          <cell r="A30" t="str">
            <v>1.001.009.0001</v>
          </cell>
          <cell r="B30" t="str">
            <v>Cheques Rechazados Varios</v>
          </cell>
          <cell r="C30">
            <v>35798.629999999997</v>
          </cell>
          <cell r="D30">
            <v>59609.01</v>
          </cell>
          <cell r="E30">
            <v>32513.4</v>
          </cell>
          <cell r="F30">
            <v>62894.239999999998</v>
          </cell>
        </row>
        <row r="31">
          <cell r="A31" t="str">
            <v>1.001.010.0000</v>
          </cell>
          <cell r="B31" t="str">
            <v>CUENTAS POR COBRAR EMP.RELACIONADAS</v>
          </cell>
          <cell r="C31">
            <v>750</v>
          </cell>
          <cell r="E31">
            <v>750</v>
          </cell>
          <cell r="F31">
            <v>0</v>
          </cell>
        </row>
        <row r="32">
          <cell r="A32" t="str">
            <v>1.001.010.0008</v>
          </cell>
          <cell r="B32" t="str">
            <v>Autoexcel</v>
          </cell>
          <cell r="C32">
            <v>750</v>
          </cell>
          <cell r="E32">
            <v>750</v>
          </cell>
          <cell r="F32">
            <v>0</v>
          </cell>
        </row>
        <row r="33">
          <cell r="A33" t="str">
            <v>1.001.011.0000</v>
          </cell>
          <cell r="B33" t="str">
            <v>CUENTAS POR COBRAR AFILIADAS</v>
          </cell>
          <cell r="C33">
            <v>5615604.9500000002</v>
          </cell>
          <cell r="D33">
            <v>1544557.2</v>
          </cell>
          <cell r="E33">
            <v>1512222.79</v>
          </cell>
          <cell r="F33">
            <v>5647939.3600000003</v>
          </cell>
        </row>
        <row r="34">
          <cell r="A34" t="str">
            <v>1.001.011.0001</v>
          </cell>
          <cell r="B34" t="str">
            <v>Cuentas Por Cobrar Central Motríz</v>
          </cell>
          <cell r="C34">
            <v>5615604.9500000002</v>
          </cell>
          <cell r="D34">
            <v>1544557.2</v>
          </cell>
          <cell r="E34">
            <v>1512222.79</v>
          </cell>
          <cell r="F34">
            <v>5647939.3600000003</v>
          </cell>
        </row>
        <row r="35">
          <cell r="A35" t="str">
            <v>1.001.012.0000</v>
          </cell>
          <cell r="B35" t="str">
            <v>CUENTAS POR COBRAR DIVERSAS</v>
          </cell>
          <cell r="C35">
            <v>29818.57</v>
          </cell>
          <cell r="D35">
            <v>90339.9</v>
          </cell>
          <cell r="E35">
            <v>58552.160000000003</v>
          </cell>
          <cell r="F35">
            <v>61606.31</v>
          </cell>
        </row>
        <row r="36">
          <cell r="A36" t="str">
            <v>1.001.012.0001</v>
          </cell>
          <cell r="B36" t="str">
            <v>Credomatic de Guatemala, S.A.</v>
          </cell>
          <cell r="C36">
            <v>17408.3</v>
          </cell>
          <cell r="D36">
            <v>52666.84</v>
          </cell>
          <cell r="E36">
            <v>41502.07</v>
          </cell>
          <cell r="F36">
            <v>28573.07</v>
          </cell>
        </row>
        <row r="37">
          <cell r="A37" t="str">
            <v>1.001.012.0004</v>
          </cell>
          <cell r="B37" t="str">
            <v>Diversas</v>
          </cell>
          <cell r="C37">
            <v>788.24</v>
          </cell>
          <cell r="D37">
            <v>19631.02</v>
          </cell>
          <cell r="F37">
            <v>20419.259999999998</v>
          </cell>
        </row>
        <row r="38">
          <cell r="A38" t="str">
            <v>1.001.012.0005</v>
          </cell>
          <cell r="B38" t="str">
            <v>Intered</v>
          </cell>
          <cell r="C38">
            <v>11622.03</v>
          </cell>
          <cell r="D38">
            <v>18042.04</v>
          </cell>
          <cell r="E38">
            <v>17050.09</v>
          </cell>
          <cell r="F38">
            <v>12613.98</v>
          </cell>
        </row>
        <row r="39">
          <cell r="A39" t="str">
            <v>1.001.013.0000</v>
          </cell>
          <cell r="B39" t="str">
            <v>ANTICIPOS A EMPLEADOS</v>
          </cell>
          <cell r="C39">
            <v>28330.04</v>
          </cell>
          <cell r="D39">
            <v>162927.42000000001</v>
          </cell>
          <cell r="E39">
            <v>144523.68</v>
          </cell>
          <cell r="F39">
            <v>46733.78</v>
          </cell>
        </row>
        <row r="40">
          <cell r="A40" t="str">
            <v>1.001.013.0001</v>
          </cell>
          <cell r="B40" t="str">
            <v>Anticipo Quincenal</v>
          </cell>
          <cell r="C40">
            <v>0</v>
          </cell>
          <cell r="D40">
            <v>138713.25</v>
          </cell>
          <cell r="E40">
            <v>138713.25</v>
          </cell>
          <cell r="F40">
            <v>0</v>
          </cell>
        </row>
        <row r="41">
          <cell r="A41" t="str">
            <v>1.001.013.0002</v>
          </cell>
          <cell r="B41" t="str">
            <v>Anticipos de Sueldos a Empleados</v>
          </cell>
          <cell r="C41">
            <v>28330.04</v>
          </cell>
          <cell r="D41">
            <v>24214.17</v>
          </cell>
          <cell r="E41">
            <v>5810.43</v>
          </cell>
          <cell r="F41">
            <v>46733.78</v>
          </cell>
        </row>
        <row r="42">
          <cell r="A42" t="str">
            <v>1.001.015.0000</v>
          </cell>
          <cell r="B42" t="str">
            <v>IMPUESTOS POR COBRAR</v>
          </cell>
          <cell r="C42">
            <v>661886.35</v>
          </cell>
          <cell r="D42">
            <v>190100.96</v>
          </cell>
          <cell r="E42">
            <v>193059.15</v>
          </cell>
          <cell r="F42">
            <v>658928.16</v>
          </cell>
        </row>
        <row r="43">
          <cell r="A43" t="str">
            <v>1.001.015.0001</v>
          </cell>
          <cell r="B43" t="str">
            <v>IVA Por Cobrar</v>
          </cell>
          <cell r="C43">
            <v>0</v>
          </cell>
          <cell r="D43">
            <v>188702.66</v>
          </cell>
          <cell r="E43">
            <v>188702.66</v>
          </cell>
          <cell r="F43">
            <v>0</v>
          </cell>
        </row>
        <row r="44">
          <cell r="A44" t="str">
            <v>1.001.015.0004</v>
          </cell>
          <cell r="B44" t="str">
            <v>ISR Pagos a Cuenta</v>
          </cell>
          <cell r="C44">
            <v>390836.58</v>
          </cell>
          <cell r="F44">
            <v>390836.58</v>
          </cell>
        </row>
        <row r="45">
          <cell r="A45" t="str">
            <v>1.001.015.0007</v>
          </cell>
          <cell r="B45" t="str">
            <v>IVA Constancias</v>
          </cell>
          <cell r="C45">
            <v>4356.49</v>
          </cell>
          <cell r="D45">
            <v>1398.3</v>
          </cell>
          <cell r="E45">
            <v>4356.49</v>
          </cell>
          <cell r="F45">
            <v>1398.3</v>
          </cell>
        </row>
        <row r="46">
          <cell r="A46" t="str">
            <v>1.001.015.0010</v>
          </cell>
          <cell r="B46" t="str">
            <v>Impto. Empresas Mercantiles 2003</v>
          </cell>
          <cell r="C46">
            <v>266693.28000000003</v>
          </cell>
          <cell r="F46">
            <v>266693.28000000003</v>
          </cell>
        </row>
        <row r="47">
          <cell r="A47" t="str">
            <v>1.001.020.0000</v>
          </cell>
          <cell r="B47" t="str">
            <v>PREVISION CTAS.RECUPERACION DUDOSA</v>
          </cell>
          <cell r="C47">
            <v>-53658.06</v>
          </cell>
          <cell r="E47">
            <v>7302.94</v>
          </cell>
          <cell r="F47">
            <v>-60961</v>
          </cell>
        </row>
        <row r="48">
          <cell r="A48" t="str">
            <v>1.001.020.0001</v>
          </cell>
          <cell r="B48" t="str">
            <v>Previsión Ctas.Incobrables (Prov.)</v>
          </cell>
          <cell r="C48">
            <v>-53658.06</v>
          </cell>
          <cell r="E48">
            <v>7302.94</v>
          </cell>
          <cell r="F48">
            <v>-60961</v>
          </cell>
        </row>
        <row r="49">
          <cell r="A49" t="str">
            <v>1.001.025.0000</v>
          </cell>
          <cell r="B49" t="str">
            <v>GASTOS ANTICIPADOS</v>
          </cell>
          <cell r="C49">
            <v>72551.03</v>
          </cell>
          <cell r="D49">
            <v>12500.02</v>
          </cell>
          <cell r="E49">
            <v>85051.05</v>
          </cell>
          <cell r="F49">
            <v>0</v>
          </cell>
        </row>
        <row r="50">
          <cell r="A50" t="str">
            <v>1.001.025.0001</v>
          </cell>
          <cell r="B50" t="str">
            <v>Gastos Anticipados</v>
          </cell>
          <cell r="C50">
            <v>72551.03</v>
          </cell>
          <cell r="D50">
            <v>12500.02</v>
          </cell>
          <cell r="E50">
            <v>85051.05</v>
          </cell>
          <cell r="F50">
            <v>0</v>
          </cell>
        </row>
        <row r="51">
          <cell r="A51" t="str">
            <v>1.002.000.0000</v>
          </cell>
          <cell r="B51" t="str">
            <v>INVENTARIOS</v>
          </cell>
          <cell r="C51">
            <v>1090192.45</v>
          </cell>
          <cell r="D51">
            <v>1965930.32</v>
          </cell>
          <cell r="E51">
            <v>1949061.31</v>
          </cell>
          <cell r="F51">
            <v>1107061.46</v>
          </cell>
        </row>
        <row r="52">
          <cell r="A52" t="str">
            <v>1.002.001.0000</v>
          </cell>
          <cell r="B52" t="str">
            <v>INVENTARIO DE REPUESTOS</v>
          </cell>
          <cell r="C52">
            <v>467376.83</v>
          </cell>
          <cell r="D52">
            <v>1363164.45</v>
          </cell>
          <cell r="E52">
            <v>1301500.3700000001</v>
          </cell>
          <cell r="F52">
            <v>529040.91</v>
          </cell>
        </row>
        <row r="53">
          <cell r="A53" t="str">
            <v>1.002.001.0001</v>
          </cell>
          <cell r="B53" t="str">
            <v>Inventario Repuestos MMC Tívoli</v>
          </cell>
          <cell r="C53">
            <v>0</v>
          </cell>
          <cell r="D53">
            <v>642368.43999999994</v>
          </cell>
          <cell r="E53">
            <v>642368.43999999994</v>
          </cell>
          <cell r="F53">
            <v>0</v>
          </cell>
        </row>
        <row r="54">
          <cell r="A54" t="str">
            <v>1.002.001.0002</v>
          </cell>
          <cell r="B54" t="str">
            <v>Inventario Repuestos MMC Pradera</v>
          </cell>
          <cell r="C54">
            <v>0</v>
          </cell>
          <cell r="D54">
            <v>173335.1</v>
          </cell>
          <cell r="E54">
            <v>173335.1</v>
          </cell>
          <cell r="F54">
            <v>0</v>
          </cell>
        </row>
        <row r="55">
          <cell r="A55" t="str">
            <v>1.002.001.0005</v>
          </cell>
          <cell r="B55" t="str">
            <v>Inventario de Mats Diversos Pintura</v>
          </cell>
          <cell r="C55">
            <v>186063.57</v>
          </cell>
          <cell r="D55">
            <v>80798.73</v>
          </cell>
          <cell r="E55">
            <v>49098.07</v>
          </cell>
          <cell r="F55">
            <v>217764.23</v>
          </cell>
        </row>
        <row r="56">
          <cell r="A56" t="str">
            <v>1.002.001.0006</v>
          </cell>
          <cell r="B56" t="str">
            <v>Inventario de Mats Diversos Tívoli</v>
          </cell>
          <cell r="C56">
            <v>173087.26</v>
          </cell>
          <cell r="D56">
            <v>68593.63</v>
          </cell>
          <cell r="E56">
            <v>43673.42</v>
          </cell>
          <cell r="F56">
            <v>198007.47</v>
          </cell>
        </row>
        <row r="57">
          <cell r="A57" t="str">
            <v>1.002.001.0007</v>
          </cell>
          <cell r="B57" t="str">
            <v>Inventario de Mats Diversos Pradera</v>
          </cell>
          <cell r="C57">
            <v>108226</v>
          </cell>
          <cell r="D57">
            <v>37153.21</v>
          </cell>
          <cell r="E57">
            <v>32110</v>
          </cell>
          <cell r="F57">
            <v>113269.21</v>
          </cell>
        </row>
        <row r="58">
          <cell r="A58" t="str">
            <v>1.002.001.0008</v>
          </cell>
          <cell r="B58" t="str">
            <v>Invent.Combustib/Lubricantes Tívoli</v>
          </cell>
          <cell r="C58">
            <v>0</v>
          </cell>
          <cell r="D58">
            <v>134604.78</v>
          </cell>
          <cell r="E58">
            <v>134604.78</v>
          </cell>
          <cell r="F58">
            <v>0</v>
          </cell>
        </row>
        <row r="59">
          <cell r="A59" t="str">
            <v>1.002.001.0009</v>
          </cell>
          <cell r="B59" t="str">
            <v>Invent.Combustib/Lubricant Pradera</v>
          </cell>
          <cell r="C59">
            <v>0</v>
          </cell>
          <cell r="D59">
            <v>32529.17</v>
          </cell>
          <cell r="E59">
            <v>32529.17</v>
          </cell>
          <cell r="F59">
            <v>0</v>
          </cell>
        </row>
        <row r="60">
          <cell r="A60" t="str">
            <v>1.002.001.0010</v>
          </cell>
          <cell r="B60" t="str">
            <v>Inventario Limpieza/Cafet Tívoli</v>
          </cell>
          <cell r="C60">
            <v>0</v>
          </cell>
          <cell r="D60">
            <v>10366.33</v>
          </cell>
          <cell r="E60">
            <v>10366.33</v>
          </cell>
          <cell r="F60">
            <v>0</v>
          </cell>
        </row>
        <row r="61">
          <cell r="A61" t="str">
            <v>1.002.001.0011</v>
          </cell>
          <cell r="B61" t="str">
            <v>Inventario Limpieza/Cafet Pradera</v>
          </cell>
          <cell r="C61">
            <v>0</v>
          </cell>
          <cell r="D61">
            <v>2333.5100000000002</v>
          </cell>
          <cell r="E61">
            <v>2333.5100000000002</v>
          </cell>
          <cell r="F61">
            <v>0</v>
          </cell>
        </row>
        <row r="62">
          <cell r="A62" t="str">
            <v>1.002.001.0012</v>
          </cell>
          <cell r="B62" t="str">
            <v>Inventario Reptos MMC Ender/Pintura</v>
          </cell>
          <cell r="C62">
            <v>0</v>
          </cell>
          <cell r="D62">
            <v>181081.55</v>
          </cell>
          <cell r="E62">
            <v>181081.55</v>
          </cell>
          <cell r="F62">
            <v>0</v>
          </cell>
        </row>
        <row r="63">
          <cell r="A63" t="str">
            <v>1.002.004.0000</v>
          </cell>
          <cell r="B63" t="str">
            <v>MERCADERIAS EN CAMINO</v>
          </cell>
          <cell r="C63">
            <v>203.57</v>
          </cell>
          <cell r="E63">
            <v>203.57</v>
          </cell>
          <cell r="F63">
            <v>0</v>
          </cell>
        </row>
        <row r="64">
          <cell r="A64" t="str">
            <v>1.002.004.0001</v>
          </cell>
          <cell r="B64" t="str">
            <v>Mercaderías en Camino Varias</v>
          </cell>
          <cell r="C64">
            <v>203.57</v>
          </cell>
          <cell r="E64">
            <v>203.57</v>
          </cell>
          <cell r="F64">
            <v>0</v>
          </cell>
        </row>
        <row r="65">
          <cell r="A65" t="str">
            <v>1.002.006.0000</v>
          </cell>
          <cell r="B65" t="str">
            <v>INVENTARIOS EN PROCESO TIVOLI</v>
          </cell>
          <cell r="C65">
            <v>622612.05000000005</v>
          </cell>
          <cell r="D65">
            <v>602765.87</v>
          </cell>
          <cell r="E65">
            <v>647357.37</v>
          </cell>
          <cell r="F65">
            <v>578020.55000000005</v>
          </cell>
        </row>
        <row r="66">
          <cell r="A66" t="str">
            <v>1.002.006.0001</v>
          </cell>
          <cell r="B66" t="str">
            <v>Invent.Reptos Mitsubishi en Proceso</v>
          </cell>
          <cell r="C66">
            <v>383512.08</v>
          </cell>
          <cell r="D66">
            <v>349006.65</v>
          </cell>
          <cell r="E66">
            <v>383512.08</v>
          </cell>
          <cell r="F66">
            <v>349006.65</v>
          </cell>
        </row>
        <row r="67">
          <cell r="A67" t="str">
            <v>1.002.006.0002</v>
          </cell>
          <cell r="B67" t="str">
            <v>Invent.Reptos Ajenos en Proceso</v>
          </cell>
          <cell r="C67">
            <v>55666.67</v>
          </cell>
          <cell r="D67">
            <v>55342.81</v>
          </cell>
          <cell r="E67">
            <v>76210.36</v>
          </cell>
          <cell r="F67">
            <v>34799.120000000003</v>
          </cell>
        </row>
        <row r="68">
          <cell r="A68" t="str">
            <v>1.002.006.0003</v>
          </cell>
          <cell r="B68" t="str">
            <v>Invent.Comb/Lubric. en Proceso</v>
          </cell>
          <cell r="C68">
            <v>20468.37</v>
          </cell>
          <cell r="E68">
            <v>8676.1299999999992</v>
          </cell>
          <cell r="F68">
            <v>11792.24</v>
          </cell>
        </row>
        <row r="69">
          <cell r="A69" t="str">
            <v>1.002.006.0004</v>
          </cell>
          <cell r="B69" t="str">
            <v>Invent.Mano de Obra en Proceso</v>
          </cell>
          <cell r="C69">
            <v>135174</v>
          </cell>
          <cell r="D69">
            <v>146543.94</v>
          </cell>
          <cell r="E69">
            <v>135174</v>
          </cell>
          <cell r="F69">
            <v>146543.94</v>
          </cell>
        </row>
        <row r="70">
          <cell r="A70" t="str">
            <v>1.002.006.0005</v>
          </cell>
          <cell r="B70" t="str">
            <v>Invent.Trabajos Externos en Proceso</v>
          </cell>
          <cell r="C70">
            <v>20104.11</v>
          </cell>
          <cell r="D70">
            <v>51872.47</v>
          </cell>
          <cell r="E70">
            <v>41039.33</v>
          </cell>
          <cell r="F70">
            <v>30937.25</v>
          </cell>
        </row>
        <row r="71">
          <cell r="A71" t="str">
            <v>1.002.006.0012</v>
          </cell>
          <cell r="B71" t="str">
            <v>Invent.Mats.Div.End/Pint en Proceso</v>
          </cell>
          <cell r="C71">
            <v>7686.82</v>
          </cell>
          <cell r="E71">
            <v>2745.47</v>
          </cell>
          <cell r="F71">
            <v>4941.3500000000004</v>
          </cell>
        </row>
        <row r="72">
          <cell r="A72" t="str">
            <v>1.003.000.0000</v>
          </cell>
          <cell r="B72" t="str">
            <v>FIJO</v>
          </cell>
          <cell r="C72">
            <v>5998759.8499999996</v>
          </cell>
          <cell r="D72">
            <v>1607.14</v>
          </cell>
          <cell r="E72">
            <v>156700</v>
          </cell>
          <cell r="F72">
            <v>5843666.9900000002</v>
          </cell>
        </row>
        <row r="73">
          <cell r="A73" t="str">
            <v>1.003.001.0000</v>
          </cell>
          <cell r="B73" t="str">
            <v>INVERSIONES EN ACCIONES</v>
          </cell>
          <cell r="C73">
            <v>32625</v>
          </cell>
          <cell r="F73">
            <v>32625</v>
          </cell>
        </row>
        <row r="74">
          <cell r="A74" t="str">
            <v>1.003.001.0001</v>
          </cell>
          <cell r="B74" t="str">
            <v>Equipos Comerciales, S.A.</v>
          </cell>
          <cell r="C74">
            <v>32525</v>
          </cell>
          <cell r="F74">
            <v>32525</v>
          </cell>
        </row>
        <row r="75">
          <cell r="A75" t="str">
            <v>1.003.001.0002</v>
          </cell>
          <cell r="B75" t="str">
            <v>Servitalleres, S.A.</v>
          </cell>
          <cell r="C75">
            <v>100</v>
          </cell>
          <cell r="F75">
            <v>100</v>
          </cell>
        </row>
        <row r="76">
          <cell r="A76" t="str">
            <v>1.003.004.0000</v>
          </cell>
          <cell r="B76" t="str">
            <v>MEJORAS A EDIFICIOS</v>
          </cell>
          <cell r="C76">
            <v>42972.37</v>
          </cell>
          <cell r="F76">
            <v>42972.37</v>
          </cell>
        </row>
        <row r="77">
          <cell r="A77" t="str">
            <v>1.003.004.0001</v>
          </cell>
          <cell r="B77" t="str">
            <v>Aguilar Batres Zona 11</v>
          </cell>
          <cell r="C77">
            <v>26427.58</v>
          </cell>
          <cell r="F77">
            <v>26427.58</v>
          </cell>
        </row>
        <row r="78">
          <cell r="A78" t="str">
            <v>1.003.004.0002</v>
          </cell>
          <cell r="B78" t="str">
            <v>Taller Zona 9</v>
          </cell>
          <cell r="C78">
            <v>16544.79</v>
          </cell>
          <cell r="F78">
            <v>16544.79</v>
          </cell>
        </row>
        <row r="79">
          <cell r="A79" t="str">
            <v>1.003.005.0000</v>
          </cell>
          <cell r="B79" t="str">
            <v>MOBILIARIO Y EQUIPO</v>
          </cell>
          <cell r="C79">
            <v>1599515.4</v>
          </cell>
          <cell r="F79">
            <v>1599515.4</v>
          </cell>
        </row>
        <row r="80">
          <cell r="A80" t="str">
            <v>1.003.005.0001</v>
          </cell>
          <cell r="B80" t="str">
            <v>Mobiliario y Equipo Taller Zona 9</v>
          </cell>
          <cell r="C80">
            <v>1005056.44</v>
          </cell>
          <cell r="F80">
            <v>1005056.44</v>
          </cell>
        </row>
        <row r="81">
          <cell r="A81" t="str">
            <v>1.003.005.0002</v>
          </cell>
          <cell r="B81" t="str">
            <v>Mobiliario y Equipo Repuestos</v>
          </cell>
          <cell r="C81">
            <v>10049.86</v>
          </cell>
          <cell r="F81">
            <v>10049.86</v>
          </cell>
        </row>
        <row r="82">
          <cell r="A82" t="str">
            <v>1.003.005.0004</v>
          </cell>
          <cell r="B82" t="str">
            <v>Mob.y Equipo Dirección-Gerencia</v>
          </cell>
          <cell r="C82">
            <v>44922.06</v>
          </cell>
          <cell r="F82">
            <v>44922.06</v>
          </cell>
        </row>
        <row r="83">
          <cell r="A83" t="str">
            <v>1.003.005.0005</v>
          </cell>
          <cell r="B83" t="str">
            <v>Mobiliario y Equipo Contabilidad</v>
          </cell>
          <cell r="C83">
            <v>17777.009999999998</v>
          </cell>
          <cell r="F83">
            <v>17777.009999999998</v>
          </cell>
        </row>
        <row r="84">
          <cell r="A84" t="str">
            <v>1.003.005.0007</v>
          </cell>
          <cell r="B84" t="str">
            <v>Mobiliario y Equipo Administración</v>
          </cell>
          <cell r="C84">
            <v>130371.96</v>
          </cell>
          <cell r="F84">
            <v>130371.96</v>
          </cell>
        </row>
        <row r="85">
          <cell r="A85" t="str">
            <v>1.003.005.0008</v>
          </cell>
          <cell r="B85" t="str">
            <v>Mobiliario y Equipo Cómputos</v>
          </cell>
          <cell r="C85">
            <v>256969.4</v>
          </cell>
          <cell r="F85">
            <v>256969.4</v>
          </cell>
        </row>
        <row r="86">
          <cell r="A86" t="str">
            <v>1.003.005.0011</v>
          </cell>
          <cell r="B86" t="str">
            <v>Mobiliario y Equipo Taller Pradera</v>
          </cell>
          <cell r="C86">
            <v>134368.67000000001</v>
          </cell>
          <cell r="F86">
            <v>134368.67000000001</v>
          </cell>
        </row>
        <row r="87">
          <cell r="A87" t="str">
            <v>1.003.006.0000</v>
          </cell>
          <cell r="B87" t="str">
            <v>EQUIPO DE COMPUTACION</v>
          </cell>
          <cell r="C87">
            <v>534807.62</v>
          </cell>
          <cell r="F87">
            <v>534807.62</v>
          </cell>
        </row>
        <row r="88">
          <cell r="A88" t="str">
            <v>1.003.006.0001</v>
          </cell>
          <cell r="B88" t="str">
            <v>Equipo Computación Taller Zona 9</v>
          </cell>
          <cell r="C88">
            <v>530454.43999999994</v>
          </cell>
          <cell r="F88">
            <v>530454.43999999994</v>
          </cell>
        </row>
        <row r="89">
          <cell r="A89" t="str">
            <v>1.003.006.0002</v>
          </cell>
          <cell r="B89" t="str">
            <v>Equipo Computación Pradera</v>
          </cell>
          <cell r="C89">
            <v>4353.18</v>
          </cell>
          <cell r="F89">
            <v>4353.18</v>
          </cell>
        </row>
        <row r="90">
          <cell r="A90" t="str">
            <v>1.003.007.0000</v>
          </cell>
          <cell r="B90" t="str">
            <v>VEHICULOS</v>
          </cell>
          <cell r="C90">
            <v>1078029.72</v>
          </cell>
          <cell r="E90">
            <v>156700</v>
          </cell>
          <cell r="F90">
            <v>921329.72</v>
          </cell>
        </row>
        <row r="91">
          <cell r="A91" t="str">
            <v>1.003.007.0001</v>
          </cell>
          <cell r="B91" t="str">
            <v>Vehículos Taller Zona 9</v>
          </cell>
          <cell r="C91">
            <v>1078029.72</v>
          </cell>
          <cell r="E91">
            <v>156700</v>
          </cell>
          <cell r="F91">
            <v>921329.72</v>
          </cell>
        </row>
        <row r="92">
          <cell r="A92" t="str">
            <v>1.003.008.0000</v>
          </cell>
          <cell r="B92" t="str">
            <v>MAQUINARIA Y EQUIPO</v>
          </cell>
          <cell r="C92">
            <v>1858859.4</v>
          </cell>
          <cell r="F92">
            <v>1858859.4</v>
          </cell>
        </row>
        <row r="93">
          <cell r="A93" t="str">
            <v>1.003.008.0001</v>
          </cell>
          <cell r="B93" t="str">
            <v>Maquinaria y Equipo Taller Zona 9</v>
          </cell>
          <cell r="C93">
            <v>1448350.41</v>
          </cell>
          <cell r="F93">
            <v>1448350.41</v>
          </cell>
        </row>
        <row r="94">
          <cell r="A94" t="str">
            <v>1.003.008.0002</v>
          </cell>
          <cell r="B94" t="str">
            <v>Maquinaria y Equipo Pradera</v>
          </cell>
          <cell r="C94">
            <v>410508.99</v>
          </cell>
          <cell r="F94">
            <v>410508.99</v>
          </cell>
        </row>
        <row r="95">
          <cell r="A95" t="str">
            <v>1.003.009.0000</v>
          </cell>
          <cell r="B95" t="str">
            <v>HERRAMIENTAS</v>
          </cell>
          <cell r="C95">
            <v>851950.34</v>
          </cell>
          <cell r="D95">
            <v>1607.14</v>
          </cell>
          <cell r="F95">
            <v>853557.48</v>
          </cell>
        </row>
        <row r="96">
          <cell r="A96" t="str">
            <v>1.003.009.0001</v>
          </cell>
          <cell r="B96" t="str">
            <v>Herramientas Taller Zona 9</v>
          </cell>
          <cell r="C96">
            <v>817885.27</v>
          </cell>
          <cell r="D96">
            <v>1607.14</v>
          </cell>
          <cell r="F96">
            <v>819492.41</v>
          </cell>
        </row>
        <row r="97">
          <cell r="A97" t="str">
            <v>1.003.009.0002</v>
          </cell>
          <cell r="B97" t="str">
            <v>Herramientas Pradera</v>
          </cell>
          <cell r="C97">
            <v>34065.07</v>
          </cell>
          <cell r="F97">
            <v>34065.07</v>
          </cell>
        </row>
        <row r="98">
          <cell r="A98" t="str">
            <v>1.004.000.0000</v>
          </cell>
          <cell r="B98" t="str">
            <v>DEPRECIACION ACUMULADA</v>
          </cell>
          <cell r="C98">
            <v>-4121981.25</v>
          </cell>
          <cell r="D98">
            <v>53130</v>
          </cell>
          <cell r="E98">
            <v>57098.83</v>
          </cell>
          <cell r="F98">
            <v>-4125950.08</v>
          </cell>
        </row>
        <row r="99">
          <cell r="A99" t="str">
            <v>1.004.002.0000</v>
          </cell>
          <cell r="B99" t="str">
            <v>DEPREC.ACUM. MEJORAS A EDIFICIOS</v>
          </cell>
          <cell r="C99">
            <v>-42972.37</v>
          </cell>
          <cell r="F99">
            <v>-42972.37</v>
          </cell>
        </row>
        <row r="100">
          <cell r="A100" t="str">
            <v>1.004.002.0001</v>
          </cell>
          <cell r="B100" t="str">
            <v>Dep.Acum.Mej.Edif.Aguilar Batres</v>
          </cell>
          <cell r="C100">
            <v>-26427.58</v>
          </cell>
          <cell r="F100">
            <v>-26427.58</v>
          </cell>
        </row>
        <row r="101">
          <cell r="A101" t="str">
            <v>1.004.002.0002</v>
          </cell>
          <cell r="B101" t="str">
            <v>Dep.Acum.Mej.Edif.Taller Zona 9</v>
          </cell>
          <cell r="C101">
            <v>-16544.79</v>
          </cell>
          <cell r="F101">
            <v>-16544.79</v>
          </cell>
        </row>
        <row r="102">
          <cell r="A102" t="str">
            <v>1.004.003.0000</v>
          </cell>
          <cell r="B102" t="str">
            <v>DEP.ACUMULADA MOBILIARIO Y EQUIPO</v>
          </cell>
          <cell r="C102">
            <v>-1377510.64</v>
          </cell>
          <cell r="E102">
            <v>10176.629999999999</v>
          </cell>
          <cell r="F102">
            <v>-1387687.27</v>
          </cell>
        </row>
        <row r="103">
          <cell r="A103" t="str">
            <v>1.004.003.0001</v>
          </cell>
          <cell r="B103" t="str">
            <v>Dep.Acum.Mob.y Equipo Taller Zona 9</v>
          </cell>
          <cell r="C103">
            <v>-1046081.24</v>
          </cell>
          <cell r="E103">
            <v>5088.3100000000004</v>
          </cell>
          <cell r="F103">
            <v>-1051169.55</v>
          </cell>
        </row>
        <row r="104">
          <cell r="A104" t="str">
            <v>1.004.003.0002</v>
          </cell>
          <cell r="B104" t="str">
            <v>Dep.Acum.Mob.y Equipo Repuestos</v>
          </cell>
          <cell r="C104">
            <v>-10049.86</v>
          </cell>
          <cell r="F104">
            <v>-10049.86</v>
          </cell>
        </row>
        <row r="105">
          <cell r="A105" t="str">
            <v>1.004.003.0007</v>
          </cell>
          <cell r="B105" t="str">
            <v>Dep.Acum.Mob.y Equipo Admón.</v>
          </cell>
          <cell r="C105">
            <v>-130371.96</v>
          </cell>
          <cell r="F105">
            <v>-130371.96</v>
          </cell>
        </row>
        <row r="106">
          <cell r="A106" t="str">
            <v>1.004.003.0010</v>
          </cell>
          <cell r="B106" t="str">
            <v>Dep.Acum.Mob.y Equipo Varios</v>
          </cell>
          <cell r="C106">
            <v>-54815.4</v>
          </cell>
          <cell r="F106">
            <v>-54815.4</v>
          </cell>
        </row>
        <row r="107">
          <cell r="A107" t="str">
            <v>1.004.003.0011</v>
          </cell>
          <cell r="B107" t="str">
            <v>Dep.Acum.Mob.y Equipo Pradera</v>
          </cell>
          <cell r="C107">
            <v>-136192.18</v>
          </cell>
          <cell r="E107">
            <v>5088.32</v>
          </cell>
          <cell r="F107">
            <v>-141280.5</v>
          </cell>
        </row>
        <row r="108">
          <cell r="A108" t="str">
            <v>1.004.004.0000</v>
          </cell>
          <cell r="B108" t="str">
            <v>DEP.ACUMULADA EQUIPO DE COMPUTACION</v>
          </cell>
          <cell r="C108">
            <v>-226708.78</v>
          </cell>
          <cell r="E108">
            <v>1803.25</v>
          </cell>
          <cell r="F108">
            <v>-228512.03</v>
          </cell>
        </row>
        <row r="109">
          <cell r="A109" t="str">
            <v>1.004.004.0001</v>
          </cell>
          <cell r="B109" t="str">
            <v>Dep.Acum.Eq.Computación Taller Z.9</v>
          </cell>
          <cell r="C109">
            <v>-226708.78</v>
          </cell>
          <cell r="E109">
            <v>1803.25</v>
          </cell>
          <cell r="F109">
            <v>-228512.03</v>
          </cell>
        </row>
        <row r="110">
          <cell r="A110" t="str">
            <v>1.004.005.0000</v>
          </cell>
          <cell r="B110" t="str">
            <v>DEP.ACUMULADA VEHICULOS</v>
          </cell>
          <cell r="C110">
            <v>-289553.2</v>
          </cell>
          <cell r="D110">
            <v>53130</v>
          </cell>
          <cell r="E110">
            <v>17481.89</v>
          </cell>
          <cell r="F110">
            <v>-253905.09</v>
          </cell>
        </row>
        <row r="111">
          <cell r="A111" t="str">
            <v>1.004.005.0001</v>
          </cell>
          <cell r="B111" t="str">
            <v>Dep.Acum.Vehículos Taller Zona 9</v>
          </cell>
          <cell r="C111">
            <v>-289553.2</v>
          </cell>
          <cell r="D111">
            <v>53130</v>
          </cell>
          <cell r="E111">
            <v>17481.89</v>
          </cell>
          <cell r="F111">
            <v>-253905.09</v>
          </cell>
        </row>
        <row r="112">
          <cell r="A112" t="str">
            <v>1.004.006.0000</v>
          </cell>
          <cell r="B112" t="str">
            <v>DEP.ACUMULADA MAQUINARIA Y EQUIPO</v>
          </cell>
          <cell r="C112">
            <v>-1476495.21</v>
          </cell>
          <cell r="E112">
            <v>20183.419999999998</v>
          </cell>
          <cell r="F112">
            <v>-1496678.63</v>
          </cell>
        </row>
        <row r="113">
          <cell r="A113" t="str">
            <v>1.004.006.0001</v>
          </cell>
          <cell r="B113" t="str">
            <v>Dep.Acum.Maq.y Equipo Taller Zona 9</v>
          </cell>
          <cell r="C113">
            <v>-1117051.5900000001</v>
          </cell>
          <cell r="E113">
            <v>10091.709999999999</v>
          </cell>
          <cell r="F113">
            <v>-1127143.3</v>
          </cell>
        </row>
        <row r="114">
          <cell r="A114" t="str">
            <v>1.004.006.0002</v>
          </cell>
          <cell r="B114" t="str">
            <v>Dep.Acum.Maq.y Equipo Pradera</v>
          </cell>
          <cell r="C114">
            <v>-359443.62</v>
          </cell>
          <cell r="E114">
            <v>10091.709999999999</v>
          </cell>
          <cell r="F114">
            <v>-369535.33</v>
          </cell>
        </row>
        <row r="115">
          <cell r="A115" t="str">
            <v>1.004.007.0000</v>
          </cell>
          <cell r="B115" t="str">
            <v>DEPREC.ACUMULADA HERRAMIENTAS</v>
          </cell>
          <cell r="C115">
            <v>-708741.05</v>
          </cell>
          <cell r="E115">
            <v>7453.64</v>
          </cell>
          <cell r="F115">
            <v>-716194.69</v>
          </cell>
        </row>
        <row r="116">
          <cell r="A116" t="str">
            <v>1.004.007.0001</v>
          </cell>
          <cell r="B116" t="str">
            <v>Dep.Acum.Herramientas Taller Zona 9</v>
          </cell>
          <cell r="C116">
            <v>-613118.29</v>
          </cell>
          <cell r="E116">
            <v>3726.82</v>
          </cell>
          <cell r="F116">
            <v>-616845.11</v>
          </cell>
        </row>
        <row r="117">
          <cell r="A117" t="str">
            <v>1.004.007.0002</v>
          </cell>
          <cell r="B117" t="str">
            <v>Dep.Acum.Herramientas Pradera</v>
          </cell>
          <cell r="C117">
            <v>-95622.76</v>
          </cell>
          <cell r="E117">
            <v>3726.82</v>
          </cell>
          <cell r="F117">
            <v>-99349.58</v>
          </cell>
        </row>
        <row r="118">
          <cell r="A118" t="str">
            <v>1.006.000.0000</v>
          </cell>
          <cell r="B118" t="str">
            <v>DEPOSITOS</v>
          </cell>
          <cell r="C118">
            <v>1953</v>
          </cell>
          <cell r="F118">
            <v>1953</v>
          </cell>
        </row>
        <row r="119">
          <cell r="A119" t="str">
            <v>1.006.001.0000</v>
          </cell>
          <cell r="B119" t="str">
            <v>DEPOSITOS</v>
          </cell>
          <cell r="C119">
            <v>1953</v>
          </cell>
          <cell r="F119">
            <v>1953</v>
          </cell>
        </row>
        <row r="120">
          <cell r="A120" t="str">
            <v>1.006.001.0001</v>
          </cell>
          <cell r="B120" t="str">
            <v>Depósitos Empresa Eléctrica</v>
          </cell>
          <cell r="C120">
            <v>897</v>
          </cell>
          <cell r="F120">
            <v>897</v>
          </cell>
        </row>
        <row r="121">
          <cell r="A121" t="str">
            <v>1.006.001.0002</v>
          </cell>
          <cell r="B121" t="str">
            <v>Depósitos Arrendamiento Teléfonos</v>
          </cell>
          <cell r="C121">
            <v>856</v>
          </cell>
          <cell r="F121">
            <v>856</v>
          </cell>
        </row>
        <row r="122">
          <cell r="A122" t="str">
            <v>1.006.001.0003</v>
          </cell>
          <cell r="B122" t="str">
            <v>Depósitos Varios</v>
          </cell>
          <cell r="C122">
            <v>200</v>
          </cell>
          <cell r="F122">
            <v>200</v>
          </cell>
        </row>
        <row r="123">
          <cell r="A123" t="str">
            <v>1.007.000.0000</v>
          </cell>
          <cell r="B123" t="str">
            <v>LIBROS DE CONSULTA</v>
          </cell>
          <cell r="C123">
            <v>2380.9499999999998</v>
          </cell>
          <cell r="F123">
            <v>2380.9499999999998</v>
          </cell>
        </row>
        <row r="124">
          <cell r="A124" t="str">
            <v>1.007.001.0000</v>
          </cell>
          <cell r="B124" t="str">
            <v>LIBROS DE CONSULTA</v>
          </cell>
          <cell r="C124">
            <v>2380.9499999999998</v>
          </cell>
          <cell r="F124">
            <v>2380.9499999999998</v>
          </cell>
        </row>
        <row r="125">
          <cell r="A125" t="str">
            <v>1.007.001.0001</v>
          </cell>
          <cell r="B125" t="str">
            <v>Libros de Consulta</v>
          </cell>
          <cell r="C125">
            <v>2380.9499999999998</v>
          </cell>
          <cell r="F125">
            <v>2380.9499999999998</v>
          </cell>
        </row>
        <row r="126">
          <cell r="A126" t="str">
            <v>1.008.000.0000</v>
          </cell>
          <cell r="B126" t="str">
            <v>GASTOS DE ORGANIZACION</v>
          </cell>
          <cell r="C126">
            <v>5705.1</v>
          </cell>
          <cell r="F126">
            <v>5705.1</v>
          </cell>
        </row>
        <row r="127">
          <cell r="A127" t="str">
            <v>1.008.001.0000</v>
          </cell>
          <cell r="B127" t="str">
            <v>GASTOS DE ORGANIZACION</v>
          </cell>
          <cell r="C127">
            <v>5705.1</v>
          </cell>
          <cell r="F127">
            <v>5705.1</v>
          </cell>
        </row>
        <row r="128">
          <cell r="A128" t="str">
            <v>1.008.001.0001</v>
          </cell>
          <cell r="B128" t="str">
            <v>Gastos de Organización Varios</v>
          </cell>
          <cell r="C128">
            <v>5705.1</v>
          </cell>
          <cell r="F128">
            <v>5705.1</v>
          </cell>
        </row>
        <row r="129">
          <cell r="A129" t="str">
            <v>1.009.000.0000</v>
          </cell>
          <cell r="B129" t="str">
            <v>AMORTIZACION DE GASTOS</v>
          </cell>
          <cell r="C129">
            <v>-5663.21</v>
          </cell>
          <cell r="F129">
            <v>-5663.21</v>
          </cell>
        </row>
        <row r="130">
          <cell r="A130" t="str">
            <v>1.009.001.0000</v>
          </cell>
          <cell r="B130" t="str">
            <v>AMORTIZACION DE GASTOS</v>
          </cell>
          <cell r="C130">
            <v>-5663.21</v>
          </cell>
          <cell r="F130">
            <v>-5663.21</v>
          </cell>
        </row>
        <row r="131">
          <cell r="A131" t="str">
            <v>1.009.001.0001</v>
          </cell>
          <cell r="B131" t="str">
            <v>Amortiz.Gtos.de Organización</v>
          </cell>
          <cell r="C131">
            <v>-5596.88</v>
          </cell>
          <cell r="F131">
            <v>-5596.88</v>
          </cell>
        </row>
        <row r="132">
          <cell r="A132" t="str">
            <v>1.009.001.0002</v>
          </cell>
          <cell r="B132" t="str">
            <v>Amortización Gtos de Libros</v>
          </cell>
          <cell r="C132">
            <v>-66.33</v>
          </cell>
          <cell r="F132">
            <v>-66.33</v>
          </cell>
        </row>
        <row r="133">
          <cell r="A133" t="str">
            <v>2.000.000.0000</v>
          </cell>
          <cell r="B133" t="str">
            <v>PASIVO</v>
          </cell>
          <cell r="C133">
            <v>-3209797.18</v>
          </cell>
          <cell r="D133">
            <v>4122599.79</v>
          </cell>
          <cell r="E133">
            <v>3356382.97</v>
          </cell>
          <cell r="F133">
            <v>-2443580.36</v>
          </cell>
        </row>
        <row r="134">
          <cell r="A134" t="str">
            <v>2.001.000.0000</v>
          </cell>
          <cell r="B134" t="str">
            <v>CORTO PLAZO</v>
          </cell>
          <cell r="C134">
            <v>-2087380.83</v>
          </cell>
          <cell r="D134">
            <v>4122599.79</v>
          </cell>
          <cell r="E134">
            <v>3301226.01</v>
          </cell>
          <cell r="F134">
            <v>-1266007.05</v>
          </cell>
        </row>
        <row r="135">
          <cell r="A135" t="str">
            <v>2.001.001.0000</v>
          </cell>
          <cell r="B135" t="str">
            <v>CUENTAS Y DOCTOS.POR PAGAR EXTERIOR</v>
          </cell>
          <cell r="C135">
            <v>-855.54</v>
          </cell>
          <cell r="D135">
            <v>1711.08</v>
          </cell>
          <cell r="E135">
            <v>855.54</v>
          </cell>
          <cell r="F135">
            <v>0</v>
          </cell>
        </row>
        <row r="136">
          <cell r="A136" t="str">
            <v>2.001.001.0001</v>
          </cell>
          <cell r="B136" t="str">
            <v>Ctas.X Pagar Varios</v>
          </cell>
          <cell r="C136">
            <v>-855.54</v>
          </cell>
          <cell r="D136">
            <v>1711.08</v>
          </cell>
          <cell r="E136">
            <v>855.54</v>
          </cell>
          <cell r="F136">
            <v>0</v>
          </cell>
        </row>
        <row r="137">
          <cell r="A137" t="str">
            <v>2.001.003.0000</v>
          </cell>
          <cell r="B137" t="str">
            <v>CTAS.X PAGAR EMPRESAS AFILIADAS</v>
          </cell>
          <cell r="C137">
            <v>-359316.43</v>
          </cell>
          <cell r="D137">
            <v>1915824.33</v>
          </cell>
          <cell r="E137">
            <v>1686207.9</v>
          </cell>
          <cell r="F137">
            <v>-129700</v>
          </cell>
        </row>
        <row r="138">
          <cell r="A138" t="str">
            <v>2.001.003.0001</v>
          </cell>
          <cell r="B138" t="str">
            <v>Ctas.X Pagar Central Motríz,S.A.</v>
          </cell>
          <cell r="C138">
            <v>0</v>
          </cell>
          <cell r="D138">
            <v>1547625.82</v>
          </cell>
          <cell r="E138">
            <v>1547625.82</v>
          </cell>
          <cell r="F138">
            <v>0</v>
          </cell>
        </row>
        <row r="139">
          <cell r="A139" t="str">
            <v>2.001.003.0002</v>
          </cell>
          <cell r="B139" t="str">
            <v>Ctas.X Pagar Equipos Comerciales</v>
          </cell>
          <cell r="C139">
            <v>-324576</v>
          </cell>
          <cell r="D139">
            <v>324576</v>
          </cell>
          <cell r="E139">
            <v>129700</v>
          </cell>
          <cell r="F139">
            <v>-129700</v>
          </cell>
        </row>
        <row r="140">
          <cell r="A140" t="str">
            <v>2.001.003.0003</v>
          </cell>
          <cell r="B140" t="str">
            <v>Ctas.X Pagar Servitalleres, S.A.</v>
          </cell>
          <cell r="C140">
            <v>-34740.43</v>
          </cell>
          <cell r="D140">
            <v>43622.51</v>
          </cell>
          <cell r="E140">
            <v>8882.08</v>
          </cell>
          <cell r="F140">
            <v>0</v>
          </cell>
        </row>
        <row r="141">
          <cell r="A141" t="str">
            <v>2.001.004.0000</v>
          </cell>
          <cell r="B141" t="str">
            <v>CUENTAS X PAGAR LOCALES</v>
          </cell>
          <cell r="C141">
            <v>-328479.86</v>
          </cell>
          <cell r="D141">
            <v>643501.48</v>
          </cell>
          <cell r="E141">
            <v>688124</v>
          </cell>
          <cell r="F141">
            <v>-373102.38</v>
          </cell>
        </row>
        <row r="142">
          <cell r="A142" t="str">
            <v>2.001.004.0002</v>
          </cell>
          <cell r="B142" t="str">
            <v>Ctas.X Pagar Asesoría, S.A.</v>
          </cell>
          <cell r="C142">
            <v>-390</v>
          </cell>
          <cell r="F142">
            <v>-390</v>
          </cell>
        </row>
        <row r="143">
          <cell r="A143" t="str">
            <v>2.001.004.0003</v>
          </cell>
          <cell r="B143" t="str">
            <v>Proveedores Varios</v>
          </cell>
          <cell r="C143">
            <v>-289518.13</v>
          </cell>
          <cell r="D143">
            <v>573366.82999999996</v>
          </cell>
          <cell r="E143">
            <v>636054.21</v>
          </cell>
          <cell r="F143">
            <v>-352205.51</v>
          </cell>
        </row>
        <row r="144">
          <cell r="A144" t="str">
            <v>2.001.004.0004</v>
          </cell>
          <cell r="B144" t="str">
            <v>Devoluciones Clientes Varios</v>
          </cell>
          <cell r="C144">
            <v>-212.32</v>
          </cell>
          <cell r="D144">
            <v>212.32</v>
          </cell>
          <cell r="F144">
            <v>0</v>
          </cell>
        </row>
        <row r="145">
          <cell r="A145" t="str">
            <v>2.001.004.0005</v>
          </cell>
          <cell r="B145" t="str">
            <v>Proveedores Caja Chica</v>
          </cell>
          <cell r="C145">
            <v>-4000.39</v>
          </cell>
          <cell r="D145">
            <v>50700.15</v>
          </cell>
          <cell r="E145">
            <v>49103.68</v>
          </cell>
          <cell r="F145">
            <v>-2403.92</v>
          </cell>
        </row>
        <row r="146">
          <cell r="A146" t="str">
            <v>2.001.004.0006</v>
          </cell>
          <cell r="B146" t="str">
            <v>Cuentas Por Pagar Varias</v>
          </cell>
          <cell r="C146">
            <v>-34359.019999999997</v>
          </cell>
          <cell r="D146">
            <v>19222.18</v>
          </cell>
          <cell r="E146">
            <v>2966.11</v>
          </cell>
          <cell r="F146">
            <v>-18102.95</v>
          </cell>
        </row>
        <row r="147">
          <cell r="A147" t="str">
            <v>2.001.030.0000</v>
          </cell>
          <cell r="B147" t="str">
            <v>RETENCIONES A EMPLEADOS</v>
          </cell>
          <cell r="C147">
            <v>-92462.24</v>
          </cell>
          <cell r="D147">
            <v>142404.59</v>
          </cell>
          <cell r="E147">
            <v>119436.55</v>
          </cell>
          <cell r="F147">
            <v>-69494.2</v>
          </cell>
        </row>
        <row r="148">
          <cell r="A148" t="str">
            <v>2.001.030.0001</v>
          </cell>
          <cell r="B148" t="str">
            <v>IGSS Cuota Empleados</v>
          </cell>
          <cell r="C148">
            <v>-28742.79</v>
          </cell>
          <cell r="D148">
            <v>28742.79</v>
          </cell>
          <cell r="E148">
            <v>30421.599999999999</v>
          </cell>
          <cell r="F148">
            <v>-30421.599999999999</v>
          </cell>
        </row>
        <row r="149">
          <cell r="A149" t="str">
            <v>2.001.030.0002</v>
          </cell>
          <cell r="B149" t="str">
            <v>Retención ISR Empleados</v>
          </cell>
          <cell r="C149">
            <v>-18691.330000000002</v>
          </cell>
          <cell r="D149">
            <v>20327.990000000002</v>
          </cell>
          <cell r="E149">
            <v>23428.54</v>
          </cell>
          <cell r="F149">
            <v>-21791.88</v>
          </cell>
        </row>
        <row r="150">
          <cell r="A150" t="str">
            <v>2.001.030.0006</v>
          </cell>
          <cell r="B150" t="str">
            <v>Retención Seguro Médico</v>
          </cell>
          <cell r="C150">
            <v>5451.32</v>
          </cell>
          <cell r="E150">
            <v>19856.62</v>
          </cell>
          <cell r="F150">
            <v>-14405.3</v>
          </cell>
        </row>
        <row r="151">
          <cell r="A151" t="str">
            <v>2.001.030.0007</v>
          </cell>
          <cell r="B151" t="str">
            <v>Otras Retenciones Empleados</v>
          </cell>
          <cell r="C151">
            <v>-27153.66</v>
          </cell>
          <cell r="D151">
            <v>49655.92</v>
          </cell>
          <cell r="E151">
            <v>23911.88</v>
          </cell>
          <cell r="F151">
            <v>-1409.62</v>
          </cell>
        </row>
        <row r="152">
          <cell r="A152" t="str">
            <v>2.001.030.0008</v>
          </cell>
          <cell r="B152" t="str">
            <v>Bancasol</v>
          </cell>
          <cell r="C152">
            <v>-23325.78</v>
          </cell>
          <cell r="D152">
            <v>43677.89</v>
          </cell>
          <cell r="E152">
            <v>21817.91</v>
          </cell>
          <cell r="F152">
            <v>-1465.8</v>
          </cell>
        </row>
        <row r="153">
          <cell r="A153" t="str">
            <v>2.001.031.0000</v>
          </cell>
          <cell r="B153" t="str">
            <v>OBLIGACIONES LABORALES POR PAGAR</v>
          </cell>
          <cell r="C153">
            <v>-830170.73</v>
          </cell>
          <cell r="D153">
            <v>624996</v>
          </cell>
          <cell r="E153">
            <v>187815.84</v>
          </cell>
          <cell r="F153">
            <v>-392990.57</v>
          </cell>
        </row>
        <row r="154">
          <cell r="A154" t="str">
            <v>2.001.031.0001</v>
          </cell>
          <cell r="B154" t="str">
            <v>Sueldos Por Pagar</v>
          </cell>
          <cell r="C154">
            <v>-17552.91</v>
          </cell>
          <cell r="D154">
            <v>74591.850000000006</v>
          </cell>
          <cell r="E154">
            <v>77501.919999999998</v>
          </cell>
          <cell r="F154">
            <v>-20462.98</v>
          </cell>
        </row>
        <row r="155">
          <cell r="A155" t="str">
            <v>2.001.031.0004</v>
          </cell>
          <cell r="B155" t="str">
            <v>Aguinaldos Por Pagar</v>
          </cell>
          <cell r="C155">
            <v>-549759</v>
          </cell>
          <cell r="D155">
            <v>549759</v>
          </cell>
          <cell r="E155">
            <v>55156.959999999999</v>
          </cell>
          <cell r="F155">
            <v>-55156.959999999999</v>
          </cell>
        </row>
        <row r="156">
          <cell r="A156" t="str">
            <v>2.001.031.0007</v>
          </cell>
          <cell r="B156" t="str">
            <v>Bonificación Dto.42-92 Por Pagar</v>
          </cell>
          <cell r="C156">
            <v>-262858.82</v>
          </cell>
          <cell r="D156">
            <v>645.15</v>
          </cell>
          <cell r="E156">
            <v>55156.959999999999</v>
          </cell>
          <cell r="F156">
            <v>-317370.63</v>
          </cell>
        </row>
        <row r="157">
          <cell r="A157" t="str">
            <v>2.001.035.0000</v>
          </cell>
          <cell r="B157" t="str">
            <v>RETENCIONES,IMPTOS Y CUOTAS X PAGAR</v>
          </cell>
          <cell r="C157">
            <v>-255250.21</v>
          </cell>
          <cell r="D157">
            <v>450915.93</v>
          </cell>
          <cell r="E157">
            <v>453928.96000000002</v>
          </cell>
          <cell r="F157">
            <v>-258263.24</v>
          </cell>
        </row>
        <row r="158">
          <cell r="A158" t="str">
            <v>2.001.035.0001</v>
          </cell>
          <cell r="B158" t="str">
            <v>Retención ISR Proveedores Locales</v>
          </cell>
          <cell r="C158">
            <v>-922.43</v>
          </cell>
          <cell r="D158">
            <v>922.43</v>
          </cell>
          <cell r="E158">
            <v>1187.71</v>
          </cell>
          <cell r="F158">
            <v>-1187.71</v>
          </cell>
        </row>
        <row r="159">
          <cell r="A159" t="str">
            <v>2.001.035.0002</v>
          </cell>
          <cell r="B159" t="str">
            <v>Retención ISR Proveedores Exterior</v>
          </cell>
          <cell r="C159">
            <v>0</v>
          </cell>
          <cell r="E159">
            <v>3572.07</v>
          </cell>
          <cell r="F159">
            <v>-3572.07</v>
          </cell>
        </row>
        <row r="160">
          <cell r="A160" t="str">
            <v>2.001.035.0005</v>
          </cell>
          <cell r="B160" t="str">
            <v>Impuesto del Timbre Por Pagar</v>
          </cell>
          <cell r="C160">
            <v>-253.2</v>
          </cell>
          <cell r="E160">
            <v>238.52</v>
          </cell>
          <cell r="F160">
            <v>-491.72</v>
          </cell>
        </row>
        <row r="161">
          <cell r="A161" t="str">
            <v>2.001.035.0006</v>
          </cell>
          <cell r="B161" t="str">
            <v>Impuesto Al Valor Agregado IVA</v>
          </cell>
          <cell r="C161">
            <v>-177772.65</v>
          </cell>
          <cell r="D161">
            <v>373691.58</v>
          </cell>
          <cell r="E161">
            <v>367666.64</v>
          </cell>
          <cell r="F161">
            <v>-171747.71</v>
          </cell>
        </row>
        <row r="162">
          <cell r="A162" t="str">
            <v>2.001.035.0008</v>
          </cell>
          <cell r="B162" t="str">
            <v>Cuota Patronal IGSS,IRTRA,INTECAP</v>
          </cell>
          <cell r="C162">
            <v>-75397.42</v>
          </cell>
          <cell r="D162">
            <v>75397.41</v>
          </cell>
          <cell r="E162">
            <v>79804.12</v>
          </cell>
          <cell r="F162">
            <v>-79804.13</v>
          </cell>
        </row>
        <row r="163">
          <cell r="A163" t="str">
            <v>2.001.035.0009</v>
          </cell>
          <cell r="B163" t="str">
            <v>Iva Facturas Especiales</v>
          </cell>
          <cell r="C163">
            <v>-904.51</v>
          </cell>
          <cell r="D163">
            <v>904.51</v>
          </cell>
          <cell r="E163">
            <v>1459.9</v>
          </cell>
          <cell r="F163">
            <v>-1459.9</v>
          </cell>
        </row>
        <row r="164">
          <cell r="A164" t="str">
            <v>2.001.038.0000</v>
          </cell>
          <cell r="B164" t="str">
            <v>ANTICIPOS RECIBIDOS</v>
          </cell>
          <cell r="C164">
            <v>-220845.82</v>
          </cell>
          <cell r="D164">
            <v>343246.38</v>
          </cell>
          <cell r="E164">
            <v>164857.22</v>
          </cell>
          <cell r="F164">
            <v>-42456.66</v>
          </cell>
        </row>
        <row r="165">
          <cell r="A165" t="str">
            <v>2.001.038.0001</v>
          </cell>
          <cell r="B165" t="str">
            <v>Anticipos Clientes Servicios</v>
          </cell>
          <cell r="C165">
            <v>-219045.82</v>
          </cell>
          <cell r="D165">
            <v>343246.38</v>
          </cell>
          <cell r="E165">
            <v>164857.22</v>
          </cell>
          <cell r="F165">
            <v>-40656.660000000003</v>
          </cell>
        </row>
        <row r="166">
          <cell r="A166" t="str">
            <v>2.001.038.0011</v>
          </cell>
          <cell r="B166" t="str">
            <v>Anticipos Gastos de Placas</v>
          </cell>
          <cell r="C166">
            <v>-1800</v>
          </cell>
          <cell r="F166">
            <v>-1800</v>
          </cell>
        </row>
        <row r="167">
          <cell r="A167" t="str">
            <v>2.003.000.0000</v>
          </cell>
          <cell r="B167" t="str">
            <v>RESERVA PARA INDEMNIZACIONES</v>
          </cell>
          <cell r="C167">
            <v>-1122416.3500000001</v>
          </cell>
          <cell r="E167">
            <v>55156.959999999999</v>
          </cell>
          <cell r="F167">
            <v>-1177573.31</v>
          </cell>
        </row>
        <row r="168">
          <cell r="A168" t="str">
            <v>2.003.001.0000</v>
          </cell>
          <cell r="B168" t="str">
            <v>RESERVA PARA INDEMNIZACIONES</v>
          </cell>
          <cell r="C168">
            <v>-1122416.3500000001</v>
          </cell>
          <cell r="E168">
            <v>55156.959999999999</v>
          </cell>
          <cell r="F168">
            <v>-1177573.31</v>
          </cell>
        </row>
        <row r="169">
          <cell r="A169" t="str">
            <v>2.003.001.0001</v>
          </cell>
          <cell r="B169" t="str">
            <v>Reserva Para Indemnizaciones</v>
          </cell>
          <cell r="C169">
            <v>-1122416.3500000001</v>
          </cell>
          <cell r="E169">
            <v>55156.959999999999</v>
          </cell>
          <cell r="F169">
            <v>-1177573.31</v>
          </cell>
        </row>
        <row r="170">
          <cell r="A170" t="str">
            <v>3.000.000.0000</v>
          </cell>
          <cell r="B170" t="str">
            <v>CAPITAL, RESERVAS Y UTILIDADES RET.</v>
          </cell>
          <cell r="C170">
            <v>-5301958.75</v>
          </cell>
          <cell r="F170">
            <v>-5301958.75</v>
          </cell>
        </row>
        <row r="171">
          <cell r="A171" t="str">
            <v>3.001.000.0000</v>
          </cell>
          <cell r="B171" t="str">
            <v>CAPITAL SOCIAL</v>
          </cell>
          <cell r="C171">
            <v>-177000</v>
          </cell>
          <cell r="F171">
            <v>-177000</v>
          </cell>
        </row>
        <row r="172">
          <cell r="A172" t="str">
            <v>3.001.001.0000</v>
          </cell>
          <cell r="B172" t="str">
            <v>CAPITAL SOCIAL AUTORIZADO</v>
          </cell>
          <cell r="C172">
            <v>-2000000</v>
          </cell>
          <cell r="F172">
            <v>-2000000</v>
          </cell>
        </row>
        <row r="173">
          <cell r="A173" t="str">
            <v>3.001.001.0001</v>
          </cell>
          <cell r="B173" t="str">
            <v>Capital Autorizado Acciones Comunes</v>
          </cell>
          <cell r="C173">
            <v>-2000000</v>
          </cell>
          <cell r="F173">
            <v>-2000000</v>
          </cell>
        </row>
        <row r="174">
          <cell r="A174" t="str">
            <v>3.001.002.0000</v>
          </cell>
          <cell r="B174" t="str">
            <v>CAPITAL SOCIAL SUSCRITO NO PAGADO</v>
          </cell>
          <cell r="C174">
            <v>1823000</v>
          </cell>
          <cell r="F174">
            <v>1823000</v>
          </cell>
        </row>
        <row r="175">
          <cell r="A175" t="str">
            <v>3.001.002.0001</v>
          </cell>
          <cell r="B175" t="str">
            <v>Capital Social Suscrito No Pagado</v>
          </cell>
          <cell r="C175">
            <v>1823000</v>
          </cell>
          <cell r="F175">
            <v>1823000</v>
          </cell>
        </row>
        <row r="176">
          <cell r="A176" t="str">
            <v>3.002.000.0000</v>
          </cell>
          <cell r="B176" t="str">
            <v>RESERVAS DE CAPITAL</v>
          </cell>
          <cell r="C176">
            <v>-511357.35</v>
          </cell>
          <cell r="F176">
            <v>-511357.35</v>
          </cell>
        </row>
        <row r="177">
          <cell r="A177" t="str">
            <v>3.002.001.0000</v>
          </cell>
          <cell r="B177" t="str">
            <v>RESERVAS DE CAPITAL</v>
          </cell>
          <cell r="C177">
            <v>-511357.35</v>
          </cell>
          <cell r="F177">
            <v>-511357.35</v>
          </cell>
        </row>
        <row r="178">
          <cell r="A178" t="str">
            <v>3.002.001.0001</v>
          </cell>
          <cell r="B178" t="str">
            <v>Reserva Legal</v>
          </cell>
          <cell r="C178">
            <v>-511357.35</v>
          </cell>
          <cell r="F178">
            <v>-511357.35</v>
          </cell>
        </row>
        <row r="179">
          <cell r="A179" t="str">
            <v>3.003.000.0000</v>
          </cell>
          <cell r="B179" t="str">
            <v>UTILIDADES RETENIDAS VARIAS</v>
          </cell>
          <cell r="C179">
            <v>-4613601.4000000004</v>
          </cell>
          <cell r="F179">
            <v>-4613601.4000000004</v>
          </cell>
        </row>
        <row r="180">
          <cell r="A180" t="str">
            <v>3.003.001.0000</v>
          </cell>
          <cell r="B180" t="str">
            <v>UTILIDADES RETENIDAS VARIAS</v>
          </cell>
          <cell r="C180">
            <v>-4613601.4000000004</v>
          </cell>
          <cell r="F180">
            <v>-4613601.4000000004</v>
          </cell>
        </row>
        <row r="181">
          <cell r="A181" t="str">
            <v>3.003.001.0008</v>
          </cell>
          <cell r="B181" t="str">
            <v>Utilidades Retenidas 98-99</v>
          </cell>
          <cell r="C181">
            <v>-708850.06</v>
          </cell>
          <cell r="F181">
            <v>-708850.06</v>
          </cell>
        </row>
        <row r="182">
          <cell r="A182" t="str">
            <v>3.003.001.0009</v>
          </cell>
          <cell r="B182" t="str">
            <v>Utilidades Retenidas 99-00</v>
          </cell>
          <cell r="C182">
            <v>-1829518.21</v>
          </cell>
          <cell r="F182">
            <v>-1829518.21</v>
          </cell>
        </row>
        <row r="183">
          <cell r="A183" t="str">
            <v>3.003.001.0010</v>
          </cell>
          <cell r="B183" t="str">
            <v>Utilidades Retenidas Jul/Dic 2000</v>
          </cell>
          <cell r="C183">
            <v>-702708.91</v>
          </cell>
          <cell r="F183">
            <v>-702708.91</v>
          </cell>
        </row>
        <row r="184">
          <cell r="A184" t="str">
            <v>3.003.001.0011</v>
          </cell>
          <cell r="B184" t="str">
            <v>Utilidades Retenidas 2001</v>
          </cell>
          <cell r="C184">
            <v>-1372524.22</v>
          </cell>
          <cell r="F184">
            <v>-1372524.22</v>
          </cell>
        </row>
        <row r="185">
          <cell r="A185" t="str">
            <v>4.000.000.0000</v>
          </cell>
          <cell r="B185" t="str">
            <v>INGRESOS</v>
          </cell>
          <cell r="C185">
            <v>-31084686.41</v>
          </cell>
          <cell r="D185">
            <v>146066</v>
          </cell>
          <cell r="E185">
            <v>3062528.18</v>
          </cell>
          <cell r="F185">
            <v>-34001148.590000004</v>
          </cell>
        </row>
        <row r="186">
          <cell r="A186" t="str">
            <v>4.001.000.0000</v>
          </cell>
          <cell r="B186" t="str">
            <v>VENTAS CENTRAL</v>
          </cell>
          <cell r="C186">
            <v>-24817074.039999999</v>
          </cell>
          <cell r="D186">
            <v>126202.52</v>
          </cell>
          <cell r="E186">
            <v>2522667.92</v>
          </cell>
          <cell r="F186">
            <v>-27213539.440000001</v>
          </cell>
        </row>
        <row r="187">
          <cell r="A187" t="str">
            <v>4.001.100.0000</v>
          </cell>
          <cell r="B187" t="str">
            <v>TALLER CONTADO ZONA 9</v>
          </cell>
          <cell r="C187">
            <v>-14425435.029999999</v>
          </cell>
          <cell r="D187">
            <v>19355.73</v>
          </cell>
          <cell r="E187">
            <v>1348831.72</v>
          </cell>
          <cell r="F187">
            <v>-15754911.02</v>
          </cell>
        </row>
        <row r="188">
          <cell r="A188" t="str">
            <v>4.001.100.2000</v>
          </cell>
          <cell r="B188" t="str">
            <v>Vta M/Obra Contado Taller Z.9</v>
          </cell>
          <cell r="C188">
            <v>-5091080.25</v>
          </cell>
          <cell r="D188">
            <v>2907.09</v>
          </cell>
          <cell r="E188">
            <v>435462.86</v>
          </cell>
          <cell r="F188">
            <v>-5523636.0199999996</v>
          </cell>
        </row>
        <row r="189">
          <cell r="A189" t="str">
            <v>4.001.100.2001</v>
          </cell>
          <cell r="B189" t="str">
            <v>Vta Comb/Lub Contado Taller Z.9</v>
          </cell>
          <cell r="C189">
            <v>-1180375.1299999999</v>
          </cell>
          <cell r="D189">
            <v>500.62</v>
          </cell>
          <cell r="E189">
            <v>110926.23</v>
          </cell>
          <cell r="F189">
            <v>-1290800.74</v>
          </cell>
        </row>
        <row r="190">
          <cell r="A190" t="str">
            <v>4.001.100.2002</v>
          </cell>
          <cell r="B190" t="str">
            <v>Vta Reptos Cont Propios Taller Z.9</v>
          </cell>
          <cell r="C190">
            <v>-7433202.0700000003</v>
          </cell>
          <cell r="D190">
            <v>15853.64</v>
          </cell>
          <cell r="E190">
            <v>723088.23</v>
          </cell>
          <cell r="F190">
            <v>-8140436.6600000001</v>
          </cell>
        </row>
        <row r="191">
          <cell r="A191" t="str">
            <v>4.001.100.2003</v>
          </cell>
          <cell r="B191" t="str">
            <v>Vta Reptos Ajen Cont Taller Z.9</v>
          </cell>
          <cell r="C191">
            <v>-187207.87</v>
          </cell>
          <cell r="E191">
            <v>28397.86</v>
          </cell>
          <cell r="F191">
            <v>-215605.73</v>
          </cell>
        </row>
        <row r="192">
          <cell r="A192" t="str">
            <v>4.001.100.2004</v>
          </cell>
          <cell r="B192" t="str">
            <v>Vta Trab Ext Cont Taller Z.9</v>
          </cell>
          <cell r="C192">
            <v>-104135.22</v>
          </cell>
          <cell r="E192">
            <v>15382.46</v>
          </cell>
          <cell r="F192">
            <v>-119517.68</v>
          </cell>
        </row>
        <row r="193">
          <cell r="A193" t="str">
            <v>4.001.100.2005</v>
          </cell>
          <cell r="B193" t="str">
            <v>Vta Mats Diver Cont Taller Z.9</v>
          </cell>
          <cell r="C193">
            <v>-399004.58</v>
          </cell>
          <cell r="D193">
            <v>94.38</v>
          </cell>
          <cell r="E193">
            <v>30989.88</v>
          </cell>
          <cell r="F193">
            <v>-429900.08</v>
          </cell>
        </row>
        <row r="194">
          <cell r="A194" t="str">
            <v>4.001.100.2007</v>
          </cell>
          <cell r="B194" t="str">
            <v>Vta Otros Cont Taller Z.9</v>
          </cell>
          <cell r="C194">
            <v>-30429.91</v>
          </cell>
          <cell r="E194">
            <v>4584.2</v>
          </cell>
          <cell r="F194">
            <v>-35014.11</v>
          </cell>
        </row>
        <row r="195">
          <cell r="A195" t="str">
            <v>4.001.101.0000</v>
          </cell>
          <cell r="B195" t="str">
            <v>TALLER CREDITO</v>
          </cell>
          <cell r="C195">
            <v>-5362697.12</v>
          </cell>
          <cell r="D195">
            <v>79512.92</v>
          </cell>
          <cell r="E195">
            <v>765968.47</v>
          </cell>
          <cell r="F195">
            <v>-6049152.6699999999</v>
          </cell>
        </row>
        <row r="196">
          <cell r="A196" t="str">
            <v>4.001.101.2000</v>
          </cell>
          <cell r="B196" t="str">
            <v>Vta Mano/Obra Cred Taller Z.9</v>
          </cell>
          <cell r="C196">
            <v>-4410272.68</v>
          </cell>
          <cell r="D196">
            <v>37528.42</v>
          </cell>
          <cell r="E196">
            <v>619235.37</v>
          </cell>
          <cell r="F196">
            <v>-4991979.63</v>
          </cell>
        </row>
        <row r="197">
          <cell r="A197" t="str">
            <v>4.001.101.2001</v>
          </cell>
          <cell r="B197" t="str">
            <v>Vta Comb/Lub Cred Taller Z.9</v>
          </cell>
          <cell r="C197">
            <v>-525321.04</v>
          </cell>
          <cell r="D197">
            <v>4933.45</v>
          </cell>
          <cell r="E197">
            <v>56561.54</v>
          </cell>
          <cell r="F197">
            <v>-576949.13</v>
          </cell>
        </row>
        <row r="198">
          <cell r="A198" t="str">
            <v>4.001.101.2002</v>
          </cell>
          <cell r="B198" t="str">
            <v>Vta Reptos Propios Cred Taller Z.9</v>
          </cell>
          <cell r="C198">
            <v>201434.61</v>
          </cell>
          <cell r="D198">
            <v>8590.6299999999992</v>
          </cell>
          <cell r="E198">
            <v>2924.91</v>
          </cell>
          <cell r="F198">
            <v>207100.33</v>
          </cell>
        </row>
        <row r="199">
          <cell r="A199" t="str">
            <v>4.001.101.2003</v>
          </cell>
          <cell r="B199" t="str">
            <v>Vta Reptos Ajen Cred Taller Z.9</v>
          </cell>
          <cell r="C199">
            <v>-229772.38</v>
          </cell>
          <cell r="D199">
            <v>942.91</v>
          </cell>
          <cell r="E199">
            <v>19496.43</v>
          </cell>
          <cell r="F199">
            <v>-248325.9</v>
          </cell>
        </row>
        <row r="200">
          <cell r="A200" t="str">
            <v>4.001.101.2004</v>
          </cell>
          <cell r="B200" t="str">
            <v>Vta Trab Ext Cred Taller Z.9</v>
          </cell>
          <cell r="C200">
            <v>-109558.36</v>
          </cell>
          <cell r="D200">
            <v>11818.91</v>
          </cell>
          <cell r="E200">
            <v>28260.62</v>
          </cell>
          <cell r="F200">
            <v>-126000.07</v>
          </cell>
        </row>
        <row r="201">
          <cell r="A201" t="str">
            <v>4.001.101.2005</v>
          </cell>
          <cell r="B201" t="str">
            <v>Vta Mats Diver Cred Taller Z.9</v>
          </cell>
          <cell r="C201">
            <v>-198257.03</v>
          </cell>
          <cell r="D201">
            <v>2648.34</v>
          </cell>
          <cell r="E201">
            <v>23201.63</v>
          </cell>
          <cell r="F201">
            <v>-218810.32</v>
          </cell>
        </row>
        <row r="202">
          <cell r="A202" t="str">
            <v>4.001.101.2007</v>
          </cell>
          <cell r="B202" t="str">
            <v>Vta Otros Cred Taller Z.9</v>
          </cell>
          <cell r="C202">
            <v>-90950.24</v>
          </cell>
          <cell r="D202">
            <v>13050.26</v>
          </cell>
          <cell r="E202">
            <v>16287.97</v>
          </cell>
          <cell r="F202">
            <v>-94187.95</v>
          </cell>
        </row>
        <row r="203">
          <cell r="A203" t="str">
            <v>4.001.102.0000</v>
          </cell>
          <cell r="B203" t="str">
            <v>REB/DEV TALLER CONTADO</v>
          </cell>
          <cell r="C203">
            <v>2964.87</v>
          </cell>
          <cell r="F203">
            <v>2964.87</v>
          </cell>
        </row>
        <row r="204">
          <cell r="A204" t="str">
            <v>4.001.102.2000</v>
          </cell>
          <cell r="B204" t="str">
            <v>Reb/Dev Mano/Obra Cont Taller Z.9</v>
          </cell>
          <cell r="C204">
            <v>251.16</v>
          </cell>
          <cell r="F204">
            <v>251.16</v>
          </cell>
        </row>
        <row r="205">
          <cell r="A205" t="str">
            <v>4.001.102.2002</v>
          </cell>
          <cell r="B205" t="str">
            <v>Reb/Dev Rep Propios Cont Taller Z.9</v>
          </cell>
          <cell r="C205">
            <v>2713.71</v>
          </cell>
          <cell r="F205">
            <v>2713.71</v>
          </cell>
        </row>
        <row r="206">
          <cell r="A206" t="str">
            <v>4.001.103.0000</v>
          </cell>
          <cell r="B206" t="str">
            <v>REB/DEV TALLER CREDITO</v>
          </cell>
          <cell r="C206">
            <v>1461.28</v>
          </cell>
          <cell r="F206">
            <v>1461.28</v>
          </cell>
        </row>
        <row r="207">
          <cell r="A207" t="str">
            <v>4.001.103.2002</v>
          </cell>
          <cell r="B207" t="str">
            <v>Reb/Dev Rep Prop Cre Taller Z.9</v>
          </cell>
          <cell r="C207">
            <v>1461.28</v>
          </cell>
          <cell r="F207">
            <v>1461.28</v>
          </cell>
        </row>
        <row r="208">
          <cell r="A208" t="str">
            <v>4.001.150.0000</v>
          </cell>
          <cell r="B208" t="str">
            <v>ENDEREZADO Y PINTURA CONTADO</v>
          </cell>
          <cell r="C208">
            <v>-3022674.83</v>
          </cell>
          <cell r="D208">
            <v>9796.25</v>
          </cell>
          <cell r="E208">
            <v>221808.57</v>
          </cell>
          <cell r="F208">
            <v>-3234687.15</v>
          </cell>
        </row>
        <row r="209">
          <cell r="A209" t="str">
            <v>4.001.150.3000</v>
          </cell>
          <cell r="B209" t="str">
            <v>Vta Mano/Obra End/Pint Cont Z.9</v>
          </cell>
          <cell r="C209">
            <v>-994792.74</v>
          </cell>
          <cell r="D209">
            <v>1049.29</v>
          </cell>
          <cell r="E209">
            <v>58437.63</v>
          </cell>
          <cell r="F209">
            <v>-1052181.08</v>
          </cell>
        </row>
        <row r="210">
          <cell r="A210" t="str">
            <v>4.001.150.3001</v>
          </cell>
          <cell r="B210" t="str">
            <v>Vta Rept Propios/Pint Cont Z.9</v>
          </cell>
          <cell r="C210">
            <v>-2027493.09</v>
          </cell>
          <cell r="D210">
            <v>8746.9599999999991</v>
          </cell>
          <cell r="E210">
            <v>163370.94</v>
          </cell>
          <cell r="F210">
            <v>-2182117.0699999998</v>
          </cell>
        </row>
        <row r="211">
          <cell r="A211" t="str">
            <v>4.001.150.3004</v>
          </cell>
          <cell r="B211" t="str">
            <v>Vta Mats Div End/Pint Cont Z.9</v>
          </cell>
          <cell r="C211">
            <v>-389</v>
          </cell>
          <cell r="F211">
            <v>-389</v>
          </cell>
        </row>
        <row r="212">
          <cell r="A212" t="str">
            <v>4.001.151.0000</v>
          </cell>
          <cell r="B212" t="str">
            <v>ENDEREZADO Y PINTURA CREDITO</v>
          </cell>
          <cell r="C212">
            <v>-2010693.21</v>
          </cell>
          <cell r="D212">
            <v>17537.62</v>
          </cell>
          <cell r="E212">
            <v>186059.16</v>
          </cell>
          <cell r="F212">
            <v>-2179214.75</v>
          </cell>
        </row>
        <row r="213">
          <cell r="A213" t="str">
            <v>4.001.151.3000</v>
          </cell>
          <cell r="B213" t="str">
            <v>Vta Mano/Obra End/Pint Cred Z.9</v>
          </cell>
          <cell r="C213">
            <v>-2009772.11</v>
          </cell>
          <cell r="D213">
            <v>17537.62</v>
          </cell>
          <cell r="E213">
            <v>186005.24</v>
          </cell>
          <cell r="F213">
            <v>-2178239.73</v>
          </cell>
        </row>
        <row r="214">
          <cell r="A214" t="str">
            <v>4.001.151.3001</v>
          </cell>
          <cell r="B214" t="str">
            <v>Vta Repts Propios End/Pint Cred Z.9</v>
          </cell>
          <cell r="C214">
            <v>-322.2</v>
          </cell>
          <cell r="F214">
            <v>-322.2</v>
          </cell>
        </row>
        <row r="215">
          <cell r="A215" t="str">
            <v>4.001.151.3004</v>
          </cell>
          <cell r="B215" t="str">
            <v>Vta Mats Div End/Pint Cred Z.9</v>
          </cell>
          <cell r="C215">
            <v>-598.9</v>
          </cell>
          <cell r="E215">
            <v>53.92</v>
          </cell>
          <cell r="F215">
            <v>-652.82000000000005</v>
          </cell>
        </row>
        <row r="216">
          <cell r="A216" t="str">
            <v>4.002.000.0000</v>
          </cell>
          <cell r="B216" t="str">
            <v>VENTAS PRADERA</v>
          </cell>
          <cell r="C216">
            <v>-6267612.3700000001</v>
          </cell>
          <cell r="D216">
            <v>19863.48</v>
          </cell>
          <cell r="E216">
            <v>539860.26</v>
          </cell>
          <cell r="F216">
            <v>-6787609.1500000004</v>
          </cell>
        </row>
        <row r="217">
          <cell r="A217" t="str">
            <v>4.002.100.0000</v>
          </cell>
          <cell r="B217" t="str">
            <v>TALLER CONTADO PRADERA</v>
          </cell>
          <cell r="C217">
            <v>-5173307.75</v>
          </cell>
          <cell r="D217">
            <v>13398.97</v>
          </cell>
          <cell r="E217">
            <v>455172.66</v>
          </cell>
          <cell r="F217">
            <v>-5615081.4400000004</v>
          </cell>
        </row>
        <row r="218">
          <cell r="A218" t="str">
            <v>4.002.100.2000</v>
          </cell>
          <cell r="B218" t="str">
            <v>Vta M/Obra Contado Taller Pradera</v>
          </cell>
          <cell r="C218">
            <v>-2047746.63</v>
          </cell>
          <cell r="D218">
            <v>6391.53</v>
          </cell>
          <cell r="E218">
            <v>171863.29</v>
          </cell>
          <cell r="F218">
            <v>-2213218.39</v>
          </cell>
        </row>
        <row r="219">
          <cell r="A219" t="str">
            <v>4.002.100.2001</v>
          </cell>
          <cell r="B219" t="str">
            <v>Vta Comb/Lub Contado Taller Pradera</v>
          </cell>
          <cell r="C219">
            <v>-494113.53</v>
          </cell>
          <cell r="D219">
            <v>1641.17</v>
          </cell>
          <cell r="E219">
            <v>48326.14</v>
          </cell>
          <cell r="F219">
            <v>-540798.5</v>
          </cell>
        </row>
        <row r="220">
          <cell r="A220" t="str">
            <v>4.002.100.2002</v>
          </cell>
          <cell r="B220" t="str">
            <v>Vta Rept Con Propios Taller Pradera</v>
          </cell>
          <cell r="C220">
            <v>-2377911.79</v>
          </cell>
          <cell r="D220">
            <v>4940.84</v>
          </cell>
          <cell r="E220">
            <v>210030.03</v>
          </cell>
          <cell r="F220">
            <v>-2583000.98</v>
          </cell>
        </row>
        <row r="221">
          <cell r="A221" t="str">
            <v>4.002.100.2003</v>
          </cell>
          <cell r="B221" t="str">
            <v>Vta Reptos Ajen Cont Taller Pradera</v>
          </cell>
          <cell r="C221">
            <v>-1242.54</v>
          </cell>
          <cell r="E221">
            <v>238.53</v>
          </cell>
          <cell r="F221">
            <v>-1481.07</v>
          </cell>
        </row>
        <row r="222">
          <cell r="A222" t="str">
            <v>4.002.100.2004</v>
          </cell>
          <cell r="B222" t="str">
            <v>Vta Trab Ext Cont Taller Pradera</v>
          </cell>
          <cell r="C222">
            <v>-43911.61</v>
          </cell>
          <cell r="E222">
            <v>6140.49</v>
          </cell>
          <cell r="F222">
            <v>-50052.1</v>
          </cell>
        </row>
        <row r="223">
          <cell r="A223" t="str">
            <v>4.002.100.2005</v>
          </cell>
          <cell r="B223" t="str">
            <v>Vta Mats Diver Cont Taller Pradera</v>
          </cell>
          <cell r="C223">
            <v>-207457.54</v>
          </cell>
          <cell r="D223">
            <v>425.43</v>
          </cell>
          <cell r="E223">
            <v>18574.18</v>
          </cell>
          <cell r="F223">
            <v>-225606.29</v>
          </cell>
        </row>
        <row r="224">
          <cell r="A224" t="str">
            <v>4.002.100.2007</v>
          </cell>
          <cell r="B224" t="str">
            <v>Vta Otros Cont Taller Pradera</v>
          </cell>
          <cell r="C224">
            <v>-924.11</v>
          </cell>
          <cell r="F224">
            <v>-924.11</v>
          </cell>
        </row>
        <row r="225">
          <cell r="A225" t="str">
            <v>4.002.101.0000</v>
          </cell>
          <cell r="B225" t="str">
            <v>TALLER CREDITO PRADERA</v>
          </cell>
          <cell r="C225">
            <v>-1038960.94</v>
          </cell>
          <cell r="D225">
            <v>6464.51</v>
          </cell>
          <cell r="E225">
            <v>82687.600000000006</v>
          </cell>
          <cell r="F225">
            <v>-1115184.03</v>
          </cell>
        </row>
        <row r="226">
          <cell r="A226" t="str">
            <v>4.002.101.2000</v>
          </cell>
          <cell r="B226" t="str">
            <v>Vta Mano/Obra Cred Taller Pradera</v>
          </cell>
          <cell r="C226">
            <v>-865438.79</v>
          </cell>
          <cell r="D226">
            <v>1017.91</v>
          </cell>
          <cell r="E226">
            <v>69887.67</v>
          </cell>
          <cell r="F226">
            <v>-934308.55</v>
          </cell>
        </row>
        <row r="227">
          <cell r="A227" t="str">
            <v>4.002.101.2001</v>
          </cell>
          <cell r="B227" t="str">
            <v>Vta Comb/Lub Cred Taller Pradera</v>
          </cell>
          <cell r="C227">
            <v>-98672.89</v>
          </cell>
          <cell r="D227">
            <v>1885.29</v>
          </cell>
          <cell r="E227">
            <v>5801.32</v>
          </cell>
          <cell r="F227">
            <v>-102588.92</v>
          </cell>
        </row>
        <row r="228">
          <cell r="A228" t="str">
            <v>4.002.101.2002</v>
          </cell>
          <cell r="B228" t="str">
            <v>Vta Rep Propios Cred Taller Pradera</v>
          </cell>
          <cell r="C228">
            <v>12127.17</v>
          </cell>
          <cell r="D228">
            <v>3268.9</v>
          </cell>
          <cell r="F228">
            <v>15396.07</v>
          </cell>
        </row>
        <row r="229">
          <cell r="A229" t="str">
            <v>4.002.101.2003</v>
          </cell>
          <cell r="B229" t="str">
            <v>Vtas Reptos Ajen Cre Taller Pradera</v>
          </cell>
          <cell r="C229">
            <v>380.25</v>
          </cell>
          <cell r="F229">
            <v>380.25</v>
          </cell>
        </row>
        <row r="230">
          <cell r="A230" t="str">
            <v>4.002.101.2004</v>
          </cell>
          <cell r="B230" t="str">
            <v>Vta Trabajos Ext Taller Pradera</v>
          </cell>
          <cell r="C230">
            <v>-28893.59</v>
          </cell>
          <cell r="D230">
            <v>232.14</v>
          </cell>
          <cell r="E230">
            <v>2264.16</v>
          </cell>
          <cell r="F230">
            <v>-30925.61</v>
          </cell>
        </row>
        <row r="231">
          <cell r="A231" t="str">
            <v>4.002.101.2005</v>
          </cell>
          <cell r="B231" t="str">
            <v>Vta Mats Diver Cred Taller Pradera</v>
          </cell>
          <cell r="C231">
            <v>-58463.09</v>
          </cell>
          <cell r="D231">
            <v>60.27</v>
          </cell>
          <cell r="E231">
            <v>4734.45</v>
          </cell>
          <cell r="F231">
            <v>-63137.27</v>
          </cell>
        </row>
        <row r="232">
          <cell r="A232" t="str">
            <v>4.002.150.0000</v>
          </cell>
          <cell r="B232" t="str">
            <v>ENDEREZ/PINT CONTADO PRADERA</v>
          </cell>
          <cell r="C232">
            <v>-54164.68</v>
          </cell>
          <cell r="E232">
            <v>1600</v>
          </cell>
          <cell r="F232">
            <v>-55764.68</v>
          </cell>
        </row>
        <row r="233">
          <cell r="A233" t="str">
            <v>4.002.150.3000</v>
          </cell>
          <cell r="B233" t="str">
            <v>Mano de Obra End/Pintura Pradera</v>
          </cell>
          <cell r="C233">
            <v>-54164.68</v>
          </cell>
          <cell r="E233">
            <v>1600</v>
          </cell>
          <cell r="F233">
            <v>-55764.68</v>
          </cell>
        </row>
        <row r="234">
          <cell r="A234" t="str">
            <v>4.002.151.0000</v>
          </cell>
          <cell r="B234" t="str">
            <v>ENDEREZ/PINT CREDITO CRED PRADERA</v>
          </cell>
          <cell r="C234">
            <v>-1179</v>
          </cell>
          <cell r="E234">
            <v>400</v>
          </cell>
          <cell r="F234">
            <v>-1579</v>
          </cell>
        </row>
        <row r="235">
          <cell r="A235" t="str">
            <v>4.002.151.3000</v>
          </cell>
          <cell r="B235" t="str">
            <v>Mano de Obra End/Pintu Cre Pradera</v>
          </cell>
          <cell r="C235">
            <v>-1179</v>
          </cell>
          <cell r="E235">
            <v>400</v>
          </cell>
          <cell r="F235">
            <v>-1579</v>
          </cell>
        </row>
        <row r="236">
          <cell r="A236" t="str">
            <v>5.000.000.0000</v>
          </cell>
          <cell r="B236" t="str">
            <v>COSTOS</v>
          </cell>
          <cell r="C236">
            <v>21592746.609999999</v>
          </cell>
          <cell r="D236">
            <v>2678071.06</v>
          </cell>
          <cell r="E236">
            <v>594213.73</v>
          </cell>
          <cell r="F236">
            <v>23676603.940000001</v>
          </cell>
        </row>
        <row r="237">
          <cell r="A237" t="str">
            <v>5.001.000.0000</v>
          </cell>
          <cell r="B237" t="str">
            <v>COSTO DE VTAS TALLER ZONA 9</v>
          </cell>
          <cell r="C237">
            <v>17404127.309999999</v>
          </cell>
          <cell r="D237">
            <v>2239374.0299999998</v>
          </cell>
          <cell r="E237">
            <v>541024.37</v>
          </cell>
          <cell r="F237">
            <v>19102476.969999999</v>
          </cell>
        </row>
        <row r="238">
          <cell r="A238" t="str">
            <v>5.001.025.0000</v>
          </cell>
          <cell r="B238" t="str">
            <v>ACCESORIOS CONTADO</v>
          </cell>
          <cell r="C238">
            <v>11.61</v>
          </cell>
          <cell r="F238">
            <v>11.61</v>
          </cell>
        </row>
        <row r="239">
          <cell r="A239" t="str">
            <v>5.001.025.0900</v>
          </cell>
          <cell r="B239" t="str">
            <v>Costo Accesorios Contado Taller Z.9</v>
          </cell>
          <cell r="C239">
            <v>11.61</v>
          </cell>
          <cell r="F239">
            <v>11.61</v>
          </cell>
        </row>
        <row r="240">
          <cell r="A240" t="str">
            <v>5.001.026.0000</v>
          </cell>
          <cell r="B240" t="str">
            <v>ACCESORIOS CREDITO</v>
          </cell>
          <cell r="C240">
            <v>3.38</v>
          </cell>
          <cell r="F240">
            <v>3.38</v>
          </cell>
        </row>
        <row r="241">
          <cell r="A241" t="str">
            <v>5.001.026.0900</v>
          </cell>
          <cell r="B241" t="str">
            <v>Costo Accesorios Crédito Taller Z.9</v>
          </cell>
          <cell r="C241">
            <v>3.38</v>
          </cell>
          <cell r="F241">
            <v>3.38</v>
          </cell>
        </row>
        <row r="242">
          <cell r="A242" t="str">
            <v>5.001.029.0100</v>
          </cell>
          <cell r="B242" t="str">
            <v>Ajustes de Inventario Taller Z.9</v>
          </cell>
          <cell r="C242">
            <v>427962.36</v>
          </cell>
          <cell r="D242">
            <v>36130.379999999997</v>
          </cell>
          <cell r="E242">
            <v>1889.34</v>
          </cell>
          <cell r="F242">
            <v>462203.4</v>
          </cell>
        </row>
        <row r="243">
          <cell r="A243" t="str">
            <v>5.001.100.0000</v>
          </cell>
          <cell r="B243" t="str">
            <v>COSTO TALLER CONTADO</v>
          </cell>
          <cell r="C243">
            <v>7642109.1500000004</v>
          </cell>
          <cell r="D243">
            <v>896411.98</v>
          </cell>
          <cell r="E243">
            <v>107024.13</v>
          </cell>
          <cell r="F243">
            <v>8431497</v>
          </cell>
        </row>
        <row r="244">
          <cell r="A244" t="str">
            <v>5.001.100.2000</v>
          </cell>
          <cell r="B244" t="str">
            <v>Cto M/Obra Contado Taller Zona 9</v>
          </cell>
          <cell r="C244">
            <v>1106.2</v>
          </cell>
          <cell r="F244">
            <v>1106.2</v>
          </cell>
        </row>
        <row r="245">
          <cell r="A245" t="str">
            <v>5.001.100.2001</v>
          </cell>
          <cell r="B245" t="str">
            <v>Cto Comb/Lub Contado Taller Zona 9</v>
          </cell>
          <cell r="C245">
            <v>733252.79</v>
          </cell>
          <cell r="D245">
            <v>85165.24</v>
          </cell>
          <cell r="E245">
            <v>305.32</v>
          </cell>
          <cell r="F245">
            <v>818112.71</v>
          </cell>
        </row>
        <row r="246">
          <cell r="A246" t="str">
            <v>5.001.100.2002</v>
          </cell>
          <cell r="B246" t="str">
            <v>Cto Reptos Cont MMC Taller Zona 9</v>
          </cell>
          <cell r="C246">
            <v>6433272.2300000004</v>
          </cell>
          <cell r="D246">
            <v>725860.66</v>
          </cell>
          <cell r="E246">
            <v>100381.61</v>
          </cell>
          <cell r="F246">
            <v>7058751.2800000003</v>
          </cell>
        </row>
        <row r="247">
          <cell r="A247" t="str">
            <v>5.001.100.2003</v>
          </cell>
          <cell r="B247" t="str">
            <v>Cto Reptos Ajen Cont Taller Zona 9</v>
          </cell>
          <cell r="C247">
            <v>124375.33</v>
          </cell>
          <cell r="D247">
            <v>41754.94</v>
          </cell>
          <cell r="F247">
            <v>166130.26999999999</v>
          </cell>
        </row>
        <row r="248">
          <cell r="A248" t="str">
            <v>5.001.100.2004</v>
          </cell>
          <cell r="B248" t="str">
            <v>Cto Trab Ext Cont Taller Zona 9</v>
          </cell>
          <cell r="C248">
            <v>74195.740000000005</v>
          </cell>
          <cell r="D248">
            <v>11162.33</v>
          </cell>
          <cell r="E248">
            <v>6285.59</v>
          </cell>
          <cell r="F248">
            <v>79072.479999999996</v>
          </cell>
        </row>
        <row r="249">
          <cell r="A249" t="str">
            <v>5.001.100.2005</v>
          </cell>
          <cell r="B249" t="str">
            <v>Cto Mats Diver Cont Taller Zona 9</v>
          </cell>
          <cell r="C249">
            <v>232977.71</v>
          </cell>
          <cell r="D249">
            <v>17518.28</v>
          </cell>
          <cell r="E249">
            <v>51.61</v>
          </cell>
          <cell r="F249">
            <v>250444.38</v>
          </cell>
        </row>
        <row r="250">
          <cell r="A250" t="str">
            <v>5.001.100.2007</v>
          </cell>
          <cell r="B250" t="str">
            <v>Cto Otros Cont Taller Zona 9</v>
          </cell>
          <cell r="C250">
            <v>42929.15</v>
          </cell>
          <cell r="D250">
            <v>14950.53</v>
          </cell>
          <cell r="F250">
            <v>57879.68</v>
          </cell>
        </row>
        <row r="251">
          <cell r="A251" t="str">
            <v>5.001.101.0000</v>
          </cell>
          <cell r="B251" t="str">
            <v>COSTO TALLER CREDITO</v>
          </cell>
          <cell r="C251">
            <v>853244.65</v>
          </cell>
          <cell r="D251">
            <v>166420.76</v>
          </cell>
          <cell r="E251">
            <v>61147.79</v>
          </cell>
          <cell r="F251">
            <v>958517.62</v>
          </cell>
        </row>
        <row r="252">
          <cell r="A252" t="str">
            <v>5.001.101.2000</v>
          </cell>
          <cell r="B252" t="str">
            <v>Cto Mano/Obra Cred Taller Zona 9</v>
          </cell>
          <cell r="C252">
            <v>0</v>
          </cell>
          <cell r="E252">
            <v>4107.25</v>
          </cell>
          <cell r="F252">
            <v>-4107.25</v>
          </cell>
        </row>
        <row r="253">
          <cell r="A253" t="str">
            <v>5.001.101.2001</v>
          </cell>
          <cell r="B253" t="str">
            <v>Cto Comb/Lub Cred Taller Zona 9</v>
          </cell>
          <cell r="C253">
            <v>420939.92</v>
          </cell>
          <cell r="D253">
            <v>44672.11</v>
          </cell>
          <cell r="E253">
            <v>2361.1799999999998</v>
          </cell>
          <cell r="F253">
            <v>463250.85</v>
          </cell>
        </row>
        <row r="254">
          <cell r="A254" t="str">
            <v>5.001.101.2002</v>
          </cell>
          <cell r="B254" t="str">
            <v>Cto Reptos MMC Cred Taller Zona 9</v>
          </cell>
          <cell r="C254">
            <v>-20918.84</v>
          </cell>
          <cell r="D254">
            <v>64031.41</v>
          </cell>
          <cell r="E254">
            <v>44609.47</v>
          </cell>
          <cell r="F254">
            <v>-1496.9</v>
          </cell>
        </row>
        <row r="255">
          <cell r="A255" t="str">
            <v>5.001.101.2003</v>
          </cell>
          <cell r="B255" t="str">
            <v>Cto Reptos Ajen Cred Taller Zona 9</v>
          </cell>
          <cell r="C255">
            <v>203105.96</v>
          </cell>
          <cell r="D255">
            <v>24985.99</v>
          </cell>
          <cell r="E255">
            <v>445.44</v>
          </cell>
          <cell r="F255">
            <v>227646.51</v>
          </cell>
        </row>
        <row r="256">
          <cell r="A256" t="str">
            <v>5.001.101.2004</v>
          </cell>
          <cell r="B256" t="str">
            <v>Cto Trab Ext Cred Taller Zona 9</v>
          </cell>
          <cell r="C256">
            <v>99175.35</v>
          </cell>
          <cell r="D256">
            <v>22596.83</v>
          </cell>
          <cell r="E256">
            <v>8738.1299999999992</v>
          </cell>
          <cell r="F256">
            <v>113034.05</v>
          </cell>
        </row>
        <row r="257">
          <cell r="A257" t="str">
            <v>5.001.101.2005</v>
          </cell>
          <cell r="B257" t="str">
            <v>Cto Mats Diver Cred Taller Zona 9</v>
          </cell>
          <cell r="C257">
            <v>150942.26</v>
          </cell>
          <cell r="D257">
            <v>10134.42</v>
          </cell>
          <cell r="E257">
            <v>886.32</v>
          </cell>
          <cell r="F257">
            <v>160190.35999999999</v>
          </cell>
        </row>
        <row r="258">
          <cell r="A258" t="str">
            <v>5.001.104.0000</v>
          </cell>
          <cell r="B258" t="str">
            <v>COSTOS LABORALES TIVOLI</v>
          </cell>
          <cell r="C258">
            <v>5815.4</v>
          </cell>
          <cell r="F258">
            <v>5815.4</v>
          </cell>
        </row>
        <row r="259">
          <cell r="A259" t="str">
            <v>5.001.104.4004</v>
          </cell>
          <cell r="B259" t="str">
            <v>Vacaciones Tívoli</v>
          </cell>
          <cell r="C259">
            <v>5815.4</v>
          </cell>
          <cell r="F259">
            <v>5815.4</v>
          </cell>
        </row>
        <row r="260">
          <cell r="A260" t="str">
            <v>5.001.150.0000</v>
          </cell>
          <cell r="B260" t="str">
            <v>COSTO ENDEREZ/PINT CONTADO</v>
          </cell>
          <cell r="C260">
            <v>1985771.9</v>
          </cell>
          <cell r="D260">
            <v>259731.67</v>
          </cell>
          <cell r="E260">
            <v>121404.84</v>
          </cell>
          <cell r="F260">
            <v>2124098.73</v>
          </cell>
        </row>
        <row r="261">
          <cell r="A261" t="str">
            <v>5.001.150.3001</v>
          </cell>
          <cell r="B261" t="str">
            <v>Cto Repts MMC End/Pint Cont Z.9</v>
          </cell>
          <cell r="C261">
            <v>1880752.29</v>
          </cell>
          <cell r="D261">
            <v>246777.76</v>
          </cell>
          <cell r="E261">
            <v>120396.72</v>
          </cell>
          <cell r="F261">
            <v>2007133.33</v>
          </cell>
        </row>
        <row r="262">
          <cell r="A262" t="str">
            <v>5.001.150.3002</v>
          </cell>
          <cell r="B262" t="str">
            <v>Cto Rept Ajen End/Pint Cont Z.9</v>
          </cell>
          <cell r="C262">
            <v>-218.76</v>
          </cell>
          <cell r="D262">
            <v>2687.03</v>
          </cell>
          <cell r="F262">
            <v>2468.27</v>
          </cell>
        </row>
        <row r="263">
          <cell r="A263" t="str">
            <v>5.001.150.3003</v>
          </cell>
          <cell r="B263" t="str">
            <v>Cto Trab/Ext End/Pint Cont Z.9</v>
          </cell>
          <cell r="C263">
            <v>244.21</v>
          </cell>
          <cell r="E263">
            <v>1002.37</v>
          </cell>
          <cell r="F263">
            <v>-758.16</v>
          </cell>
        </row>
        <row r="264">
          <cell r="A264" t="str">
            <v>5.001.150.3004</v>
          </cell>
          <cell r="B264" t="str">
            <v>Cto Mats Div End/Pint Cont Z.9</v>
          </cell>
          <cell r="C264">
            <v>100609.07</v>
          </cell>
          <cell r="D264">
            <v>7399.86</v>
          </cell>
          <cell r="E264">
            <v>5.75</v>
          </cell>
          <cell r="F264">
            <v>108003.18</v>
          </cell>
        </row>
        <row r="265">
          <cell r="A265" t="str">
            <v>5.001.150.3007</v>
          </cell>
          <cell r="B265" t="str">
            <v>Costo Combust.Contado End/Pint</v>
          </cell>
          <cell r="C265">
            <v>4385.09</v>
          </cell>
          <cell r="D265">
            <v>2867.02</v>
          </cell>
          <cell r="F265">
            <v>7252.11</v>
          </cell>
        </row>
        <row r="266">
          <cell r="A266" t="str">
            <v>5.001.151.0000</v>
          </cell>
          <cell r="B266" t="str">
            <v>COSTO ENDEREZ/PINT CREDITO</v>
          </cell>
          <cell r="C266">
            <v>52609.17</v>
          </cell>
          <cell r="D266">
            <v>117055.2</v>
          </cell>
          <cell r="E266">
            <v>90600.92</v>
          </cell>
          <cell r="F266">
            <v>79063.45</v>
          </cell>
        </row>
        <row r="267">
          <cell r="A267" t="str">
            <v>5.001.151.3001</v>
          </cell>
          <cell r="B267" t="str">
            <v>Cto Repts MMC End/Pint Cred Z.9</v>
          </cell>
          <cell r="C267">
            <v>-119762.14</v>
          </cell>
          <cell r="D267">
            <v>96000.31</v>
          </cell>
          <cell r="E267">
            <v>89181.23</v>
          </cell>
          <cell r="F267">
            <v>-112943.06</v>
          </cell>
        </row>
        <row r="268">
          <cell r="A268" t="str">
            <v>5.001.151.3002</v>
          </cell>
          <cell r="B268" t="str">
            <v>Cto Rept Ajen End/Pint Cred Z.9</v>
          </cell>
          <cell r="C268">
            <v>97.31</v>
          </cell>
          <cell r="D268">
            <v>2135.83</v>
          </cell>
          <cell r="F268">
            <v>2233.14</v>
          </cell>
        </row>
        <row r="269">
          <cell r="A269" t="str">
            <v>5.001.151.3003</v>
          </cell>
          <cell r="B269" t="str">
            <v>Cto Trab/Ext End/Pint Cred Z.9</v>
          </cell>
          <cell r="C269">
            <v>129.66999999999999</v>
          </cell>
          <cell r="E269">
            <v>796.75</v>
          </cell>
          <cell r="F269">
            <v>-667.08</v>
          </cell>
        </row>
        <row r="270">
          <cell r="A270" t="str">
            <v>5.001.151.3004</v>
          </cell>
          <cell r="B270" t="str">
            <v>Cto Mats Div End/Pint Cred Z.9</v>
          </cell>
          <cell r="C270">
            <v>169903.84</v>
          </cell>
          <cell r="D270">
            <v>16640.169999999998</v>
          </cell>
          <cell r="E270">
            <v>622.94000000000005</v>
          </cell>
          <cell r="F270">
            <v>185921.07</v>
          </cell>
        </row>
        <row r="271">
          <cell r="A271" t="str">
            <v>5.001.151.3007</v>
          </cell>
          <cell r="B271" t="str">
            <v>Costo Combust Créd End/Pint</v>
          </cell>
          <cell r="C271">
            <v>2240.4899999999998</v>
          </cell>
          <cell r="D271">
            <v>2278.89</v>
          </cell>
          <cell r="F271">
            <v>4519.38</v>
          </cell>
        </row>
        <row r="272">
          <cell r="A272" t="str">
            <v>5.001.154.0000</v>
          </cell>
          <cell r="B272" t="str">
            <v>COSTOS LABORALES ENDEREZ Y PINTURA</v>
          </cell>
          <cell r="C272">
            <v>7073.58</v>
          </cell>
          <cell r="D272">
            <v>182.01</v>
          </cell>
          <cell r="F272">
            <v>7255.59</v>
          </cell>
        </row>
        <row r="273">
          <cell r="A273" t="str">
            <v>5.001.154.4004</v>
          </cell>
          <cell r="B273" t="str">
            <v>Vacaciones Tívoli</v>
          </cell>
          <cell r="C273">
            <v>7073.58</v>
          </cell>
          <cell r="D273">
            <v>182.01</v>
          </cell>
          <cell r="F273">
            <v>7255.59</v>
          </cell>
        </row>
        <row r="274">
          <cell r="A274" t="str">
            <v>5.001.210.0000</v>
          </cell>
          <cell r="B274" t="str">
            <v>COSTOS LABORALES TALLER TIVOLI</v>
          </cell>
          <cell r="C274">
            <v>5339809.51</v>
          </cell>
          <cell r="D274">
            <v>606190.5</v>
          </cell>
          <cell r="E274">
            <v>69167.58</v>
          </cell>
          <cell r="F274">
            <v>5876832.4299999997</v>
          </cell>
        </row>
        <row r="275">
          <cell r="A275" t="str">
            <v>5.001.210.2000</v>
          </cell>
          <cell r="B275" t="str">
            <v>Mano de Obra</v>
          </cell>
          <cell r="C275">
            <v>3060409.03</v>
          </cell>
          <cell r="D275">
            <v>368885.07</v>
          </cell>
          <cell r="E275">
            <v>50711.56</v>
          </cell>
          <cell r="F275">
            <v>3378582.54</v>
          </cell>
        </row>
        <row r="276">
          <cell r="A276" t="str">
            <v>5.001.210.3000</v>
          </cell>
          <cell r="B276" t="str">
            <v>Mano de Obra End/Pintura</v>
          </cell>
          <cell r="C276">
            <v>247912.99</v>
          </cell>
          <cell r="D276">
            <v>24645.19</v>
          </cell>
          <cell r="F276">
            <v>272558.18</v>
          </cell>
        </row>
        <row r="277">
          <cell r="A277" t="str">
            <v>5.001.210.4003</v>
          </cell>
          <cell r="B277" t="str">
            <v>Cuota Patronal Igss-Irtra e Intecap</v>
          </cell>
          <cell r="C277">
            <v>433535.5</v>
          </cell>
          <cell r="D277">
            <v>45010.07</v>
          </cell>
          <cell r="F277">
            <v>478545.57</v>
          </cell>
        </row>
        <row r="278">
          <cell r="A278" t="str">
            <v>5.001.210.4004</v>
          </cell>
          <cell r="B278" t="str">
            <v>Vacaciones</v>
          </cell>
          <cell r="C278">
            <v>147934.04</v>
          </cell>
          <cell r="D278">
            <v>22246.880000000001</v>
          </cell>
          <cell r="F278">
            <v>170180.92</v>
          </cell>
        </row>
        <row r="279">
          <cell r="A279" t="str">
            <v>5.001.210.4005</v>
          </cell>
          <cell r="B279" t="str">
            <v>Aguinaldos</v>
          </cell>
          <cell r="C279">
            <v>300481.36</v>
          </cell>
          <cell r="D279">
            <v>31317.99</v>
          </cell>
          <cell r="E279">
            <v>18456.02</v>
          </cell>
          <cell r="F279">
            <v>313343.33</v>
          </cell>
        </row>
        <row r="280">
          <cell r="A280" t="str">
            <v>5.001.210.4006</v>
          </cell>
          <cell r="B280" t="str">
            <v>Indemnizaciones</v>
          </cell>
          <cell r="C280">
            <v>300481.37</v>
          </cell>
          <cell r="D280">
            <v>31317.99</v>
          </cell>
          <cell r="F280">
            <v>331799.36</v>
          </cell>
        </row>
        <row r="281">
          <cell r="A281" t="str">
            <v>5.001.210.4008</v>
          </cell>
          <cell r="B281" t="str">
            <v>Sueldos</v>
          </cell>
          <cell r="C281">
            <v>153457.01</v>
          </cell>
          <cell r="D281">
            <v>14009.75</v>
          </cell>
          <cell r="F281">
            <v>167466.76</v>
          </cell>
        </row>
        <row r="282">
          <cell r="A282" t="str">
            <v>5.001.210.4009</v>
          </cell>
          <cell r="B282" t="str">
            <v>Bonificaciones</v>
          </cell>
          <cell r="C282">
            <v>51629.04</v>
          </cell>
          <cell r="D282">
            <v>3102.5</v>
          </cell>
          <cell r="F282">
            <v>54731.54</v>
          </cell>
        </row>
        <row r="283">
          <cell r="A283" t="str">
            <v>5.001.210.4010</v>
          </cell>
          <cell r="B283" t="str">
            <v>Bonificación 78-89</v>
          </cell>
          <cell r="C283">
            <v>215156.4</v>
          </cell>
          <cell r="D283">
            <v>20066.66</v>
          </cell>
          <cell r="F283">
            <v>235223.06</v>
          </cell>
        </row>
        <row r="284">
          <cell r="A284" t="str">
            <v>5.001.210.4011</v>
          </cell>
          <cell r="B284" t="str">
            <v>Bonificación Dto. 42-92</v>
          </cell>
          <cell r="C284">
            <v>292301.32</v>
          </cell>
          <cell r="D284">
            <v>31317.99</v>
          </cell>
          <cell r="F284">
            <v>323619.31</v>
          </cell>
        </row>
        <row r="285">
          <cell r="A285" t="str">
            <v>5.001.210.4012</v>
          </cell>
          <cell r="B285" t="str">
            <v>Tiempo Extra</v>
          </cell>
          <cell r="C285">
            <v>136511.45000000001</v>
          </cell>
          <cell r="D285">
            <v>14270.41</v>
          </cell>
          <cell r="F285">
            <v>150781.85999999999</v>
          </cell>
        </row>
        <row r="286">
          <cell r="A286" t="str">
            <v>5.001.213.0000</v>
          </cell>
          <cell r="B286" t="str">
            <v>COSTOS LABORALES TALLER ENDEREZADO</v>
          </cell>
          <cell r="C286">
            <v>1089716.6000000001</v>
          </cell>
          <cell r="D286">
            <v>157251.53</v>
          </cell>
          <cell r="E286">
            <v>89789.77</v>
          </cell>
          <cell r="F286">
            <v>1157178.3600000001</v>
          </cell>
        </row>
        <row r="287">
          <cell r="A287" t="str">
            <v>5.001.213.3000</v>
          </cell>
          <cell r="B287" t="str">
            <v>Mano de Obra End/Pintura</v>
          </cell>
          <cell r="C287">
            <v>485773.84</v>
          </cell>
          <cell r="D287">
            <v>93349.77</v>
          </cell>
          <cell r="E287">
            <v>89789.77</v>
          </cell>
          <cell r="F287">
            <v>489333.84</v>
          </cell>
        </row>
        <row r="288">
          <cell r="A288" t="str">
            <v>5.001.213.4003</v>
          </cell>
          <cell r="B288" t="str">
            <v>Cuota Patronal Igss-Irtra e Intecap</v>
          </cell>
          <cell r="C288">
            <v>134021.14000000001</v>
          </cell>
          <cell r="D288">
            <v>13955.27</v>
          </cell>
          <cell r="F288">
            <v>147976.41</v>
          </cell>
        </row>
        <row r="289">
          <cell r="A289" t="str">
            <v>5.001.213.4004</v>
          </cell>
          <cell r="B289" t="str">
            <v>Vacaciones</v>
          </cell>
          <cell r="C289">
            <v>45406.48</v>
          </cell>
          <cell r="D289">
            <v>7054.77</v>
          </cell>
          <cell r="F289">
            <v>52461.25</v>
          </cell>
        </row>
        <row r="290">
          <cell r="A290" t="str">
            <v>5.001.213.4005</v>
          </cell>
          <cell r="B290" t="str">
            <v>Aguinaldos</v>
          </cell>
          <cell r="C290">
            <v>91430.59</v>
          </cell>
          <cell r="D290">
            <v>9529.3799999999992</v>
          </cell>
          <cell r="F290">
            <v>100959.97</v>
          </cell>
        </row>
        <row r="291">
          <cell r="A291" t="str">
            <v>5.001.213.4006</v>
          </cell>
          <cell r="B291" t="str">
            <v>Indemnizaciones</v>
          </cell>
          <cell r="C291">
            <v>91430.57</v>
          </cell>
          <cell r="D291">
            <v>9529.3799999999992</v>
          </cell>
          <cell r="F291">
            <v>100959.95</v>
          </cell>
        </row>
        <row r="292">
          <cell r="A292" t="str">
            <v>5.001.213.4008</v>
          </cell>
          <cell r="B292" t="str">
            <v>Sueldos</v>
          </cell>
          <cell r="C292">
            <v>115617.23</v>
          </cell>
          <cell r="D292">
            <v>11027.94</v>
          </cell>
          <cell r="F292">
            <v>126645.17</v>
          </cell>
        </row>
        <row r="293">
          <cell r="A293" t="str">
            <v>5.001.213.4010</v>
          </cell>
          <cell r="B293" t="str">
            <v>Bonificación 78-89</v>
          </cell>
          <cell r="C293">
            <v>32625.01</v>
          </cell>
          <cell r="D293">
            <v>3083.34</v>
          </cell>
          <cell r="F293">
            <v>35708.35</v>
          </cell>
        </row>
        <row r="294">
          <cell r="A294" t="str">
            <v>5.001.213.4011</v>
          </cell>
          <cell r="B294" t="str">
            <v>Bonificación Dto. 42-92</v>
          </cell>
          <cell r="C294">
            <v>91430.57</v>
          </cell>
          <cell r="D294">
            <v>9529.3799999999992</v>
          </cell>
          <cell r="F294">
            <v>100959.95</v>
          </cell>
        </row>
        <row r="295">
          <cell r="A295" t="str">
            <v>5.001.213.4012</v>
          </cell>
          <cell r="B295" t="str">
            <v>Tiempo Extra</v>
          </cell>
          <cell r="C295">
            <v>1981.17</v>
          </cell>
          <cell r="D295">
            <v>192.3</v>
          </cell>
          <cell r="F295">
            <v>2173.4699999999998</v>
          </cell>
        </row>
        <row r="296">
          <cell r="A296" t="str">
            <v>5.002.000.0000</v>
          </cell>
          <cell r="B296" t="str">
            <v>COSTO DE VTAS PRADERA</v>
          </cell>
          <cell r="C296">
            <v>4188619.3</v>
          </cell>
          <cell r="D296">
            <v>438697.03</v>
          </cell>
          <cell r="E296">
            <v>53189.36</v>
          </cell>
          <cell r="F296">
            <v>4574126.97</v>
          </cell>
        </row>
        <row r="297">
          <cell r="A297" t="str">
            <v>5.002.029.0100</v>
          </cell>
          <cell r="B297" t="str">
            <v>Ajustes de Inventario Pradera</v>
          </cell>
          <cell r="C297">
            <v>18667.62</v>
          </cell>
          <cell r="D297">
            <v>12403.29</v>
          </cell>
          <cell r="E297">
            <v>11830.65</v>
          </cell>
          <cell r="F297">
            <v>19240.259999999998</v>
          </cell>
        </row>
        <row r="298">
          <cell r="A298" t="str">
            <v>5.002.100.0000</v>
          </cell>
          <cell r="B298" t="str">
            <v>COSTO TALLER CONTADO PRADERA</v>
          </cell>
          <cell r="C298">
            <v>2568853.52</v>
          </cell>
          <cell r="D298">
            <v>234718.1</v>
          </cell>
          <cell r="E298">
            <v>30813.49</v>
          </cell>
          <cell r="F298">
            <v>2772758.13</v>
          </cell>
        </row>
        <row r="299">
          <cell r="A299" t="str">
            <v>5.002.100.2001</v>
          </cell>
          <cell r="B299" t="str">
            <v>Cto Comb/Lub Contado Taller Pradera</v>
          </cell>
          <cell r="C299">
            <v>297763.18</v>
          </cell>
          <cell r="D299">
            <v>28451.38</v>
          </cell>
          <cell r="E299">
            <v>989.99</v>
          </cell>
          <cell r="F299">
            <v>325224.57</v>
          </cell>
        </row>
        <row r="300">
          <cell r="A300" t="str">
            <v>5.002.100.2002</v>
          </cell>
          <cell r="B300" t="str">
            <v>Cto Rept Con Propios Taller Pradera</v>
          </cell>
          <cell r="C300">
            <v>2128326.13</v>
          </cell>
          <cell r="D300">
            <v>191464.99</v>
          </cell>
          <cell r="E300">
            <v>29628.81</v>
          </cell>
          <cell r="F300">
            <v>2290162.31</v>
          </cell>
        </row>
        <row r="301">
          <cell r="A301" t="str">
            <v>5.002.100.2003</v>
          </cell>
          <cell r="B301" t="str">
            <v>Cto Reptos Ajen Cont Taller Pradera</v>
          </cell>
          <cell r="C301">
            <v>955.82</v>
          </cell>
          <cell r="D301">
            <v>399.14</v>
          </cell>
          <cell r="F301">
            <v>1354.96</v>
          </cell>
        </row>
        <row r="302">
          <cell r="A302" t="str">
            <v>5.002.100.2004</v>
          </cell>
          <cell r="B302" t="str">
            <v>Cto Trab Ext Cont Taller Pradera</v>
          </cell>
          <cell r="C302">
            <v>34201.769999999997</v>
          </cell>
          <cell r="D302">
            <v>4723.4799999999996</v>
          </cell>
          <cell r="F302">
            <v>38925.25</v>
          </cell>
        </row>
        <row r="303">
          <cell r="A303" t="str">
            <v>5.002.100.2005</v>
          </cell>
          <cell r="B303" t="str">
            <v>Cto Mats Diver Cont Taller Pradera</v>
          </cell>
          <cell r="C303">
            <v>107606.62</v>
          </cell>
          <cell r="D303">
            <v>9679.11</v>
          </cell>
          <cell r="E303">
            <v>194.69</v>
          </cell>
          <cell r="F303">
            <v>117091.04</v>
          </cell>
        </row>
        <row r="304">
          <cell r="A304" t="str">
            <v>5.002.101.0000</v>
          </cell>
          <cell r="B304" t="str">
            <v>TALLER CREDITO PRADERA</v>
          </cell>
          <cell r="C304">
            <v>115752.16</v>
          </cell>
          <cell r="D304">
            <v>11241.75</v>
          </cell>
          <cell r="E304">
            <v>4502.6099999999997</v>
          </cell>
          <cell r="F304">
            <v>122491.3</v>
          </cell>
        </row>
        <row r="305">
          <cell r="A305" t="str">
            <v>5.002.101.2001</v>
          </cell>
          <cell r="B305" t="str">
            <v>Cto Comb/Lub Cred Taller Pradera</v>
          </cell>
          <cell r="C305">
            <v>65437.279999999999</v>
          </cell>
          <cell r="D305">
            <v>3505.15</v>
          </cell>
          <cell r="E305">
            <v>74.95</v>
          </cell>
          <cell r="F305">
            <v>68867.48</v>
          </cell>
        </row>
        <row r="306">
          <cell r="A306" t="str">
            <v>5.002.101.2002</v>
          </cell>
          <cell r="B306" t="str">
            <v>Cto Rep Propios Cre Taller Pradera</v>
          </cell>
          <cell r="C306">
            <v>-7905.58</v>
          </cell>
          <cell r="D306">
            <v>5141.3100000000004</v>
          </cell>
          <cell r="E306">
            <v>4406.5200000000004</v>
          </cell>
          <cell r="F306">
            <v>-7170.79</v>
          </cell>
        </row>
        <row r="307">
          <cell r="A307" t="str">
            <v>5.002.101.2003</v>
          </cell>
          <cell r="B307" t="str">
            <v>Cto Rept Ajenos Cre Taller Pradera</v>
          </cell>
          <cell r="C307">
            <v>614.28</v>
          </cell>
          <cell r="F307">
            <v>614.28</v>
          </cell>
        </row>
        <row r="308">
          <cell r="A308" t="str">
            <v>5.002.101.2004</v>
          </cell>
          <cell r="B308" t="str">
            <v>Cto Trab Ext Cre Taller Pradera</v>
          </cell>
          <cell r="C308">
            <v>35534.29</v>
          </cell>
          <cell r="D308">
            <v>1741.68</v>
          </cell>
          <cell r="F308">
            <v>37275.97</v>
          </cell>
        </row>
        <row r="309">
          <cell r="A309" t="str">
            <v>5.002.101.2005</v>
          </cell>
          <cell r="B309" t="str">
            <v>Cto Mats Diver Cred Taller Pradera</v>
          </cell>
          <cell r="C309">
            <v>22071.89</v>
          </cell>
          <cell r="D309">
            <v>853.61</v>
          </cell>
          <cell r="E309">
            <v>21.14</v>
          </cell>
          <cell r="F309">
            <v>22904.36</v>
          </cell>
        </row>
        <row r="310">
          <cell r="A310" t="str">
            <v>5.002.210.0000</v>
          </cell>
          <cell r="B310" t="str">
            <v>COSTOS LABORALES TALLER PRADERA</v>
          </cell>
          <cell r="C310">
            <v>1485346</v>
          </cell>
          <cell r="D310">
            <v>180333.89</v>
          </cell>
          <cell r="E310">
            <v>6042.61</v>
          </cell>
          <cell r="F310">
            <v>1659637.28</v>
          </cell>
        </row>
        <row r="311">
          <cell r="A311" t="str">
            <v>5.002.210.2000</v>
          </cell>
          <cell r="B311" t="str">
            <v>Mano de Obra</v>
          </cell>
          <cell r="C311">
            <v>978859.09</v>
          </cell>
          <cell r="D311">
            <v>117321.26</v>
          </cell>
          <cell r="E311">
            <v>6042.61</v>
          </cell>
          <cell r="F311">
            <v>1090137.74</v>
          </cell>
        </row>
        <row r="312">
          <cell r="A312" t="str">
            <v>5.002.210.4003</v>
          </cell>
          <cell r="B312" t="str">
            <v>Cuota Patronal Igss-Irtra e Intecap</v>
          </cell>
          <cell r="C312">
            <v>117609.41</v>
          </cell>
          <cell r="D312">
            <v>12005.24</v>
          </cell>
          <cell r="F312">
            <v>129614.65</v>
          </cell>
        </row>
        <row r="313">
          <cell r="A313" t="str">
            <v>5.002.210.4004</v>
          </cell>
          <cell r="B313" t="str">
            <v>Vacaciones</v>
          </cell>
          <cell r="C313">
            <v>45090.64</v>
          </cell>
          <cell r="D313">
            <v>1162.4000000000001</v>
          </cell>
          <cell r="F313">
            <v>46253.04</v>
          </cell>
        </row>
        <row r="314">
          <cell r="A314" t="str">
            <v>5.002.210.4005</v>
          </cell>
          <cell r="B314" t="str">
            <v>Aguinaldos</v>
          </cell>
          <cell r="C314">
            <v>81453.89</v>
          </cell>
          <cell r="D314">
            <v>8328.0499999999993</v>
          </cell>
          <cell r="F314">
            <v>89781.94</v>
          </cell>
        </row>
        <row r="315">
          <cell r="A315" t="str">
            <v>5.002.210.4006</v>
          </cell>
          <cell r="B315" t="str">
            <v>Indemnizaciones</v>
          </cell>
          <cell r="C315">
            <v>81453.83</v>
          </cell>
          <cell r="D315">
            <v>8328.0499999999993</v>
          </cell>
          <cell r="F315">
            <v>89781.88</v>
          </cell>
        </row>
        <row r="316">
          <cell r="A316" t="str">
            <v>5.002.210.4009</v>
          </cell>
          <cell r="B316" t="str">
            <v>Bonificaciones</v>
          </cell>
          <cell r="C316">
            <v>2450</v>
          </cell>
          <cell r="D316">
            <v>350</v>
          </cell>
          <cell r="F316">
            <v>2800</v>
          </cell>
        </row>
        <row r="317">
          <cell r="A317" t="str">
            <v>5.002.210.4010</v>
          </cell>
          <cell r="B317" t="str">
            <v>Bonificación 78-89</v>
          </cell>
          <cell r="C317">
            <v>61518.58</v>
          </cell>
          <cell r="D317">
            <v>8474.52</v>
          </cell>
          <cell r="F317">
            <v>69993.100000000006</v>
          </cell>
        </row>
        <row r="318">
          <cell r="A318" t="str">
            <v>5.002.210.4011</v>
          </cell>
          <cell r="B318" t="str">
            <v>Bonificación Dto. 42-92</v>
          </cell>
          <cell r="C318">
            <v>81453.89</v>
          </cell>
          <cell r="D318">
            <v>8328.0499999999993</v>
          </cell>
          <cell r="F318">
            <v>89781.94</v>
          </cell>
        </row>
        <row r="319">
          <cell r="A319" t="str">
            <v>5.002.210.4012</v>
          </cell>
          <cell r="B319" t="str">
            <v>Tiempo Extra</v>
          </cell>
          <cell r="C319">
            <v>35456.67</v>
          </cell>
          <cell r="D319">
            <v>16036.32</v>
          </cell>
          <cell r="F319">
            <v>51492.99</v>
          </cell>
        </row>
        <row r="320">
          <cell r="A320" t="str">
            <v>6.000.000.0000</v>
          </cell>
          <cell r="B320" t="str">
            <v>GASTOS</v>
          </cell>
          <cell r="C320">
            <v>3533772.41</v>
          </cell>
          <cell r="D320">
            <v>426489.39</v>
          </cell>
          <cell r="E320">
            <v>29613.77</v>
          </cell>
          <cell r="F320">
            <v>3930648.03</v>
          </cell>
        </row>
        <row r="321">
          <cell r="A321" t="str">
            <v>6.001.000.0000</v>
          </cell>
          <cell r="B321" t="str">
            <v>GASTOS TALLER ZONA 9</v>
          </cell>
          <cell r="C321">
            <v>3207143.96</v>
          </cell>
          <cell r="D321">
            <v>404609.3</v>
          </cell>
          <cell r="E321">
            <v>29613.77</v>
          </cell>
          <cell r="F321">
            <v>3582139.49</v>
          </cell>
        </row>
        <row r="322">
          <cell r="A322" t="str">
            <v>6.001.201.0000</v>
          </cell>
          <cell r="B322" t="str">
            <v>GASTOS VENTAS AUTOS</v>
          </cell>
          <cell r="C322">
            <v>18806.439999999999</v>
          </cell>
          <cell r="D322">
            <v>5404.26</v>
          </cell>
          <cell r="E322">
            <v>2120.4499999999998</v>
          </cell>
          <cell r="F322">
            <v>22090.25</v>
          </cell>
        </row>
        <row r="323">
          <cell r="A323" t="str">
            <v>6.001.201.4004</v>
          </cell>
          <cell r="B323" t="str">
            <v>Vacaciones</v>
          </cell>
          <cell r="C323">
            <v>1586.77</v>
          </cell>
          <cell r="F323">
            <v>1586.77</v>
          </cell>
        </row>
        <row r="324">
          <cell r="A324" t="str">
            <v>6.001.201.4007</v>
          </cell>
          <cell r="B324" t="str">
            <v>Uniformes y Otros</v>
          </cell>
          <cell r="C324">
            <v>0</v>
          </cell>
          <cell r="E324">
            <v>535.94000000000005</v>
          </cell>
          <cell r="F324">
            <v>-535.94000000000005</v>
          </cell>
        </row>
        <row r="325">
          <cell r="A325" t="str">
            <v>6.001.201.4008</v>
          </cell>
          <cell r="B325" t="str">
            <v>Sueldos</v>
          </cell>
          <cell r="C325">
            <v>0</v>
          </cell>
          <cell r="E325">
            <v>1184.51</v>
          </cell>
          <cell r="F325">
            <v>-1184.51</v>
          </cell>
        </row>
        <row r="326">
          <cell r="A326" t="str">
            <v>6.001.201.4013</v>
          </cell>
          <cell r="B326" t="str">
            <v>Seminarios-Entrenamientos</v>
          </cell>
          <cell r="C326">
            <v>13316.16</v>
          </cell>
          <cell r="F326">
            <v>13316.16</v>
          </cell>
        </row>
        <row r="327">
          <cell r="A327" t="str">
            <v>6.001.201.4054</v>
          </cell>
          <cell r="B327" t="str">
            <v>Acondicionamiento de Autos</v>
          </cell>
          <cell r="C327">
            <v>1517.86</v>
          </cell>
          <cell r="F327">
            <v>1517.86</v>
          </cell>
        </row>
        <row r="328">
          <cell r="A328" t="str">
            <v>6.001.201.4056</v>
          </cell>
          <cell r="B328" t="str">
            <v>Combustibles Autos Nuevos</v>
          </cell>
          <cell r="C328">
            <v>0</v>
          </cell>
          <cell r="D328">
            <v>455.36</v>
          </cell>
          <cell r="F328">
            <v>455.36</v>
          </cell>
        </row>
        <row r="329">
          <cell r="A329" t="str">
            <v>6.001.201.4073</v>
          </cell>
          <cell r="B329" t="str">
            <v>Papelería y Utiles</v>
          </cell>
          <cell r="C329">
            <v>0</v>
          </cell>
          <cell r="D329">
            <v>1267.8599999999999</v>
          </cell>
          <cell r="F329">
            <v>1267.8599999999999</v>
          </cell>
        </row>
        <row r="330">
          <cell r="A330" t="str">
            <v>6.001.201.4078</v>
          </cell>
          <cell r="B330" t="str">
            <v>Teléfono-Télex-Fax</v>
          </cell>
          <cell r="C330">
            <v>0</v>
          </cell>
          <cell r="D330">
            <v>89.29</v>
          </cell>
          <cell r="F330">
            <v>89.29</v>
          </cell>
        </row>
        <row r="331">
          <cell r="A331" t="str">
            <v>6.001.201.4079</v>
          </cell>
          <cell r="B331" t="str">
            <v>Correos y Telégrafos</v>
          </cell>
          <cell r="C331">
            <v>178.2</v>
          </cell>
          <cell r="F331">
            <v>178.2</v>
          </cell>
        </row>
        <row r="332">
          <cell r="A332" t="str">
            <v>6.001.201.4084</v>
          </cell>
          <cell r="B332" t="str">
            <v>Gastos de Viaje</v>
          </cell>
          <cell r="C332">
            <v>0</v>
          </cell>
          <cell r="D332">
            <v>647.36</v>
          </cell>
          <cell r="F332">
            <v>647.36</v>
          </cell>
        </row>
        <row r="333">
          <cell r="A333" t="str">
            <v>6.001.201.4087</v>
          </cell>
          <cell r="B333" t="str">
            <v>Primas de Seguro y Fianzas</v>
          </cell>
          <cell r="C333">
            <v>787.5</v>
          </cell>
          <cell r="F333">
            <v>787.5</v>
          </cell>
        </row>
        <row r="334">
          <cell r="A334" t="str">
            <v>6.001.201.4092</v>
          </cell>
          <cell r="B334" t="str">
            <v>Gastos Misceláneos</v>
          </cell>
          <cell r="C334">
            <v>1419.95</v>
          </cell>
          <cell r="D334">
            <v>2840.82</v>
          </cell>
          <cell r="E334">
            <v>400</v>
          </cell>
          <cell r="F334">
            <v>3860.77</v>
          </cell>
        </row>
        <row r="335">
          <cell r="A335" t="str">
            <v>6.001.201.4096</v>
          </cell>
          <cell r="B335" t="str">
            <v>Mantenimiento de Maquinaria</v>
          </cell>
          <cell r="C335">
            <v>0</v>
          </cell>
          <cell r="D335">
            <v>103.57</v>
          </cell>
          <cell r="F335">
            <v>103.57</v>
          </cell>
        </row>
        <row r="336">
          <cell r="A336" t="str">
            <v>6.001.202.0000</v>
          </cell>
          <cell r="B336" t="str">
            <v>GASTOS VENTAS REPUESTOS</v>
          </cell>
          <cell r="C336">
            <v>208.04</v>
          </cell>
          <cell r="F336">
            <v>208.04</v>
          </cell>
        </row>
        <row r="337">
          <cell r="A337" t="str">
            <v>6.001.202.4097</v>
          </cell>
          <cell r="B337" t="str">
            <v>Mantenimiento de Equipo Cómputos</v>
          </cell>
          <cell r="C337">
            <v>208.04</v>
          </cell>
          <cell r="F337">
            <v>208.04</v>
          </cell>
        </row>
        <row r="338">
          <cell r="A338" t="str">
            <v>6.001.204.0000</v>
          </cell>
          <cell r="B338" t="str">
            <v>GASTOS DIRECCION-GERENCIA</v>
          </cell>
          <cell r="C338">
            <v>526616.16</v>
          </cell>
          <cell r="D338">
            <v>86902.48</v>
          </cell>
          <cell r="E338">
            <v>21000</v>
          </cell>
          <cell r="F338">
            <v>592518.64</v>
          </cell>
        </row>
        <row r="339">
          <cell r="A339" t="str">
            <v>6.001.204.4002</v>
          </cell>
          <cell r="B339" t="str">
            <v>Comisiones Gerencia</v>
          </cell>
          <cell r="C339">
            <v>181000</v>
          </cell>
          <cell r="D339">
            <v>44000</v>
          </cell>
          <cell r="E339">
            <v>21000</v>
          </cell>
          <cell r="F339">
            <v>204000</v>
          </cell>
        </row>
        <row r="340">
          <cell r="A340" t="str">
            <v>6.001.204.4003</v>
          </cell>
          <cell r="B340" t="str">
            <v>Cuota Patronal Igss-Irtra e Intecap</v>
          </cell>
          <cell r="C340">
            <v>44332.4</v>
          </cell>
          <cell r="D340">
            <v>4782.93</v>
          </cell>
          <cell r="F340">
            <v>49115.33</v>
          </cell>
        </row>
        <row r="341">
          <cell r="A341" t="str">
            <v>6.001.204.4005</v>
          </cell>
          <cell r="B341" t="str">
            <v>Aguinaldos</v>
          </cell>
          <cell r="C341">
            <v>24437.49</v>
          </cell>
          <cell r="D341">
            <v>3166.67</v>
          </cell>
          <cell r="F341">
            <v>27604.16</v>
          </cell>
        </row>
        <row r="342">
          <cell r="A342" t="str">
            <v>6.001.204.4006</v>
          </cell>
          <cell r="B342" t="str">
            <v>Indemnizaciones</v>
          </cell>
          <cell r="C342">
            <v>24437.49</v>
          </cell>
          <cell r="D342">
            <v>3166.67</v>
          </cell>
          <cell r="F342">
            <v>27604.16</v>
          </cell>
        </row>
        <row r="343">
          <cell r="A343" t="str">
            <v>6.001.204.4008</v>
          </cell>
          <cell r="B343" t="str">
            <v>Sueldos</v>
          </cell>
          <cell r="C343">
            <v>131275</v>
          </cell>
          <cell r="D343">
            <v>14750</v>
          </cell>
          <cell r="F343">
            <v>146025</v>
          </cell>
        </row>
        <row r="344">
          <cell r="A344" t="str">
            <v>6.001.204.4010</v>
          </cell>
          <cell r="B344" t="str">
            <v>Bonificación 78-89</v>
          </cell>
          <cell r="C344">
            <v>2225</v>
          </cell>
          <cell r="D344">
            <v>250</v>
          </cell>
          <cell r="F344">
            <v>2475</v>
          </cell>
        </row>
        <row r="345">
          <cell r="A345" t="str">
            <v>6.001.204.4011</v>
          </cell>
          <cell r="B345" t="str">
            <v>Bonificación Dto. 42-92</v>
          </cell>
          <cell r="C345">
            <v>26378.93</v>
          </cell>
          <cell r="D345">
            <v>3166.67</v>
          </cell>
          <cell r="F345">
            <v>29545.599999999999</v>
          </cell>
        </row>
        <row r="346">
          <cell r="A346" t="str">
            <v>6.001.204.4016</v>
          </cell>
          <cell r="B346" t="str">
            <v>Otros Beneficios Empleados</v>
          </cell>
          <cell r="C346">
            <v>16518.07</v>
          </cell>
          <cell r="D346">
            <v>3120.49</v>
          </cell>
          <cell r="F346">
            <v>19638.560000000001</v>
          </cell>
        </row>
        <row r="347">
          <cell r="A347" t="str">
            <v>6.001.204.4073</v>
          </cell>
          <cell r="B347" t="str">
            <v>Papelería y Utiles</v>
          </cell>
          <cell r="C347">
            <v>1029.54</v>
          </cell>
          <cell r="D347">
            <v>1858.57</v>
          </cell>
          <cell r="F347">
            <v>2888.11</v>
          </cell>
        </row>
        <row r="348">
          <cell r="A348" t="str">
            <v>6.001.204.4077</v>
          </cell>
          <cell r="B348" t="str">
            <v>Cuotas y Suscripciones</v>
          </cell>
          <cell r="C348">
            <v>3240.72</v>
          </cell>
          <cell r="F348">
            <v>3240.72</v>
          </cell>
        </row>
        <row r="349">
          <cell r="A349" t="str">
            <v>6.001.204.4078</v>
          </cell>
          <cell r="B349" t="str">
            <v>Teléfono-Télex-Fax</v>
          </cell>
          <cell r="C349">
            <v>291.52</v>
          </cell>
          <cell r="F349">
            <v>291.52</v>
          </cell>
        </row>
        <row r="350">
          <cell r="A350" t="str">
            <v>6.001.204.4079</v>
          </cell>
          <cell r="B350" t="str">
            <v>Correos y Telégrafos</v>
          </cell>
          <cell r="C350">
            <v>4520.57</v>
          </cell>
          <cell r="F350">
            <v>4520.57</v>
          </cell>
        </row>
        <row r="351">
          <cell r="A351" t="str">
            <v>6.001.204.4084</v>
          </cell>
          <cell r="B351" t="str">
            <v>Gastos de Viaje</v>
          </cell>
          <cell r="C351">
            <v>3036.2</v>
          </cell>
          <cell r="F351">
            <v>3036.2</v>
          </cell>
        </row>
        <row r="352">
          <cell r="A352" t="str">
            <v>6.001.204.4085</v>
          </cell>
          <cell r="B352" t="str">
            <v>Gastos de Representación</v>
          </cell>
          <cell r="C352">
            <v>9187.06</v>
          </cell>
          <cell r="D352">
            <v>1330.42</v>
          </cell>
          <cell r="F352">
            <v>10517.48</v>
          </cell>
        </row>
        <row r="353">
          <cell r="A353" t="str">
            <v>6.001.204.4091</v>
          </cell>
          <cell r="B353" t="str">
            <v>Impuestos y Contribuciones</v>
          </cell>
          <cell r="C353">
            <v>384.78</v>
          </cell>
          <cell r="F353">
            <v>384.78</v>
          </cell>
        </row>
        <row r="354">
          <cell r="A354" t="str">
            <v>6.001.204.4092</v>
          </cell>
          <cell r="B354" t="str">
            <v>Gastos Misceláneos</v>
          </cell>
          <cell r="C354">
            <v>2062.25</v>
          </cell>
          <cell r="D354">
            <v>1412.06</v>
          </cell>
          <cell r="F354">
            <v>3474.31</v>
          </cell>
        </row>
        <row r="355">
          <cell r="A355" t="str">
            <v>6.001.204.4095</v>
          </cell>
          <cell r="B355" t="str">
            <v>Mantenimiento de Equipo Oficina</v>
          </cell>
          <cell r="C355">
            <v>1657.14</v>
          </cell>
          <cell r="F355">
            <v>1657.14</v>
          </cell>
        </row>
        <row r="356">
          <cell r="A356" t="str">
            <v>6.001.204.4103</v>
          </cell>
          <cell r="B356" t="str">
            <v>Auditoria</v>
          </cell>
          <cell r="C356">
            <v>20860</v>
          </cell>
          <cell r="F356">
            <v>20860</v>
          </cell>
        </row>
        <row r="357">
          <cell r="A357" t="str">
            <v>6.001.204.4123</v>
          </cell>
          <cell r="B357" t="str">
            <v>Renta de Mobiliario y Equipo</v>
          </cell>
          <cell r="C357">
            <v>29742</v>
          </cell>
          <cell r="D357">
            <v>5898</v>
          </cell>
          <cell r="F357">
            <v>35640</v>
          </cell>
        </row>
        <row r="358">
          <cell r="A358" t="str">
            <v>6.001.205.0000</v>
          </cell>
          <cell r="B358" t="str">
            <v>GASTOS CONTABILIDAD</v>
          </cell>
          <cell r="C358">
            <v>60636.69</v>
          </cell>
          <cell r="D358">
            <v>5446.27</v>
          </cell>
          <cell r="F358">
            <v>66082.960000000006</v>
          </cell>
        </row>
        <row r="359">
          <cell r="A359" t="str">
            <v>6.001.205.4003</v>
          </cell>
          <cell r="B359" t="str">
            <v>Cuota Patronal Igss-Irtra e Intecap</v>
          </cell>
          <cell r="C359">
            <v>11815.89</v>
          </cell>
          <cell r="D359">
            <v>525.66</v>
          </cell>
          <cell r="F359">
            <v>12341.55</v>
          </cell>
        </row>
        <row r="360">
          <cell r="A360" t="str">
            <v>6.001.205.4004</v>
          </cell>
          <cell r="B360" t="str">
            <v>Vacaciones</v>
          </cell>
          <cell r="C360">
            <v>2053.61</v>
          </cell>
          <cell r="F360">
            <v>2053.61</v>
          </cell>
        </row>
        <row r="361">
          <cell r="A361" t="str">
            <v>6.001.205.4005</v>
          </cell>
          <cell r="B361" t="str">
            <v>Aguinaldos</v>
          </cell>
          <cell r="C361">
            <v>3069.45</v>
          </cell>
          <cell r="D361">
            <v>366.57</v>
          </cell>
          <cell r="F361">
            <v>3436.02</v>
          </cell>
        </row>
        <row r="362">
          <cell r="A362" t="str">
            <v>6.001.205.4006</v>
          </cell>
          <cell r="B362" t="str">
            <v>Indemnizaciones</v>
          </cell>
          <cell r="C362">
            <v>3069.45</v>
          </cell>
          <cell r="D362">
            <v>366.57</v>
          </cell>
          <cell r="F362">
            <v>3436.02</v>
          </cell>
        </row>
        <row r="363">
          <cell r="A363" t="str">
            <v>6.001.205.4008</v>
          </cell>
          <cell r="B363" t="str">
            <v>Sueldos</v>
          </cell>
          <cell r="C363">
            <v>25153.99</v>
          </cell>
          <cell r="D363">
            <v>2503.8000000000002</v>
          </cell>
          <cell r="F363">
            <v>27657.79</v>
          </cell>
        </row>
        <row r="364">
          <cell r="A364" t="str">
            <v>6.001.205.4010</v>
          </cell>
          <cell r="B364" t="str">
            <v>Bonificación 78-89</v>
          </cell>
          <cell r="C364">
            <v>2575</v>
          </cell>
          <cell r="D364">
            <v>250</v>
          </cell>
          <cell r="F364">
            <v>2825</v>
          </cell>
        </row>
        <row r="365">
          <cell r="A365" t="str">
            <v>6.001.205.4011</v>
          </cell>
          <cell r="B365" t="str">
            <v>Bonificación Dto. 42-92</v>
          </cell>
          <cell r="C365">
            <v>3069.45</v>
          </cell>
          <cell r="D365">
            <v>366.57</v>
          </cell>
          <cell r="F365">
            <v>3436.02</v>
          </cell>
        </row>
        <row r="366">
          <cell r="A366" t="str">
            <v>6.001.205.4012</v>
          </cell>
          <cell r="B366" t="str">
            <v>Tiempo Extra</v>
          </cell>
          <cell r="C366">
            <v>7701.26</v>
          </cell>
          <cell r="D366">
            <v>1067.0999999999999</v>
          </cell>
          <cell r="F366">
            <v>8768.36</v>
          </cell>
        </row>
        <row r="367">
          <cell r="A367" t="str">
            <v>6.001.205.4079</v>
          </cell>
          <cell r="B367" t="str">
            <v>Correos y Telégrafos</v>
          </cell>
          <cell r="C367">
            <v>22.74</v>
          </cell>
          <cell r="F367">
            <v>22.74</v>
          </cell>
        </row>
        <row r="368">
          <cell r="A368" t="str">
            <v>6.001.205.4092</v>
          </cell>
          <cell r="B368" t="str">
            <v>Gastos Misceláneos</v>
          </cell>
          <cell r="C368">
            <v>2020.81</v>
          </cell>
          <cell r="F368">
            <v>2020.81</v>
          </cell>
        </row>
        <row r="369">
          <cell r="A369" t="str">
            <v>6.001.205.4098</v>
          </cell>
          <cell r="B369" t="str">
            <v>Mantenimiento de Vehículos</v>
          </cell>
          <cell r="C369">
            <v>85.04</v>
          </cell>
          <cell r="F369">
            <v>85.04</v>
          </cell>
        </row>
        <row r="370">
          <cell r="A370" t="str">
            <v>6.001.206.0000</v>
          </cell>
          <cell r="B370" t="str">
            <v>GASTOS AUDITORIA</v>
          </cell>
          <cell r="C370">
            <v>29.46</v>
          </cell>
          <cell r="F370">
            <v>29.46</v>
          </cell>
        </row>
        <row r="371">
          <cell r="A371" t="str">
            <v>6.001.206.4073</v>
          </cell>
          <cell r="B371" t="str">
            <v>Papelería y Utiles</v>
          </cell>
          <cell r="C371">
            <v>29.46</v>
          </cell>
          <cell r="F371">
            <v>29.46</v>
          </cell>
        </row>
        <row r="372">
          <cell r="A372" t="str">
            <v>6.001.207.0000</v>
          </cell>
          <cell r="B372" t="str">
            <v>GASTOS DEPTO.ADMINISTRACION</v>
          </cell>
          <cell r="C372">
            <v>219291.54</v>
          </cell>
          <cell r="D372">
            <v>1706.69</v>
          </cell>
          <cell r="F372">
            <v>220998.23</v>
          </cell>
        </row>
        <row r="373">
          <cell r="A373" t="str">
            <v>6.001.207.4003</v>
          </cell>
          <cell r="B373" t="str">
            <v>Cuota Patronal Igss-Irtra e Intecap</v>
          </cell>
          <cell r="C373">
            <v>37511.360000000001</v>
          </cell>
          <cell r="D373">
            <v>452.43</v>
          </cell>
          <cell r="F373">
            <v>37963.79</v>
          </cell>
        </row>
        <row r="374">
          <cell r="A374" t="str">
            <v>6.001.207.4004</v>
          </cell>
          <cell r="B374" t="str">
            <v>Vacaciones</v>
          </cell>
          <cell r="C374">
            <v>43403.68</v>
          </cell>
          <cell r="F374">
            <v>43403.68</v>
          </cell>
        </row>
        <row r="375">
          <cell r="A375" t="str">
            <v>6.001.207.4005</v>
          </cell>
          <cell r="B375" t="str">
            <v>Aguinaldos</v>
          </cell>
          <cell r="C375">
            <v>20680.34</v>
          </cell>
          <cell r="D375">
            <v>318.41000000000003</v>
          </cell>
          <cell r="F375">
            <v>20998.75</v>
          </cell>
        </row>
        <row r="376">
          <cell r="A376" t="str">
            <v>6.001.207.4006</v>
          </cell>
          <cell r="B376" t="str">
            <v>Indemnizaciones</v>
          </cell>
          <cell r="C376">
            <v>20680.34</v>
          </cell>
          <cell r="D376">
            <v>318.41000000000003</v>
          </cell>
          <cell r="F376">
            <v>20998.75</v>
          </cell>
        </row>
        <row r="377">
          <cell r="A377" t="str">
            <v>6.001.207.4011</v>
          </cell>
          <cell r="B377" t="str">
            <v>Bonificación Dto. 42-92</v>
          </cell>
          <cell r="C377">
            <v>20680.34</v>
          </cell>
          <cell r="D377">
            <v>318.41000000000003</v>
          </cell>
          <cell r="F377">
            <v>20998.75</v>
          </cell>
        </row>
        <row r="378">
          <cell r="A378" t="str">
            <v>6.001.207.4014</v>
          </cell>
          <cell r="B378" t="str">
            <v>Seguro de Vida/Médico Empleados</v>
          </cell>
          <cell r="C378">
            <v>9474.43</v>
          </cell>
          <cell r="D378">
            <v>299.02999999999997</v>
          </cell>
          <cell r="F378">
            <v>9773.4599999999991</v>
          </cell>
        </row>
        <row r="379">
          <cell r="A379" t="str">
            <v>6.001.207.4073</v>
          </cell>
          <cell r="B379" t="str">
            <v>Papelería y Utiles</v>
          </cell>
          <cell r="C379">
            <v>4025.62</v>
          </cell>
          <cell r="F379">
            <v>4025.62</v>
          </cell>
        </row>
        <row r="380">
          <cell r="A380" t="str">
            <v>6.001.207.4074</v>
          </cell>
          <cell r="B380" t="str">
            <v>Fotocopias</v>
          </cell>
          <cell r="C380">
            <v>271.43</v>
          </cell>
          <cell r="F380">
            <v>271.43</v>
          </cell>
        </row>
        <row r="381">
          <cell r="A381" t="str">
            <v>6.001.207.4090</v>
          </cell>
          <cell r="B381" t="str">
            <v>Cuentas Incobrables</v>
          </cell>
          <cell r="C381">
            <v>25640.26</v>
          </cell>
          <cell r="F381">
            <v>25640.26</v>
          </cell>
        </row>
        <row r="382">
          <cell r="A382" t="str">
            <v>6.001.207.4092</v>
          </cell>
          <cell r="B382" t="str">
            <v>Gastos Misceláneos</v>
          </cell>
          <cell r="C382">
            <v>34785.339999999997</v>
          </cell>
          <cell r="F382">
            <v>34785.339999999997</v>
          </cell>
        </row>
        <row r="383">
          <cell r="A383" t="str">
            <v>6.001.207.4095</v>
          </cell>
          <cell r="B383" t="str">
            <v>Mantenimiento de Equipo Oficina</v>
          </cell>
          <cell r="C383">
            <v>1463.39</v>
          </cell>
          <cell r="F383">
            <v>1463.39</v>
          </cell>
        </row>
        <row r="384">
          <cell r="A384" t="str">
            <v>6.001.207.4097</v>
          </cell>
          <cell r="B384" t="str">
            <v>Mantenimiento de Equipo Cómputos</v>
          </cell>
          <cell r="C384">
            <v>675.01</v>
          </cell>
          <cell r="F384">
            <v>675.01</v>
          </cell>
        </row>
        <row r="385">
          <cell r="A385" t="str">
            <v>6.001.208.0000</v>
          </cell>
          <cell r="B385" t="str">
            <v>GASTOS COMPUTOS</v>
          </cell>
          <cell r="C385">
            <v>83481.55</v>
          </cell>
          <cell r="D385">
            <v>16108.57</v>
          </cell>
          <cell r="F385">
            <v>99590.12</v>
          </cell>
        </row>
        <row r="386">
          <cell r="A386" t="str">
            <v>6.001.208.4003</v>
          </cell>
          <cell r="B386" t="str">
            <v>Cuota Patronal Igss-Irtra e Intecap</v>
          </cell>
          <cell r="C386">
            <v>14931.66</v>
          </cell>
          <cell r="D386">
            <v>3072.52</v>
          </cell>
          <cell r="F386">
            <v>18004.18</v>
          </cell>
        </row>
        <row r="387">
          <cell r="A387" t="str">
            <v>6.001.208.4004</v>
          </cell>
          <cell r="B387" t="str">
            <v>Vacaciones</v>
          </cell>
          <cell r="C387">
            <v>2015.12</v>
          </cell>
          <cell r="F387">
            <v>2015.12</v>
          </cell>
        </row>
        <row r="388">
          <cell r="A388" t="str">
            <v>6.001.208.4005</v>
          </cell>
          <cell r="B388" t="str">
            <v>Aguinaldos</v>
          </cell>
          <cell r="C388">
            <v>5205.58</v>
          </cell>
          <cell r="D388">
            <v>2129.89</v>
          </cell>
          <cell r="F388">
            <v>7335.47</v>
          </cell>
        </row>
        <row r="389">
          <cell r="A389" t="str">
            <v>6.001.208.4006</v>
          </cell>
          <cell r="B389" t="str">
            <v>Indemnizaciones</v>
          </cell>
          <cell r="C389">
            <v>5205.58</v>
          </cell>
          <cell r="D389">
            <v>2129.89</v>
          </cell>
          <cell r="F389">
            <v>7335.47</v>
          </cell>
        </row>
        <row r="390">
          <cell r="A390" t="str">
            <v>6.001.208.4008</v>
          </cell>
          <cell r="B390" t="str">
            <v>Sueldos</v>
          </cell>
          <cell r="C390">
            <v>40032.720000000001</v>
          </cell>
          <cell r="D390">
            <v>3890.08</v>
          </cell>
          <cell r="F390">
            <v>43922.8</v>
          </cell>
        </row>
        <row r="391">
          <cell r="A391" t="str">
            <v>6.001.208.4010</v>
          </cell>
          <cell r="B391" t="str">
            <v>Bonificación 78-89</v>
          </cell>
          <cell r="C391">
            <v>2616.67</v>
          </cell>
          <cell r="D391">
            <v>250</v>
          </cell>
          <cell r="F391">
            <v>2866.67</v>
          </cell>
        </row>
        <row r="392">
          <cell r="A392" t="str">
            <v>6.001.208.4011</v>
          </cell>
          <cell r="B392" t="str">
            <v>Bonificación Dto. 42-92</v>
          </cell>
          <cell r="C392">
            <v>5205.58</v>
          </cell>
          <cell r="D392">
            <v>2129.89</v>
          </cell>
          <cell r="F392">
            <v>7335.47</v>
          </cell>
        </row>
        <row r="393">
          <cell r="A393" t="str">
            <v>6.001.208.4012</v>
          </cell>
          <cell r="B393" t="str">
            <v>Tiempo Extra</v>
          </cell>
          <cell r="C393">
            <v>3735.31</v>
          </cell>
          <cell r="D393">
            <v>258.75</v>
          </cell>
          <cell r="F393">
            <v>3994.06</v>
          </cell>
        </row>
        <row r="394">
          <cell r="A394" t="str">
            <v>6.001.208.4078</v>
          </cell>
          <cell r="B394" t="str">
            <v>Teléfono-Télex-Fax</v>
          </cell>
          <cell r="C394">
            <v>1460.39</v>
          </cell>
          <cell r="D394">
            <v>712.72</v>
          </cell>
          <cell r="F394">
            <v>2173.11</v>
          </cell>
        </row>
        <row r="395">
          <cell r="A395" t="str">
            <v>6.001.208.4088</v>
          </cell>
          <cell r="B395" t="str">
            <v>Procesamiento de Datos</v>
          </cell>
          <cell r="C395">
            <v>2347.34</v>
          </cell>
          <cell r="F395">
            <v>2347.34</v>
          </cell>
        </row>
        <row r="396">
          <cell r="A396" t="str">
            <v>6.001.208.4092</v>
          </cell>
          <cell r="B396" t="str">
            <v>Gastos Misceláneos</v>
          </cell>
          <cell r="C396">
            <v>0</v>
          </cell>
          <cell r="D396">
            <v>89.29</v>
          </cell>
          <cell r="F396">
            <v>89.29</v>
          </cell>
        </row>
        <row r="397">
          <cell r="A397" t="str">
            <v>6.001.208.4097</v>
          </cell>
          <cell r="B397" t="str">
            <v>Mantenimiento de Equipo Cómputos</v>
          </cell>
          <cell r="C397">
            <v>725.6</v>
          </cell>
          <cell r="D397">
            <v>1445.54</v>
          </cell>
          <cell r="F397">
            <v>2171.14</v>
          </cell>
        </row>
        <row r="398">
          <cell r="A398" t="str">
            <v>6.001.210.0000</v>
          </cell>
          <cell r="B398" t="str">
            <v>GASTOS TALLER DE SERVICIO</v>
          </cell>
          <cell r="C398">
            <v>2195665.7400000002</v>
          </cell>
          <cell r="D398">
            <v>284384.24</v>
          </cell>
          <cell r="E398">
            <v>6493.32</v>
          </cell>
          <cell r="F398">
            <v>2473556.66</v>
          </cell>
        </row>
        <row r="399">
          <cell r="A399" t="str">
            <v>6.001.210.4001</v>
          </cell>
          <cell r="B399" t="str">
            <v>Comisiones de Vendedores</v>
          </cell>
          <cell r="C399">
            <v>33272.47</v>
          </cell>
          <cell r="D399">
            <v>5090.03</v>
          </cell>
          <cell r="F399">
            <v>38362.5</v>
          </cell>
        </row>
        <row r="400">
          <cell r="A400" t="str">
            <v>6.001.210.4004</v>
          </cell>
          <cell r="B400" t="str">
            <v>Vacaciones</v>
          </cell>
          <cell r="C400">
            <v>5149.59</v>
          </cell>
          <cell r="D400">
            <v>895.07</v>
          </cell>
          <cell r="F400">
            <v>6044.66</v>
          </cell>
        </row>
        <row r="401">
          <cell r="A401" t="str">
            <v>6.001.210.4007</v>
          </cell>
          <cell r="B401" t="str">
            <v>Uniformes y Otros</v>
          </cell>
          <cell r="C401">
            <v>57657.94</v>
          </cell>
          <cell r="D401">
            <v>2584.8200000000002</v>
          </cell>
          <cell r="F401">
            <v>60242.76</v>
          </cell>
        </row>
        <row r="402">
          <cell r="A402" t="str">
            <v>6.001.210.4008</v>
          </cell>
          <cell r="B402" t="str">
            <v>Sueldos</v>
          </cell>
          <cell r="C402">
            <v>224160.37</v>
          </cell>
          <cell r="D402">
            <v>18437.580000000002</v>
          </cell>
          <cell r="F402">
            <v>242597.95</v>
          </cell>
        </row>
        <row r="403">
          <cell r="A403" t="str">
            <v>6.001.210.4010</v>
          </cell>
          <cell r="B403" t="str">
            <v>Bonificación 78-89</v>
          </cell>
          <cell r="C403">
            <v>13574.99</v>
          </cell>
          <cell r="D403">
            <v>1308.3399999999999</v>
          </cell>
          <cell r="F403">
            <v>14883.33</v>
          </cell>
        </row>
        <row r="404">
          <cell r="A404" t="str">
            <v>6.001.210.4012</v>
          </cell>
          <cell r="B404" t="str">
            <v>Tiempo Extra</v>
          </cell>
          <cell r="C404">
            <v>3671.85</v>
          </cell>
          <cell r="D404">
            <v>382.81</v>
          </cell>
          <cell r="F404">
            <v>4054.66</v>
          </cell>
        </row>
        <row r="405">
          <cell r="A405" t="str">
            <v>6.001.210.4013</v>
          </cell>
          <cell r="B405" t="str">
            <v>Seminarios-Entrenamientos</v>
          </cell>
          <cell r="C405">
            <v>21751.21</v>
          </cell>
          <cell r="D405">
            <v>6567.16</v>
          </cell>
          <cell r="F405">
            <v>28318.37</v>
          </cell>
        </row>
        <row r="406">
          <cell r="A406" t="str">
            <v>6.001.210.4014</v>
          </cell>
          <cell r="B406" t="str">
            <v>Seguro de Vida/Médico Empleados</v>
          </cell>
          <cell r="C406">
            <v>92223.74</v>
          </cell>
          <cell r="D406">
            <v>15633.96</v>
          </cell>
          <cell r="F406">
            <v>107857.7</v>
          </cell>
        </row>
        <row r="407">
          <cell r="A407" t="str">
            <v>6.001.210.4052</v>
          </cell>
          <cell r="B407" t="str">
            <v>Gastos de Entrega</v>
          </cell>
          <cell r="C407">
            <v>23724.05</v>
          </cell>
          <cell r="F407">
            <v>23724.05</v>
          </cell>
        </row>
        <row r="408">
          <cell r="A408" t="str">
            <v>6.001.210.4055</v>
          </cell>
          <cell r="B408" t="str">
            <v>Fletes y Acarreos</v>
          </cell>
          <cell r="C408">
            <v>1050</v>
          </cell>
          <cell r="D408">
            <v>4901.7700000000004</v>
          </cell>
          <cell r="F408">
            <v>5951.77</v>
          </cell>
        </row>
        <row r="409">
          <cell r="A409" t="str">
            <v>6.001.210.4057</v>
          </cell>
          <cell r="B409" t="str">
            <v>Servicios de Garantía</v>
          </cell>
          <cell r="C409">
            <v>1706.51</v>
          </cell>
          <cell r="F409">
            <v>1706.51</v>
          </cell>
        </row>
        <row r="410">
          <cell r="A410" t="str">
            <v>6.001.210.4072</v>
          </cell>
          <cell r="B410" t="str">
            <v>Publicidad</v>
          </cell>
          <cell r="C410">
            <v>1392.86</v>
          </cell>
          <cell r="F410">
            <v>1392.86</v>
          </cell>
        </row>
        <row r="411">
          <cell r="A411" t="str">
            <v>6.001.210.4073</v>
          </cell>
          <cell r="B411" t="str">
            <v>Papelería y Utiles</v>
          </cell>
          <cell r="C411">
            <v>62197.23</v>
          </cell>
          <cell r="D411">
            <v>3710.36</v>
          </cell>
          <cell r="F411">
            <v>65907.59</v>
          </cell>
        </row>
        <row r="412">
          <cell r="A412" t="str">
            <v>6.001.210.4074</v>
          </cell>
          <cell r="B412" t="str">
            <v>Fotocopias</v>
          </cell>
          <cell r="C412">
            <v>1205.58</v>
          </cell>
          <cell r="F412">
            <v>1205.58</v>
          </cell>
        </row>
        <row r="413">
          <cell r="A413" t="str">
            <v>6.001.210.4075</v>
          </cell>
          <cell r="B413" t="str">
            <v>Viáticos</v>
          </cell>
          <cell r="C413">
            <v>158</v>
          </cell>
          <cell r="D413">
            <v>89.29</v>
          </cell>
          <cell r="F413">
            <v>247.29</v>
          </cell>
        </row>
        <row r="414">
          <cell r="A414" t="str">
            <v>6.001.210.4077</v>
          </cell>
          <cell r="B414" t="str">
            <v>Cuotas y Suscripciones</v>
          </cell>
          <cell r="C414">
            <v>872.68</v>
          </cell>
          <cell r="D414">
            <v>689.64</v>
          </cell>
          <cell r="F414">
            <v>1562.32</v>
          </cell>
        </row>
        <row r="415">
          <cell r="A415" t="str">
            <v>6.001.210.4078</v>
          </cell>
          <cell r="B415" t="str">
            <v>Teléfono-Télex-Fax</v>
          </cell>
          <cell r="C415">
            <v>70882.960000000006</v>
          </cell>
          <cell r="D415">
            <v>15857.07</v>
          </cell>
          <cell r="F415">
            <v>86740.03</v>
          </cell>
        </row>
        <row r="416">
          <cell r="A416" t="str">
            <v>6.001.210.4079</v>
          </cell>
          <cell r="B416" t="str">
            <v>Correos y Telégrafos</v>
          </cell>
          <cell r="C416">
            <v>15533.89</v>
          </cell>
          <cell r="D416">
            <v>2683.04</v>
          </cell>
          <cell r="F416">
            <v>18216.93</v>
          </cell>
        </row>
        <row r="417">
          <cell r="A417" t="str">
            <v>6.001.210.4080</v>
          </cell>
          <cell r="B417" t="str">
            <v>Agua</v>
          </cell>
          <cell r="C417">
            <v>24653.35</v>
          </cell>
          <cell r="D417">
            <v>2874.31</v>
          </cell>
          <cell r="F417">
            <v>27527.66</v>
          </cell>
        </row>
        <row r="418">
          <cell r="A418" t="str">
            <v>6.001.210.4081</v>
          </cell>
          <cell r="B418" t="str">
            <v>Electricidad</v>
          </cell>
          <cell r="C418">
            <v>273955.21999999997</v>
          </cell>
          <cell r="D418">
            <v>31301.37</v>
          </cell>
          <cell r="F418">
            <v>305256.59000000003</v>
          </cell>
        </row>
        <row r="419">
          <cell r="A419" t="str">
            <v>6.001.210.4082</v>
          </cell>
          <cell r="B419" t="str">
            <v>Alquileres de Inmuebles</v>
          </cell>
          <cell r="C419">
            <v>30283.81</v>
          </cell>
          <cell r="D419">
            <v>8982.27</v>
          </cell>
          <cell r="F419">
            <v>39266.080000000002</v>
          </cell>
        </row>
        <row r="420">
          <cell r="A420" t="str">
            <v>6.001.210.4084</v>
          </cell>
          <cell r="B420" t="str">
            <v>Gastos de Viaje</v>
          </cell>
          <cell r="C420">
            <v>9209.15</v>
          </cell>
          <cell r="D420">
            <v>23792.76</v>
          </cell>
          <cell r="F420">
            <v>33001.910000000003</v>
          </cell>
        </row>
        <row r="421">
          <cell r="A421" t="str">
            <v>6.001.210.4085</v>
          </cell>
          <cell r="B421" t="str">
            <v>Gastos de Representación</v>
          </cell>
          <cell r="C421">
            <v>0</v>
          </cell>
          <cell r="D421">
            <v>717.42</v>
          </cell>
          <cell r="F421">
            <v>717.42</v>
          </cell>
        </row>
        <row r="422">
          <cell r="A422" t="str">
            <v>6.001.210.4090</v>
          </cell>
          <cell r="B422" t="str">
            <v>Cuentas Incobrables</v>
          </cell>
          <cell r="C422">
            <v>18097.71</v>
          </cell>
          <cell r="D422">
            <v>7302.94</v>
          </cell>
          <cell r="F422">
            <v>25400.65</v>
          </cell>
        </row>
        <row r="423">
          <cell r="A423" t="str">
            <v>6.001.210.4091</v>
          </cell>
          <cell r="B423" t="str">
            <v>Impuestos y Contribuciones</v>
          </cell>
          <cell r="C423">
            <v>5049.37</v>
          </cell>
          <cell r="D423">
            <v>528.52</v>
          </cell>
          <cell r="F423">
            <v>5577.89</v>
          </cell>
        </row>
        <row r="424">
          <cell r="A424" t="str">
            <v>6.001.210.4092</v>
          </cell>
          <cell r="B424" t="str">
            <v>Gastos Misceláneos</v>
          </cell>
          <cell r="C424">
            <v>332514.67</v>
          </cell>
          <cell r="D424">
            <v>15894.6</v>
          </cell>
          <cell r="E424">
            <v>6493.32</v>
          </cell>
          <cell r="F424">
            <v>341915.95</v>
          </cell>
        </row>
        <row r="425">
          <cell r="A425" t="str">
            <v>6.001.210.4093</v>
          </cell>
          <cell r="B425" t="str">
            <v>Mantenimiento de Edificios Propios</v>
          </cell>
          <cell r="C425">
            <v>27694.86</v>
          </cell>
          <cell r="F425">
            <v>27694.86</v>
          </cell>
        </row>
        <row r="426">
          <cell r="A426" t="str">
            <v>6.001.210.4094</v>
          </cell>
          <cell r="B426" t="str">
            <v>Mantenimiento de Edificios Ajenos</v>
          </cell>
          <cell r="C426">
            <v>28926.91</v>
          </cell>
          <cell r="D426">
            <v>9250.5</v>
          </cell>
          <cell r="F426">
            <v>38177.410000000003</v>
          </cell>
        </row>
        <row r="427">
          <cell r="A427" t="str">
            <v>6.001.210.4095</v>
          </cell>
          <cell r="B427" t="str">
            <v>Mantenimiento de Equipo Oficina</v>
          </cell>
          <cell r="C427">
            <v>6741.21</v>
          </cell>
          <cell r="D427">
            <v>165.18</v>
          </cell>
          <cell r="F427">
            <v>6906.39</v>
          </cell>
        </row>
        <row r="428">
          <cell r="A428" t="str">
            <v>6.001.210.4096</v>
          </cell>
          <cell r="B428" t="str">
            <v>Mantenimiento de Maquinaria</v>
          </cell>
          <cell r="C428">
            <v>57873.919999999998</v>
          </cell>
          <cell r="D428">
            <v>7408.56</v>
          </cell>
          <cell r="F428">
            <v>65282.48</v>
          </cell>
        </row>
        <row r="429">
          <cell r="A429" t="str">
            <v>6.001.210.4097</v>
          </cell>
          <cell r="B429" t="str">
            <v>Mantenimiento de Equipo Cómputos</v>
          </cell>
          <cell r="C429">
            <v>10745.51</v>
          </cell>
          <cell r="D429">
            <v>3245.99</v>
          </cell>
          <cell r="F429">
            <v>13991.5</v>
          </cell>
        </row>
        <row r="430">
          <cell r="A430" t="str">
            <v>6.001.210.4098</v>
          </cell>
          <cell r="B430" t="str">
            <v>Mantenimiento de Vehículos</v>
          </cell>
          <cell r="C430">
            <v>6794.7</v>
          </cell>
          <cell r="D430">
            <v>983.12</v>
          </cell>
          <cell r="F430">
            <v>7777.82</v>
          </cell>
        </row>
        <row r="431">
          <cell r="A431" t="str">
            <v>6.001.210.4100</v>
          </cell>
          <cell r="B431" t="str">
            <v>Seguridad y Vigilancia</v>
          </cell>
          <cell r="C431">
            <v>155854.22</v>
          </cell>
          <cell r="D431">
            <v>17423.84</v>
          </cell>
          <cell r="F431">
            <v>173278.06</v>
          </cell>
        </row>
        <row r="432">
          <cell r="A432" t="str">
            <v>6.001.210.4104</v>
          </cell>
          <cell r="B432" t="str">
            <v>Gastos de Limpieza y Cafeteria</v>
          </cell>
          <cell r="C432">
            <v>55991.74</v>
          </cell>
          <cell r="D432">
            <v>12035.29</v>
          </cell>
          <cell r="F432">
            <v>68027.03</v>
          </cell>
        </row>
        <row r="433">
          <cell r="A433" t="str">
            <v>6.001.210.4124</v>
          </cell>
          <cell r="B433" t="str">
            <v>Renta Vehiculos</v>
          </cell>
          <cell r="C433">
            <v>137585.19</v>
          </cell>
          <cell r="D433">
            <v>25454.65</v>
          </cell>
          <cell r="F433">
            <v>163039.84</v>
          </cell>
        </row>
        <row r="434">
          <cell r="A434" t="str">
            <v>6.001.210.4127</v>
          </cell>
          <cell r="B434" t="str">
            <v>Depreciación Mobiliario y Equipo</v>
          </cell>
          <cell r="C434">
            <v>58527.63</v>
          </cell>
          <cell r="D434">
            <v>5088.3100000000004</v>
          </cell>
          <cell r="F434">
            <v>63615.94</v>
          </cell>
        </row>
        <row r="435">
          <cell r="A435" t="str">
            <v>6.001.210.4128</v>
          </cell>
          <cell r="B435" t="str">
            <v>Depreciación Maquinaria y Equipo</v>
          </cell>
          <cell r="C435">
            <v>120830.63</v>
          </cell>
          <cell r="D435">
            <v>10091.709999999999</v>
          </cell>
          <cell r="F435">
            <v>130922.34</v>
          </cell>
        </row>
        <row r="436">
          <cell r="A436" t="str">
            <v>6.001.210.4129</v>
          </cell>
          <cell r="B436" t="str">
            <v>Depreciación Herramientas</v>
          </cell>
          <cell r="C436">
            <v>43944.58</v>
          </cell>
          <cell r="D436">
            <v>3726.82</v>
          </cell>
          <cell r="F436">
            <v>47671.4</v>
          </cell>
        </row>
        <row r="437">
          <cell r="A437" t="str">
            <v>6.001.210.4130</v>
          </cell>
          <cell r="B437" t="str">
            <v>Depreciación Vehículos</v>
          </cell>
          <cell r="C437">
            <v>138711.37</v>
          </cell>
          <cell r="D437">
            <v>17481.89</v>
          </cell>
          <cell r="F437">
            <v>156193.26</v>
          </cell>
        </row>
        <row r="438">
          <cell r="A438" t="str">
            <v>6.001.210.4131</v>
          </cell>
          <cell r="B438" t="str">
            <v>Depreciación Equipo de Computación</v>
          </cell>
          <cell r="C438">
            <v>21494.07</v>
          </cell>
          <cell r="D438">
            <v>1803.25</v>
          </cell>
          <cell r="F438">
            <v>23297.32</v>
          </cell>
        </row>
        <row r="439">
          <cell r="A439" t="str">
            <v>6.001.213.0000</v>
          </cell>
          <cell r="B439" t="str">
            <v>TALLER DE ENDEREZADO</v>
          </cell>
          <cell r="C439">
            <v>102408.34</v>
          </cell>
          <cell r="D439">
            <v>4656.79</v>
          </cell>
          <cell r="F439">
            <v>107065.13</v>
          </cell>
        </row>
        <row r="440">
          <cell r="A440" t="str">
            <v>6.001.213.4013</v>
          </cell>
          <cell r="B440" t="str">
            <v>Seminarios-Entrenamientos</v>
          </cell>
          <cell r="C440">
            <v>73.66</v>
          </cell>
          <cell r="F440">
            <v>73.66</v>
          </cell>
        </row>
        <row r="441">
          <cell r="A441" t="str">
            <v>6.001.213.4014</v>
          </cell>
          <cell r="B441" t="str">
            <v>Seguro de Vida/Médico Empleados</v>
          </cell>
          <cell r="C441">
            <v>4188.79</v>
          </cell>
          <cell r="D441">
            <v>132.9</v>
          </cell>
          <cell r="F441">
            <v>4321.6899999999996</v>
          </cell>
        </row>
        <row r="442">
          <cell r="A442" t="str">
            <v>6.001.213.4052</v>
          </cell>
          <cell r="B442" t="str">
            <v>Gastos de Entrega</v>
          </cell>
          <cell r="C442">
            <v>3747.32</v>
          </cell>
          <cell r="F442">
            <v>3747.32</v>
          </cell>
        </row>
        <row r="443">
          <cell r="A443" t="str">
            <v>6.001.213.4057</v>
          </cell>
          <cell r="B443" t="str">
            <v>Servicios de Garantía</v>
          </cell>
          <cell r="C443">
            <v>282.14</v>
          </cell>
          <cell r="F443">
            <v>282.14</v>
          </cell>
        </row>
        <row r="444">
          <cell r="A444" t="str">
            <v>6.001.213.4073</v>
          </cell>
          <cell r="B444" t="str">
            <v>Papelería y Utiles</v>
          </cell>
          <cell r="C444">
            <v>2059.1</v>
          </cell>
          <cell r="D444">
            <v>89.29</v>
          </cell>
          <cell r="F444">
            <v>2148.39</v>
          </cell>
        </row>
        <row r="445">
          <cell r="A445" t="str">
            <v>6.001.213.4080</v>
          </cell>
          <cell r="B445" t="str">
            <v>Agua</v>
          </cell>
          <cell r="C445">
            <v>214.96</v>
          </cell>
          <cell r="F445">
            <v>214.96</v>
          </cell>
        </row>
        <row r="446">
          <cell r="A446" t="str">
            <v>6.001.213.4082</v>
          </cell>
          <cell r="B446" t="str">
            <v>Alquileres de Inmuebles</v>
          </cell>
          <cell r="C446">
            <v>83981.11</v>
          </cell>
          <cell r="F446">
            <v>83981.11</v>
          </cell>
        </row>
        <row r="447">
          <cell r="A447" t="str">
            <v>6.001.213.4091</v>
          </cell>
          <cell r="B447" t="str">
            <v>Impuestos y Contribuciones</v>
          </cell>
          <cell r="C447">
            <v>10</v>
          </cell>
          <cell r="F447">
            <v>10</v>
          </cell>
        </row>
        <row r="448">
          <cell r="A448" t="str">
            <v>6.001.213.4092</v>
          </cell>
          <cell r="B448" t="str">
            <v>Gastos Misceláneos</v>
          </cell>
          <cell r="C448">
            <v>609.72</v>
          </cell>
          <cell r="D448">
            <v>1328.49</v>
          </cell>
          <cell r="F448">
            <v>1938.21</v>
          </cell>
        </row>
        <row r="449">
          <cell r="A449" t="str">
            <v>6.001.213.4093</v>
          </cell>
          <cell r="B449" t="str">
            <v>Mantenimiento de Edificios Propios</v>
          </cell>
          <cell r="C449">
            <v>3235.83</v>
          </cell>
          <cell r="F449">
            <v>3235.83</v>
          </cell>
        </row>
        <row r="450">
          <cell r="A450" t="str">
            <v>6.001.213.4094</v>
          </cell>
          <cell r="B450" t="str">
            <v>Mantenimiento de Edificios Ajenos</v>
          </cell>
          <cell r="C450">
            <v>862.21</v>
          </cell>
          <cell r="F450">
            <v>862.21</v>
          </cell>
        </row>
        <row r="451">
          <cell r="A451" t="str">
            <v>6.001.213.4096</v>
          </cell>
          <cell r="B451" t="str">
            <v>Mantenimiento de Maquinaria</v>
          </cell>
          <cell r="C451">
            <v>3089.93</v>
          </cell>
          <cell r="D451">
            <v>3106.11</v>
          </cell>
          <cell r="F451">
            <v>6196.04</v>
          </cell>
        </row>
        <row r="452">
          <cell r="A452" t="str">
            <v>6.001.213.4098</v>
          </cell>
          <cell r="B452" t="str">
            <v>Mantenimiento de Vehículos</v>
          </cell>
          <cell r="C452">
            <v>53.57</v>
          </cell>
          <cell r="F452">
            <v>53.57</v>
          </cell>
        </row>
        <row r="453">
          <cell r="A453" t="str">
            <v>6.002.000.0000</v>
          </cell>
          <cell r="B453" t="str">
            <v>GASTOS TALLER PRADERA</v>
          </cell>
          <cell r="C453">
            <v>326628.45</v>
          </cell>
          <cell r="D453">
            <v>21880.09</v>
          </cell>
          <cell r="F453">
            <v>348508.54</v>
          </cell>
        </row>
        <row r="454">
          <cell r="A454" t="str">
            <v>6.002.202.0000</v>
          </cell>
          <cell r="B454" t="str">
            <v>REPUESTOS</v>
          </cell>
          <cell r="C454">
            <v>714.37</v>
          </cell>
          <cell r="F454">
            <v>714.37</v>
          </cell>
        </row>
        <row r="455">
          <cell r="A455" t="str">
            <v>6.002.202.4081</v>
          </cell>
          <cell r="B455" t="str">
            <v>Electricidad</v>
          </cell>
          <cell r="C455">
            <v>685.13</v>
          </cell>
          <cell r="F455">
            <v>685.13</v>
          </cell>
        </row>
        <row r="456">
          <cell r="A456" t="str">
            <v>6.002.202.4092</v>
          </cell>
          <cell r="B456" t="str">
            <v>Gastos Misceláneos</v>
          </cell>
          <cell r="C456">
            <v>29.24</v>
          </cell>
          <cell r="F456">
            <v>29.24</v>
          </cell>
        </row>
        <row r="457">
          <cell r="A457" t="str">
            <v>6.002.210.0000</v>
          </cell>
          <cell r="B457" t="str">
            <v>TALLER DE SERVICIO PRADERA</v>
          </cell>
          <cell r="C457">
            <v>325914.08</v>
          </cell>
          <cell r="D457">
            <v>21880.09</v>
          </cell>
          <cell r="F457">
            <v>347794.17</v>
          </cell>
        </row>
        <row r="458">
          <cell r="A458" t="str">
            <v>6.002.210.4052</v>
          </cell>
          <cell r="B458" t="str">
            <v>Gastos de Entrega</v>
          </cell>
          <cell r="C458">
            <v>2360.02</v>
          </cell>
          <cell r="F458">
            <v>2360.02</v>
          </cell>
        </row>
        <row r="459">
          <cell r="A459" t="str">
            <v>6.002.210.4055</v>
          </cell>
          <cell r="B459" t="str">
            <v>Fletes y Acarreos</v>
          </cell>
          <cell r="C459">
            <v>0</v>
          </cell>
          <cell r="D459">
            <v>357.14</v>
          </cell>
          <cell r="F459">
            <v>357.14</v>
          </cell>
        </row>
        <row r="460">
          <cell r="A460" t="str">
            <v>6.002.210.4057</v>
          </cell>
          <cell r="B460" t="str">
            <v>Servicios de Garantía</v>
          </cell>
          <cell r="C460">
            <v>629.47</v>
          </cell>
          <cell r="F460">
            <v>629.47</v>
          </cell>
        </row>
        <row r="461">
          <cell r="A461" t="str">
            <v>6.002.210.4073</v>
          </cell>
          <cell r="B461" t="str">
            <v>Papelería y Utiles</v>
          </cell>
          <cell r="C461">
            <v>4269.32</v>
          </cell>
          <cell r="D461">
            <v>436.21</v>
          </cell>
          <cell r="F461">
            <v>4705.53</v>
          </cell>
        </row>
        <row r="462">
          <cell r="A462" t="str">
            <v>6.002.210.4074</v>
          </cell>
          <cell r="B462" t="str">
            <v>Fotocopias</v>
          </cell>
          <cell r="C462">
            <v>41.07</v>
          </cell>
          <cell r="F462">
            <v>41.07</v>
          </cell>
        </row>
        <row r="463">
          <cell r="A463" t="str">
            <v>6.002.210.4075</v>
          </cell>
          <cell r="B463" t="str">
            <v>Viáticos</v>
          </cell>
          <cell r="C463">
            <v>241.97</v>
          </cell>
          <cell r="F463">
            <v>241.97</v>
          </cell>
        </row>
        <row r="464">
          <cell r="A464" t="str">
            <v>6.002.210.4078</v>
          </cell>
          <cell r="B464" t="str">
            <v>Teléfono-Télex-Fax</v>
          </cell>
          <cell r="C464">
            <v>986.72</v>
          </cell>
          <cell r="D464">
            <v>254.46</v>
          </cell>
          <cell r="F464">
            <v>1241.18</v>
          </cell>
        </row>
        <row r="465">
          <cell r="A465" t="str">
            <v>6.002.210.4084</v>
          </cell>
          <cell r="B465" t="str">
            <v>Gastos de Viaje</v>
          </cell>
          <cell r="C465">
            <v>16.079999999999998</v>
          </cell>
          <cell r="D465">
            <v>116.43</v>
          </cell>
          <cell r="F465">
            <v>132.51</v>
          </cell>
        </row>
        <row r="466">
          <cell r="A466" t="str">
            <v>6.002.210.4092</v>
          </cell>
          <cell r="B466" t="str">
            <v>Gastos Misceláneos</v>
          </cell>
          <cell r="C466">
            <v>38921.08</v>
          </cell>
          <cell r="D466">
            <v>1001.96</v>
          </cell>
          <cell r="F466">
            <v>39923.040000000001</v>
          </cell>
        </row>
        <row r="467">
          <cell r="A467" t="str">
            <v>6.002.210.4093</v>
          </cell>
          <cell r="B467" t="str">
            <v>Mantenimiento de Edificios Propios</v>
          </cell>
          <cell r="C467">
            <v>4450.99</v>
          </cell>
          <cell r="F467">
            <v>4450.99</v>
          </cell>
        </row>
        <row r="468">
          <cell r="A468" t="str">
            <v>6.002.210.4094</v>
          </cell>
          <cell r="B468" t="str">
            <v>Mantenimiento de Edificios Ajenos</v>
          </cell>
          <cell r="C468">
            <v>925.87</v>
          </cell>
          <cell r="D468">
            <v>22.32</v>
          </cell>
          <cell r="F468">
            <v>948.19</v>
          </cell>
        </row>
        <row r="469">
          <cell r="A469" t="str">
            <v>6.002.210.4095</v>
          </cell>
          <cell r="B469" t="str">
            <v>Mantenimiento de Equipo Oficina</v>
          </cell>
          <cell r="C469">
            <v>571.20000000000005</v>
          </cell>
          <cell r="F469">
            <v>571.20000000000005</v>
          </cell>
        </row>
        <row r="470">
          <cell r="A470" t="str">
            <v>6.002.210.4096</v>
          </cell>
          <cell r="B470" t="str">
            <v>Mantenimiento de Maquinaria</v>
          </cell>
          <cell r="C470">
            <v>6059.76</v>
          </cell>
          <cell r="D470">
            <v>468.75</v>
          </cell>
          <cell r="F470">
            <v>6528.51</v>
          </cell>
        </row>
        <row r="471">
          <cell r="A471" t="str">
            <v>6.002.210.4097</v>
          </cell>
          <cell r="B471" t="str">
            <v>Mantenimiento de Equipo Cómputos</v>
          </cell>
          <cell r="C471">
            <v>595.82000000000005</v>
          </cell>
          <cell r="F471">
            <v>595.82000000000005</v>
          </cell>
        </row>
        <row r="472">
          <cell r="A472" t="str">
            <v>6.002.210.4098</v>
          </cell>
          <cell r="B472" t="str">
            <v>Mantenimiento de Vehículos</v>
          </cell>
          <cell r="C472">
            <v>1044.97</v>
          </cell>
          <cell r="F472">
            <v>1044.97</v>
          </cell>
        </row>
        <row r="473">
          <cell r="A473" t="str">
            <v>6.002.210.4100</v>
          </cell>
          <cell r="B473" t="str">
            <v>Seguridad y Vigilancia</v>
          </cell>
          <cell r="C473">
            <v>33437.67</v>
          </cell>
          <cell r="F473">
            <v>33437.67</v>
          </cell>
        </row>
        <row r="474">
          <cell r="A474" t="str">
            <v>6.002.210.4101</v>
          </cell>
          <cell r="B474" t="str">
            <v>Honorarios</v>
          </cell>
          <cell r="C474">
            <v>2057.14</v>
          </cell>
          <cell r="F474">
            <v>2057.14</v>
          </cell>
        </row>
        <row r="475">
          <cell r="A475" t="str">
            <v>6.002.210.4104</v>
          </cell>
          <cell r="B475" t="str">
            <v>Gastos de Limpieza y Cafeteria</v>
          </cell>
          <cell r="C475">
            <v>6046.75</v>
          </cell>
          <cell r="D475">
            <v>315.97000000000003</v>
          </cell>
          <cell r="F475">
            <v>6362.72</v>
          </cell>
        </row>
        <row r="476">
          <cell r="A476" t="str">
            <v>6.002.210.4127</v>
          </cell>
          <cell r="B476" t="str">
            <v>Depreciación Mobiliario y Equipo</v>
          </cell>
          <cell r="C476">
            <v>58482.98</v>
          </cell>
          <cell r="D476">
            <v>5088.32</v>
          </cell>
          <cell r="F476">
            <v>63571.3</v>
          </cell>
        </row>
        <row r="477">
          <cell r="A477" t="str">
            <v>6.002.210.4128</v>
          </cell>
          <cell r="B477" t="str">
            <v>Depreciación Maquinaria y Equipo</v>
          </cell>
          <cell r="C477">
            <v>120830.61</v>
          </cell>
          <cell r="D477">
            <v>10091.709999999999</v>
          </cell>
          <cell r="F477">
            <v>130922.32</v>
          </cell>
        </row>
        <row r="478">
          <cell r="A478" t="str">
            <v>6.002.210.4129</v>
          </cell>
          <cell r="B478" t="str">
            <v>Depreciación Herramientas</v>
          </cell>
          <cell r="C478">
            <v>43944.59</v>
          </cell>
          <cell r="D478">
            <v>3726.82</v>
          </cell>
          <cell r="F478">
            <v>47671.41</v>
          </cell>
        </row>
        <row r="479">
          <cell r="A479" t="str">
            <v>7.000.000.0000</v>
          </cell>
          <cell r="B479" t="str">
            <v>OTROS INGRESOS</v>
          </cell>
          <cell r="C479">
            <v>-94113.5</v>
          </cell>
          <cell r="D479">
            <v>60.57</v>
          </cell>
          <cell r="E479">
            <v>29982.59</v>
          </cell>
          <cell r="F479">
            <v>-124035.52</v>
          </cell>
        </row>
        <row r="480">
          <cell r="A480" t="str">
            <v>7.001.000.0000</v>
          </cell>
          <cell r="B480" t="str">
            <v>OFICINAS CENTRALES</v>
          </cell>
          <cell r="C480">
            <v>-94113.5</v>
          </cell>
          <cell r="D480">
            <v>60.57</v>
          </cell>
          <cell r="E480">
            <v>29982.59</v>
          </cell>
          <cell r="F480">
            <v>-124035.52</v>
          </cell>
        </row>
        <row r="481">
          <cell r="A481" t="str">
            <v>7.001.211.0000</v>
          </cell>
          <cell r="B481" t="str">
            <v>DEPTO VARIOS</v>
          </cell>
          <cell r="C481">
            <v>-94113.5</v>
          </cell>
          <cell r="D481">
            <v>60.57</v>
          </cell>
          <cell r="E481">
            <v>29982.59</v>
          </cell>
          <cell r="F481">
            <v>-124035.52</v>
          </cell>
        </row>
        <row r="482">
          <cell r="A482" t="str">
            <v>7.001.211.5004</v>
          </cell>
          <cell r="B482" t="str">
            <v>Fluctuac Fav Moneda Extranjera</v>
          </cell>
          <cell r="C482">
            <v>-541.72</v>
          </cell>
          <cell r="E482">
            <v>302.39999999999998</v>
          </cell>
          <cell r="F482">
            <v>-844.12</v>
          </cell>
        </row>
        <row r="483">
          <cell r="A483" t="str">
            <v>7.001.211.5005</v>
          </cell>
          <cell r="B483" t="str">
            <v>Utilidad en Venta Activos Fijos</v>
          </cell>
          <cell r="C483">
            <v>-77.36</v>
          </cell>
          <cell r="F483">
            <v>-77.36</v>
          </cell>
        </row>
        <row r="484">
          <cell r="A484" t="str">
            <v>7.001.211.5009</v>
          </cell>
          <cell r="B484" t="str">
            <v>Intereses Banc Locales No Afectos</v>
          </cell>
          <cell r="C484">
            <v>-55373.79</v>
          </cell>
          <cell r="E484">
            <v>958.75</v>
          </cell>
          <cell r="F484">
            <v>-56332.54</v>
          </cell>
        </row>
        <row r="485">
          <cell r="A485" t="str">
            <v>7.001.211.5014</v>
          </cell>
          <cell r="B485" t="str">
            <v>Otros Ingresos Afectos</v>
          </cell>
          <cell r="C485">
            <v>-38120.629999999997</v>
          </cell>
          <cell r="D485">
            <v>60.57</v>
          </cell>
          <cell r="E485">
            <v>28721.439999999999</v>
          </cell>
          <cell r="F485">
            <v>-66781.5</v>
          </cell>
        </row>
        <row r="486">
          <cell r="A486" t="str">
            <v>8.000.000.0000</v>
          </cell>
          <cell r="B486" t="str">
            <v>OTROS GASTOS</v>
          </cell>
          <cell r="C486">
            <v>350433.8</v>
          </cell>
          <cell r="D486">
            <v>38394.160000000003</v>
          </cell>
          <cell r="F486">
            <v>388827.96</v>
          </cell>
        </row>
        <row r="487">
          <cell r="A487" t="str">
            <v>8.001.000.0000</v>
          </cell>
          <cell r="B487" t="str">
            <v>OFICINAS CENTRALES</v>
          </cell>
          <cell r="C487">
            <v>350433.8</v>
          </cell>
          <cell r="D487">
            <v>38394.160000000003</v>
          </cell>
          <cell r="F487">
            <v>388827.96</v>
          </cell>
        </row>
        <row r="488">
          <cell r="A488" t="str">
            <v>8.001.201.1001</v>
          </cell>
          <cell r="B488" t="str">
            <v>Perdida en Negociacion de Activos</v>
          </cell>
          <cell r="C488">
            <v>0</v>
          </cell>
          <cell r="D488">
            <v>4900</v>
          </cell>
          <cell r="F488">
            <v>4900</v>
          </cell>
        </row>
        <row r="489">
          <cell r="A489" t="str">
            <v>8.001.211.0000</v>
          </cell>
          <cell r="B489" t="str">
            <v>DEPTO VARIOS</v>
          </cell>
          <cell r="C489">
            <v>350433.8</v>
          </cell>
          <cell r="D489">
            <v>33494.160000000003</v>
          </cell>
          <cell r="F489">
            <v>383927.96</v>
          </cell>
        </row>
        <row r="490">
          <cell r="A490" t="str">
            <v>8.001.211.6004</v>
          </cell>
          <cell r="B490" t="str">
            <v>Comisiones Tárjetas de Crédito</v>
          </cell>
          <cell r="C490">
            <v>343320.55</v>
          </cell>
          <cell r="D490">
            <v>28218.54</v>
          </cell>
          <cell r="F490">
            <v>371539.09</v>
          </cell>
        </row>
        <row r="491">
          <cell r="A491" t="str">
            <v>8.001.211.6006</v>
          </cell>
          <cell r="B491" t="str">
            <v>Fluctuac Desfav Moneda Extranjera</v>
          </cell>
          <cell r="C491">
            <v>274.68</v>
          </cell>
          <cell r="F491">
            <v>274.68</v>
          </cell>
        </row>
        <row r="492">
          <cell r="A492" t="str">
            <v>8.001.211.6007</v>
          </cell>
          <cell r="B492" t="str">
            <v>Gastos No Deducibles Diversos</v>
          </cell>
          <cell r="C492">
            <v>15</v>
          </cell>
          <cell r="D492">
            <v>507</v>
          </cell>
          <cell r="F492">
            <v>522</v>
          </cell>
        </row>
        <row r="493">
          <cell r="A493" t="str">
            <v>8.001.211.6008</v>
          </cell>
          <cell r="B493" t="str">
            <v>Gastos Financieros Diversos</v>
          </cell>
          <cell r="C493">
            <v>207</v>
          </cell>
          <cell r="D493">
            <v>1196.55</v>
          </cell>
          <cell r="F493">
            <v>1403.55</v>
          </cell>
        </row>
        <row r="494">
          <cell r="A494" t="str">
            <v>8.001.211.6009</v>
          </cell>
          <cell r="B494" t="str">
            <v>Otros Gastos Deducibles</v>
          </cell>
          <cell r="C494">
            <v>6616.57</v>
          </cell>
          <cell r="D494">
            <v>3572.07</v>
          </cell>
          <cell r="F494">
            <v>10188.64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TO_Lunes"/>
      <sheetName val="CONTROL DE PAGOS_COMISIONES"/>
      <sheetName val="13-02-2023"/>
      <sheetName val="LISTAS"/>
      <sheetName val="A3 06"/>
      <sheetName val="B1 105"/>
      <sheetName val="B1 605"/>
      <sheetName val="C2 402"/>
      <sheetName val="C3 70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"/>
      <sheetName val="interurbana"/>
      <sheetName val="internac.sal."/>
      <sheetName val="inter. entrante"/>
      <sheetName val="conexion lineas"/>
      <sheetName val="serv. digitales"/>
      <sheetName val="telef.publica"/>
      <sheetName val="trans.datos"/>
      <sheetName val="otros ingresos"/>
      <sheetName val="ACUMULADOS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dev. y rebajas"/>
      <sheetName val="Proyectos 2000 IPC"/>
      <sheetName val="Sheet1"/>
    </sheetNames>
    <sheetDataSet>
      <sheetData sheetId="0" refreshError="1">
        <row r="1">
          <cell r="C1" t="str">
            <v>TELECOMUNICACIONES DE GUATEMALA, S.A.</v>
          </cell>
        </row>
        <row r="2">
          <cell r="C2" t="str">
            <v>INTEGRACION DE TELEFONIA LOCAL</v>
          </cell>
        </row>
        <row r="3">
          <cell r="C3" t="str">
            <v>(CIFRAS EN  QUETZALES)</v>
          </cell>
        </row>
        <row r="5">
          <cell r="F5" t="str">
            <v>CUADRO No. 1</v>
          </cell>
          <cell r="G5" t="str">
            <v xml:space="preserve"> </v>
          </cell>
          <cell r="J5" t="str">
            <v xml:space="preserve"> </v>
          </cell>
        </row>
        <row r="7">
          <cell r="C7" t="str">
            <v>MES ABRIL</v>
          </cell>
          <cell r="E7" t="str">
            <v xml:space="preserve">% </v>
          </cell>
          <cell r="G7" t="str">
            <v>ACUMULADO ABRIL</v>
          </cell>
          <cell r="I7" t="str">
            <v xml:space="preserve">% </v>
          </cell>
          <cell r="K7" t="str">
            <v>%</v>
          </cell>
        </row>
        <row r="8">
          <cell r="C8" t="str">
            <v>REAL</v>
          </cell>
          <cell r="D8" t="str">
            <v>PTO.</v>
          </cell>
          <cell r="E8" t="str">
            <v xml:space="preserve">DE </v>
          </cell>
          <cell r="F8" t="str">
            <v>CONCEPTO</v>
          </cell>
          <cell r="G8" t="str">
            <v>REAL</v>
          </cell>
          <cell r="H8" t="str">
            <v>PTO.</v>
          </cell>
          <cell r="I8" t="str">
            <v xml:space="preserve">DE </v>
          </cell>
          <cell r="J8" t="str">
            <v>META</v>
          </cell>
          <cell r="K8" t="str">
            <v>CUMPLIM.</v>
          </cell>
        </row>
        <row r="9">
          <cell r="C9">
            <v>1999</v>
          </cell>
          <cell r="D9">
            <v>1999</v>
          </cell>
          <cell r="E9" t="str">
            <v>AVA.</v>
          </cell>
          <cell r="G9">
            <v>1999</v>
          </cell>
          <cell r="H9">
            <v>1999</v>
          </cell>
          <cell r="I9" t="str">
            <v>AVA.</v>
          </cell>
          <cell r="J9">
            <v>1999</v>
          </cell>
          <cell r="K9" t="str">
            <v>S/META</v>
          </cell>
        </row>
        <row r="12">
          <cell r="C12">
            <v>288867087</v>
          </cell>
          <cell r="D12">
            <v>218500000</v>
          </cell>
          <cell r="F12" t="str">
            <v>MINUTOS</v>
          </cell>
          <cell r="G12">
            <v>1007796625</v>
          </cell>
          <cell r="H12">
            <v>856815000</v>
          </cell>
          <cell r="J12">
            <v>2712815000</v>
          </cell>
        </row>
        <row r="13">
          <cell r="C13">
            <v>0.17485849469586681</v>
          </cell>
          <cell r="D13">
            <v>0.18181818306636155</v>
          </cell>
          <cell r="F13" t="str">
            <v>TARIFAS</v>
          </cell>
        </row>
        <row r="14">
          <cell r="C14">
            <v>50510864</v>
          </cell>
          <cell r="D14">
            <v>39727273</v>
          </cell>
          <cell r="E14">
            <v>1.2714405038573879</v>
          </cell>
          <cell r="F14" t="str">
            <v>FACTURADO</v>
          </cell>
          <cell r="G14">
            <v>161891590</v>
          </cell>
          <cell r="H14">
            <v>157447831</v>
          </cell>
          <cell r="I14">
            <v>1.0282236914397378</v>
          </cell>
          <cell r="J14">
            <v>494902376</v>
          </cell>
          <cell r="K14">
            <v>0.32711823149541719</v>
          </cell>
        </row>
        <row r="21">
          <cell r="C21">
            <v>50510864</v>
          </cell>
          <cell r="D21">
            <v>39727273</v>
          </cell>
          <cell r="E21">
            <v>1.2714405038573879</v>
          </cell>
          <cell r="F21" t="str">
            <v>SUMA</v>
          </cell>
          <cell r="G21">
            <v>161891590</v>
          </cell>
          <cell r="H21">
            <v>157447831</v>
          </cell>
          <cell r="I21">
            <v>1.0282236914397378</v>
          </cell>
          <cell r="J21">
            <v>494902376</v>
          </cell>
          <cell r="K21">
            <v>0.32711823149541719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F9EB-D363-4A54-AF2F-BE23BA0776B9}">
  <sheetPr>
    <tabColor rgb="FF744C1E"/>
  </sheetPr>
  <dimension ref="A1:O538"/>
  <sheetViews>
    <sheetView showGridLines="0" tabSelected="1" view="pageBreakPreview" topLeftCell="B1" zoomScaleNormal="80" zoomScaleSheetLayoutView="100" workbookViewId="0">
      <pane ySplit="6" topLeftCell="A371" activePane="bottomLeft" state="frozen"/>
      <selection activeCell="K32" sqref="K32"/>
      <selection pane="bottomLeft" activeCell="D379" sqref="D379"/>
    </sheetView>
  </sheetViews>
  <sheetFormatPr baseColWidth="10" defaultColWidth="11.44140625" defaultRowHeight="15" x14ac:dyDescent="0.25"/>
  <cols>
    <col min="1" max="1" width="14.33203125" style="6" customWidth="1"/>
    <col min="2" max="2" width="25.6640625" style="6" bestFit="1" customWidth="1"/>
    <col min="3" max="3" width="54.109375" style="6" bestFit="1" customWidth="1"/>
    <col min="4" max="4" width="36.6640625" style="6" customWidth="1"/>
    <col min="5" max="5" width="56.77734375" style="6" customWidth="1"/>
    <col min="6" max="6" width="22.21875" style="6" customWidth="1"/>
    <col min="7" max="7" width="24.77734375" style="55" customWidth="1"/>
    <col min="8" max="8" width="17.21875" style="3" bestFit="1" customWidth="1"/>
    <col min="9" max="9" width="19.21875" style="3" customWidth="1"/>
    <col min="10" max="10" width="17.5546875" style="3" customWidth="1"/>
    <col min="11" max="12" width="22.77734375" style="3" customWidth="1"/>
    <col min="13" max="14" width="11.44140625" style="3"/>
    <col min="15" max="15" width="19.6640625" style="3" customWidth="1"/>
    <col min="16" max="16384" width="11.44140625" style="3"/>
  </cols>
  <sheetData>
    <row r="1" spans="1:10" x14ac:dyDescent="0.25">
      <c r="A1" s="1" t="str">
        <f>[1]CLIENTES!A1</f>
        <v>FINCA DANILANDIA Y ANEXOS, S.A.</v>
      </c>
      <c r="B1" s="1"/>
      <c r="C1" s="1"/>
      <c r="D1" s="1"/>
      <c r="E1" s="2"/>
      <c r="F1" s="2"/>
      <c r="G1" s="2"/>
    </row>
    <row r="2" spans="1:10" ht="15" customHeight="1" x14ac:dyDescent="0.25">
      <c r="A2" s="2"/>
      <c r="B2" s="2"/>
      <c r="C2" s="2"/>
      <c r="D2" s="2"/>
      <c r="E2" s="2"/>
      <c r="F2" s="2"/>
      <c r="G2" s="2"/>
    </row>
    <row r="3" spans="1:10" ht="15" customHeight="1" x14ac:dyDescent="0.3">
      <c r="A3" s="4" t="s">
        <v>0</v>
      </c>
      <c r="B3" s="4"/>
      <c r="C3" s="5"/>
      <c r="D3" s="4" t="s">
        <v>1</v>
      </c>
      <c r="G3" s="7" t="s">
        <v>2</v>
      </c>
    </row>
    <row r="4" spans="1:10" ht="15" customHeight="1" x14ac:dyDescent="0.3">
      <c r="A4" s="4" t="s">
        <v>3</v>
      </c>
      <c r="B4" s="4"/>
      <c r="C4" s="5"/>
      <c r="D4" s="4"/>
      <c r="E4" s="4"/>
      <c r="F4" s="4"/>
      <c r="G4" s="8">
        <f>+[1]BANCOS!E4</f>
        <v>46112</v>
      </c>
    </row>
    <row r="6" spans="1:10" s="11" customFormat="1" ht="50.4" customHeight="1" x14ac:dyDescent="0.25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10" t="s">
        <v>10</v>
      </c>
    </row>
    <row r="7" spans="1:10" s="18" customFormat="1" ht="16.5" customHeight="1" x14ac:dyDescent="0.25">
      <c r="A7" s="12">
        <v>44355</v>
      </c>
      <c r="B7" s="13"/>
      <c r="C7" s="14" t="s">
        <v>11</v>
      </c>
      <c r="D7" s="15" t="s">
        <v>12</v>
      </c>
      <c r="E7" s="16" t="s">
        <v>13</v>
      </c>
      <c r="F7" s="16" t="s">
        <v>14</v>
      </c>
      <c r="G7" s="17">
        <f>2506750*0</f>
        <v>0</v>
      </c>
      <c r="I7" s="19"/>
      <c r="J7" s="19"/>
    </row>
    <row r="8" spans="1:10" s="18" customFormat="1" ht="16.5" customHeight="1" x14ac:dyDescent="0.25">
      <c r="A8" s="12">
        <v>45755</v>
      </c>
      <c r="B8" s="13" t="s">
        <v>15</v>
      </c>
      <c r="C8" s="14" t="s">
        <v>16</v>
      </c>
      <c r="D8" s="15" t="s">
        <v>17</v>
      </c>
      <c r="E8" s="16" t="s">
        <v>18</v>
      </c>
      <c r="F8" s="16" t="s">
        <v>14</v>
      </c>
      <c r="G8" s="17">
        <v>428.57</v>
      </c>
      <c r="H8" s="20"/>
      <c r="I8" s="19"/>
      <c r="J8" s="19"/>
    </row>
    <row r="9" spans="1:10" s="18" customFormat="1" ht="16.5" customHeight="1" x14ac:dyDescent="0.25">
      <c r="A9" s="12">
        <v>45755</v>
      </c>
      <c r="B9" s="13" t="s">
        <v>19</v>
      </c>
      <c r="C9" s="14" t="s">
        <v>16</v>
      </c>
      <c r="D9" s="15" t="s">
        <v>20</v>
      </c>
      <c r="E9" s="16" t="s">
        <v>21</v>
      </c>
      <c r="F9" s="16" t="s">
        <v>14</v>
      </c>
      <c r="G9" s="17">
        <v>321.43</v>
      </c>
      <c r="H9" s="20"/>
      <c r="I9" s="19"/>
      <c r="J9" s="19"/>
    </row>
    <row r="10" spans="1:10" s="18" customFormat="1" ht="16.5" customHeight="1" x14ac:dyDescent="0.25">
      <c r="A10" s="12">
        <v>45763</v>
      </c>
      <c r="B10" s="21" t="s">
        <v>22</v>
      </c>
      <c r="C10" s="22" t="s">
        <v>23</v>
      </c>
      <c r="D10" s="15" t="s">
        <v>24</v>
      </c>
      <c r="E10" s="16" t="s">
        <v>25</v>
      </c>
      <c r="F10" s="16" t="s">
        <v>14</v>
      </c>
      <c r="G10" s="17">
        <v>5400</v>
      </c>
      <c r="H10" s="20"/>
      <c r="I10" s="19"/>
      <c r="J10" s="19"/>
    </row>
    <row r="11" spans="1:10" s="18" customFormat="1" ht="16.5" customHeight="1" x14ac:dyDescent="0.25">
      <c r="A11" s="12">
        <v>45763</v>
      </c>
      <c r="B11" s="21" t="s">
        <v>22</v>
      </c>
      <c r="C11" s="22" t="s">
        <v>23</v>
      </c>
      <c r="D11" s="15" t="s">
        <v>26</v>
      </c>
      <c r="E11" s="16" t="s">
        <v>25</v>
      </c>
      <c r="F11" s="16" t="s">
        <v>14</v>
      </c>
      <c r="G11" s="17">
        <v>5900</v>
      </c>
      <c r="H11" s="20"/>
      <c r="I11" s="19"/>
      <c r="J11" s="19"/>
    </row>
    <row r="12" spans="1:10" s="18" customFormat="1" ht="16.5" customHeight="1" x14ac:dyDescent="0.25">
      <c r="A12" s="12">
        <v>45763</v>
      </c>
      <c r="B12" s="21" t="s">
        <v>22</v>
      </c>
      <c r="C12" s="22" t="s">
        <v>27</v>
      </c>
      <c r="D12" s="15" t="s">
        <v>28</v>
      </c>
      <c r="E12" s="16" t="s">
        <v>29</v>
      </c>
      <c r="F12" s="16" t="s">
        <v>14</v>
      </c>
      <c r="G12" s="17">
        <v>48520</v>
      </c>
      <c r="H12" s="20"/>
      <c r="I12" s="19"/>
      <c r="J12" s="19"/>
    </row>
    <row r="13" spans="1:10" s="18" customFormat="1" ht="16.5" customHeight="1" x14ac:dyDescent="0.25">
      <c r="A13" s="12">
        <v>45763</v>
      </c>
      <c r="B13" s="13" t="s">
        <v>22</v>
      </c>
      <c r="C13" s="14" t="s">
        <v>30</v>
      </c>
      <c r="D13" s="23" t="s">
        <v>31</v>
      </c>
      <c r="E13" s="16" t="s">
        <v>32</v>
      </c>
      <c r="F13" s="16" t="s">
        <v>14</v>
      </c>
      <c r="G13" s="17">
        <v>2300</v>
      </c>
      <c r="H13" s="20"/>
      <c r="I13" s="19"/>
      <c r="J13" s="19"/>
    </row>
    <row r="14" spans="1:10" s="18" customFormat="1" ht="16.5" customHeight="1" x14ac:dyDescent="0.25">
      <c r="A14" s="12">
        <v>45773</v>
      </c>
      <c r="B14" s="13" t="s">
        <v>33</v>
      </c>
      <c r="C14" s="14" t="s">
        <v>34</v>
      </c>
      <c r="D14" s="15" t="s">
        <v>35</v>
      </c>
      <c r="E14" s="16" t="s">
        <v>36</v>
      </c>
      <c r="F14" s="16" t="s">
        <v>14</v>
      </c>
      <c r="G14" s="17">
        <v>380.16</v>
      </c>
      <c r="H14" s="19"/>
      <c r="I14" s="19"/>
      <c r="J14" s="19"/>
    </row>
    <row r="15" spans="1:10" s="18" customFormat="1" ht="16.5" customHeight="1" x14ac:dyDescent="0.25">
      <c r="A15" s="12">
        <v>45773</v>
      </c>
      <c r="B15" s="13" t="s">
        <v>33</v>
      </c>
      <c r="C15" s="14" t="s">
        <v>37</v>
      </c>
      <c r="D15" s="23" t="s">
        <v>35</v>
      </c>
      <c r="E15" s="16" t="s">
        <v>36</v>
      </c>
      <c r="F15" s="16" t="s">
        <v>14</v>
      </c>
      <c r="G15" s="17">
        <v>74.22</v>
      </c>
      <c r="H15" s="19"/>
      <c r="I15" s="19"/>
      <c r="J15" s="19"/>
    </row>
    <row r="16" spans="1:10" s="18" customFormat="1" ht="16.5" customHeight="1" x14ac:dyDescent="0.25">
      <c r="A16" s="12">
        <v>45773</v>
      </c>
      <c r="B16" s="13" t="s">
        <v>38</v>
      </c>
      <c r="C16" s="14" t="s">
        <v>39</v>
      </c>
      <c r="D16" s="23" t="s">
        <v>40</v>
      </c>
      <c r="E16" s="16" t="s">
        <v>41</v>
      </c>
      <c r="F16" s="16" t="s">
        <v>14</v>
      </c>
      <c r="G16" s="17">
        <v>410</v>
      </c>
      <c r="H16" s="19"/>
      <c r="I16" s="19"/>
      <c r="J16" s="19"/>
    </row>
    <row r="17" spans="1:10" s="18" customFormat="1" ht="16.5" customHeight="1" x14ac:dyDescent="0.25">
      <c r="A17" s="12">
        <v>45774</v>
      </c>
      <c r="B17" s="13" t="s">
        <v>42</v>
      </c>
      <c r="C17" s="14" t="s">
        <v>43</v>
      </c>
      <c r="D17" s="23" t="s">
        <v>44</v>
      </c>
      <c r="E17" s="16" t="s">
        <v>45</v>
      </c>
      <c r="F17" s="16" t="s">
        <v>14</v>
      </c>
      <c r="G17" s="17">
        <v>1208.21</v>
      </c>
      <c r="H17" s="20"/>
      <c r="I17" s="19"/>
      <c r="J17" s="19"/>
    </row>
    <row r="18" spans="1:10" s="18" customFormat="1" ht="16.5" customHeight="1" x14ac:dyDescent="0.25">
      <c r="A18" s="12">
        <v>45774</v>
      </c>
      <c r="B18" s="13" t="s">
        <v>46</v>
      </c>
      <c r="C18" s="14" t="s">
        <v>43</v>
      </c>
      <c r="D18" s="23" t="s">
        <v>47</v>
      </c>
      <c r="E18" s="16" t="s">
        <v>48</v>
      </c>
      <c r="F18" s="16" t="s">
        <v>14</v>
      </c>
      <c r="G18" s="17">
        <v>224.54</v>
      </c>
      <c r="H18" s="20"/>
      <c r="I18" s="19"/>
      <c r="J18" s="19"/>
    </row>
    <row r="19" spans="1:10" s="18" customFormat="1" ht="16.5" customHeight="1" x14ac:dyDescent="0.25">
      <c r="A19" s="12">
        <v>45774</v>
      </c>
      <c r="B19" s="13" t="s">
        <v>49</v>
      </c>
      <c r="C19" s="14" t="s">
        <v>43</v>
      </c>
      <c r="D19" s="23" t="s">
        <v>50</v>
      </c>
      <c r="E19" s="16" t="s">
        <v>51</v>
      </c>
      <c r="F19" s="16" t="s">
        <v>14</v>
      </c>
      <c r="G19" s="24">
        <v>1425.88</v>
      </c>
      <c r="H19" s="19"/>
      <c r="I19" s="19"/>
      <c r="J19" s="19"/>
    </row>
    <row r="20" spans="1:10" s="18" customFormat="1" ht="16.5" customHeight="1" x14ac:dyDescent="0.25">
      <c r="A20" s="12">
        <v>45777</v>
      </c>
      <c r="B20" s="13" t="s">
        <v>52</v>
      </c>
      <c r="C20" s="14" t="s">
        <v>53</v>
      </c>
      <c r="D20" s="15" t="s">
        <v>54</v>
      </c>
      <c r="E20" s="16" t="s">
        <v>55</v>
      </c>
      <c r="F20" s="16" t="s">
        <v>14</v>
      </c>
      <c r="G20" s="24">
        <v>3446.71</v>
      </c>
      <c r="H20" s="19"/>
      <c r="I20" s="19"/>
      <c r="J20" s="19"/>
    </row>
    <row r="21" spans="1:10" s="18" customFormat="1" ht="16.5" customHeight="1" x14ac:dyDescent="0.25">
      <c r="A21" s="12">
        <v>45777</v>
      </c>
      <c r="B21" s="13" t="s">
        <v>56</v>
      </c>
      <c r="C21" s="14" t="s">
        <v>57</v>
      </c>
      <c r="D21" s="15" t="s">
        <v>58</v>
      </c>
      <c r="E21" s="16" t="s">
        <v>59</v>
      </c>
      <c r="F21" s="16" t="s">
        <v>14</v>
      </c>
      <c r="G21" s="24">
        <v>2.68</v>
      </c>
      <c r="I21" s="19"/>
      <c r="J21" s="19"/>
    </row>
    <row r="22" spans="1:10" s="18" customFormat="1" ht="16.5" customHeight="1" x14ac:dyDescent="0.25">
      <c r="A22" s="12">
        <v>45777</v>
      </c>
      <c r="B22" s="13" t="s">
        <v>60</v>
      </c>
      <c r="C22" s="14" t="s">
        <v>39</v>
      </c>
      <c r="D22" s="23" t="s">
        <v>61</v>
      </c>
      <c r="E22" s="16" t="s">
        <v>62</v>
      </c>
      <c r="F22" s="16" t="s">
        <v>14</v>
      </c>
      <c r="G22" s="24">
        <v>50</v>
      </c>
      <c r="I22" s="19"/>
      <c r="J22" s="19"/>
    </row>
    <row r="23" spans="1:10" s="18" customFormat="1" ht="16.5" customHeight="1" x14ac:dyDescent="0.25">
      <c r="A23" s="12">
        <v>45777</v>
      </c>
      <c r="B23" s="13" t="s">
        <v>63</v>
      </c>
      <c r="C23" s="14" t="s">
        <v>43</v>
      </c>
      <c r="D23" s="23" t="s">
        <v>64</v>
      </c>
      <c r="E23" s="16" t="s">
        <v>65</v>
      </c>
      <c r="F23" s="16" t="s">
        <v>14</v>
      </c>
      <c r="G23" s="24">
        <v>22.32</v>
      </c>
      <c r="I23" s="19"/>
      <c r="J23" s="19"/>
    </row>
    <row r="24" spans="1:10" s="18" customFormat="1" ht="16.5" customHeight="1" x14ac:dyDescent="0.25">
      <c r="A24" s="12">
        <v>45777</v>
      </c>
      <c r="B24" s="13" t="s">
        <v>66</v>
      </c>
      <c r="C24" s="14" t="s">
        <v>43</v>
      </c>
      <c r="D24" s="23" t="s">
        <v>67</v>
      </c>
      <c r="E24" s="16" t="s">
        <v>68</v>
      </c>
      <c r="F24" s="16" t="s">
        <v>14</v>
      </c>
      <c r="G24" s="24">
        <v>992.86</v>
      </c>
      <c r="I24" s="19"/>
      <c r="J24" s="19"/>
    </row>
    <row r="25" spans="1:10" s="18" customFormat="1" ht="16.5" customHeight="1" x14ac:dyDescent="0.25">
      <c r="A25" s="12">
        <v>45777</v>
      </c>
      <c r="B25" s="13" t="s">
        <v>69</v>
      </c>
      <c r="C25" s="14" t="s">
        <v>70</v>
      </c>
      <c r="D25" s="23" t="s">
        <v>71</v>
      </c>
      <c r="E25" s="16" t="s">
        <v>71</v>
      </c>
      <c r="F25" s="16" t="s">
        <v>14</v>
      </c>
      <c r="G25" s="25">
        <v>0</v>
      </c>
      <c r="I25" s="19"/>
      <c r="J25" s="19"/>
    </row>
    <row r="26" spans="1:10" s="18" customFormat="1" ht="16.5" customHeight="1" x14ac:dyDescent="0.25">
      <c r="A26" s="12">
        <v>45791</v>
      </c>
      <c r="B26" s="13" t="s">
        <v>72</v>
      </c>
      <c r="C26" s="14" t="s">
        <v>53</v>
      </c>
      <c r="D26" s="23" t="s">
        <v>73</v>
      </c>
      <c r="E26" s="16" t="s">
        <v>74</v>
      </c>
      <c r="F26" s="16" t="s">
        <v>14</v>
      </c>
      <c r="G26" s="24">
        <v>7280</v>
      </c>
      <c r="I26" s="19"/>
      <c r="J26" s="19"/>
    </row>
    <row r="27" spans="1:10" s="18" customFormat="1" ht="16.5" customHeight="1" x14ac:dyDescent="0.25">
      <c r="A27" s="12">
        <v>45797</v>
      </c>
      <c r="B27" s="13" t="s">
        <v>75</v>
      </c>
      <c r="C27" s="14" t="s">
        <v>23</v>
      </c>
      <c r="D27" s="23" t="s">
        <v>24</v>
      </c>
      <c r="E27" s="26" t="s">
        <v>76</v>
      </c>
      <c r="F27" s="16" t="s">
        <v>14</v>
      </c>
      <c r="G27" s="24">
        <v>5400</v>
      </c>
      <c r="I27" s="19"/>
      <c r="J27" s="19"/>
    </row>
    <row r="28" spans="1:10" s="18" customFormat="1" ht="16.5" customHeight="1" x14ac:dyDescent="0.25">
      <c r="A28" s="12">
        <v>45797</v>
      </c>
      <c r="B28" s="13" t="s">
        <v>75</v>
      </c>
      <c r="C28" s="14" t="s">
        <v>23</v>
      </c>
      <c r="D28" s="15" t="s">
        <v>26</v>
      </c>
      <c r="E28" s="16" t="s">
        <v>76</v>
      </c>
      <c r="F28" s="16" t="s">
        <v>14</v>
      </c>
      <c r="G28" s="24">
        <v>5900</v>
      </c>
      <c r="I28" s="19"/>
      <c r="J28" s="19"/>
    </row>
    <row r="29" spans="1:10" s="18" customFormat="1" ht="16.5" customHeight="1" x14ac:dyDescent="0.25">
      <c r="A29" s="12">
        <v>45797</v>
      </c>
      <c r="B29" s="21" t="s">
        <v>75</v>
      </c>
      <c r="C29" s="22" t="s">
        <v>27</v>
      </c>
      <c r="D29" s="15" t="s">
        <v>28</v>
      </c>
      <c r="E29" s="16" t="s">
        <v>77</v>
      </c>
      <c r="F29" s="16" t="s">
        <v>14</v>
      </c>
      <c r="G29" s="24">
        <v>40045</v>
      </c>
      <c r="I29" s="19"/>
      <c r="J29" s="19"/>
    </row>
    <row r="30" spans="1:10" s="18" customFormat="1" ht="16.5" customHeight="1" x14ac:dyDescent="0.25">
      <c r="A30" s="12">
        <v>45797</v>
      </c>
      <c r="B30" s="21" t="s">
        <v>78</v>
      </c>
      <c r="C30" s="22" t="s">
        <v>34</v>
      </c>
      <c r="D30" s="15" t="s">
        <v>79</v>
      </c>
      <c r="E30" s="16" t="s">
        <v>80</v>
      </c>
      <c r="F30" s="16" t="s">
        <v>14</v>
      </c>
      <c r="G30" s="24">
        <v>469.5</v>
      </c>
      <c r="I30" s="19"/>
      <c r="J30" s="19"/>
    </row>
    <row r="31" spans="1:10" s="18" customFormat="1" ht="16.5" customHeight="1" x14ac:dyDescent="0.25">
      <c r="A31" s="12">
        <v>45797</v>
      </c>
      <c r="B31" s="21" t="s">
        <v>81</v>
      </c>
      <c r="C31" s="22" t="s">
        <v>34</v>
      </c>
      <c r="D31" s="15" t="s">
        <v>79</v>
      </c>
      <c r="E31" s="16" t="s">
        <v>82</v>
      </c>
      <c r="F31" s="16" t="s">
        <v>14</v>
      </c>
      <c r="G31" s="24">
        <v>460</v>
      </c>
      <c r="I31" s="19"/>
      <c r="J31" s="19"/>
    </row>
    <row r="32" spans="1:10" s="18" customFormat="1" ht="16.5" customHeight="1" x14ac:dyDescent="0.25">
      <c r="A32" s="12">
        <v>45797</v>
      </c>
      <c r="B32" s="13" t="s">
        <v>78</v>
      </c>
      <c r="C32" s="14" t="s">
        <v>37</v>
      </c>
      <c r="D32" s="15" t="s">
        <v>79</v>
      </c>
      <c r="E32" s="16" t="s">
        <v>80</v>
      </c>
      <c r="F32" s="16" t="s">
        <v>14</v>
      </c>
      <c r="G32" s="24">
        <v>94.16</v>
      </c>
      <c r="I32" s="19"/>
      <c r="J32" s="19"/>
    </row>
    <row r="33" spans="1:10" s="18" customFormat="1" ht="16.5" customHeight="1" x14ac:dyDescent="0.25">
      <c r="A33" s="12">
        <v>45801</v>
      </c>
      <c r="B33" s="13"/>
      <c r="C33" s="14" t="s">
        <v>11</v>
      </c>
      <c r="D33" s="15" t="s">
        <v>12</v>
      </c>
      <c r="E33" s="16" t="s">
        <v>83</v>
      </c>
      <c r="F33" s="16" t="s">
        <v>14</v>
      </c>
      <c r="G33" s="24">
        <f>969401.77*0</f>
        <v>0</v>
      </c>
      <c r="I33" s="19"/>
      <c r="J33" s="19"/>
    </row>
    <row r="34" spans="1:10" s="18" customFormat="1" ht="16.5" customHeight="1" x14ac:dyDescent="0.25">
      <c r="A34" s="12">
        <v>45812</v>
      </c>
      <c r="B34" s="13" t="s">
        <v>84</v>
      </c>
      <c r="C34" s="14" t="s">
        <v>34</v>
      </c>
      <c r="D34" s="15" t="s">
        <v>85</v>
      </c>
      <c r="E34" s="16" t="s">
        <v>86</v>
      </c>
      <c r="F34" s="16" t="s">
        <v>14</v>
      </c>
      <c r="G34" s="24">
        <v>912.63</v>
      </c>
      <c r="I34" s="19"/>
      <c r="J34" s="19"/>
    </row>
    <row r="35" spans="1:10" s="18" customFormat="1" ht="16.5" customHeight="1" x14ac:dyDescent="0.25">
      <c r="A35" s="12">
        <v>45812</v>
      </c>
      <c r="B35" s="13" t="s">
        <v>87</v>
      </c>
      <c r="C35" s="14" t="s">
        <v>34</v>
      </c>
      <c r="D35" s="15" t="s">
        <v>85</v>
      </c>
      <c r="E35" s="16" t="s">
        <v>88</v>
      </c>
      <c r="F35" s="16" t="s">
        <v>14</v>
      </c>
      <c r="G35" s="24">
        <v>3007.08</v>
      </c>
      <c r="I35" s="19"/>
      <c r="J35" s="19"/>
    </row>
    <row r="36" spans="1:10" s="18" customFormat="1" ht="16.5" customHeight="1" x14ac:dyDescent="0.25">
      <c r="A36" s="12">
        <v>45812</v>
      </c>
      <c r="B36" s="13" t="s">
        <v>89</v>
      </c>
      <c r="C36" s="14" t="s">
        <v>34</v>
      </c>
      <c r="D36" s="15" t="s">
        <v>85</v>
      </c>
      <c r="E36" s="16" t="s">
        <v>90</v>
      </c>
      <c r="F36" s="16" t="s">
        <v>14</v>
      </c>
      <c r="G36" s="24">
        <v>182.14</v>
      </c>
      <c r="I36" s="19"/>
      <c r="J36" s="19"/>
    </row>
    <row r="37" spans="1:10" s="18" customFormat="1" ht="16.5" customHeight="1" x14ac:dyDescent="0.25">
      <c r="A37" s="12">
        <v>45812</v>
      </c>
      <c r="B37" s="13" t="s">
        <v>84</v>
      </c>
      <c r="C37" s="14" t="s">
        <v>37</v>
      </c>
      <c r="D37" s="15" t="s">
        <v>85</v>
      </c>
      <c r="E37" s="16" t="s">
        <v>86</v>
      </c>
      <c r="F37" s="16" t="s">
        <v>14</v>
      </c>
      <c r="G37" s="24">
        <v>47.85</v>
      </c>
      <c r="I37" s="19"/>
      <c r="J37" s="19"/>
    </row>
    <row r="38" spans="1:10" s="18" customFormat="1" ht="16.5" customHeight="1" x14ac:dyDescent="0.25">
      <c r="A38" s="12">
        <v>45812</v>
      </c>
      <c r="B38" s="13" t="s">
        <v>87</v>
      </c>
      <c r="C38" s="14" t="s">
        <v>37</v>
      </c>
      <c r="D38" s="15" t="s">
        <v>85</v>
      </c>
      <c r="E38" s="16" t="s">
        <v>88</v>
      </c>
      <c r="F38" s="16" t="s">
        <v>14</v>
      </c>
      <c r="G38" s="17">
        <v>567.07000000000005</v>
      </c>
      <c r="I38" s="19"/>
      <c r="J38" s="19"/>
    </row>
    <row r="39" spans="1:10" s="18" customFormat="1" ht="16.5" customHeight="1" x14ac:dyDescent="0.25">
      <c r="A39" s="12">
        <v>45814</v>
      </c>
      <c r="B39" s="13" t="s">
        <v>91</v>
      </c>
      <c r="C39" s="14" t="s">
        <v>39</v>
      </c>
      <c r="D39" s="15" t="s">
        <v>40</v>
      </c>
      <c r="E39" s="16" t="s">
        <v>92</v>
      </c>
      <c r="F39" s="16" t="s">
        <v>14</v>
      </c>
      <c r="G39" s="17">
        <v>240</v>
      </c>
      <c r="H39" s="20"/>
      <c r="I39" s="19"/>
      <c r="J39" s="19"/>
    </row>
    <row r="40" spans="1:10" s="18" customFormat="1" ht="16.5" customHeight="1" x14ac:dyDescent="0.25">
      <c r="A40" s="12">
        <v>45816</v>
      </c>
      <c r="B40" s="13" t="s">
        <v>93</v>
      </c>
      <c r="C40" s="14" t="s">
        <v>34</v>
      </c>
      <c r="D40" s="15" t="s">
        <v>35</v>
      </c>
      <c r="E40" s="16" t="s">
        <v>94</v>
      </c>
      <c r="F40" s="16" t="s">
        <v>14</v>
      </c>
      <c r="G40" s="17">
        <v>607.85</v>
      </c>
      <c r="I40" s="19"/>
      <c r="J40" s="19"/>
    </row>
    <row r="41" spans="1:10" s="18" customFormat="1" ht="16.5" customHeight="1" x14ac:dyDescent="0.25">
      <c r="A41" s="12">
        <v>45816</v>
      </c>
      <c r="B41" s="13" t="s">
        <v>93</v>
      </c>
      <c r="C41" s="14" t="s">
        <v>37</v>
      </c>
      <c r="D41" s="15" t="s">
        <v>35</v>
      </c>
      <c r="E41" s="16" t="s">
        <v>94</v>
      </c>
      <c r="F41" s="16" t="s">
        <v>14</v>
      </c>
      <c r="G41" s="17">
        <v>119.21</v>
      </c>
      <c r="I41" s="19"/>
      <c r="J41" s="19"/>
    </row>
    <row r="42" spans="1:10" s="18" customFormat="1" ht="16.5" customHeight="1" x14ac:dyDescent="0.25">
      <c r="A42" s="12">
        <v>45832</v>
      </c>
      <c r="B42" s="13" t="s">
        <v>95</v>
      </c>
      <c r="C42" s="14" t="s">
        <v>34</v>
      </c>
      <c r="D42" s="15" t="s">
        <v>96</v>
      </c>
      <c r="E42" s="16" t="s">
        <v>97</v>
      </c>
      <c r="F42" s="16" t="s">
        <v>14</v>
      </c>
      <c r="G42" s="17">
        <v>297.94</v>
      </c>
      <c r="I42" s="19"/>
      <c r="J42" s="19"/>
    </row>
    <row r="43" spans="1:10" s="18" customFormat="1" ht="16.5" customHeight="1" x14ac:dyDescent="0.25">
      <c r="A43" s="12">
        <v>45832</v>
      </c>
      <c r="B43" s="13" t="s">
        <v>95</v>
      </c>
      <c r="C43" s="14" t="s">
        <v>37</v>
      </c>
      <c r="D43" s="15" t="s">
        <v>96</v>
      </c>
      <c r="E43" s="16" t="s">
        <v>97</v>
      </c>
      <c r="F43" s="16" t="s">
        <v>14</v>
      </c>
      <c r="G43" s="17">
        <v>16.309999999999999</v>
      </c>
      <c r="I43" s="19"/>
      <c r="J43" s="19"/>
    </row>
    <row r="44" spans="1:10" s="18" customFormat="1" ht="16.5" customHeight="1" x14ac:dyDescent="0.25">
      <c r="A44" s="12">
        <v>45832</v>
      </c>
      <c r="B44" s="13" t="s">
        <v>98</v>
      </c>
      <c r="C44" s="14" t="s">
        <v>99</v>
      </c>
      <c r="D44" s="15" t="s">
        <v>100</v>
      </c>
      <c r="E44" s="16" t="s">
        <v>101</v>
      </c>
      <c r="F44" s="16" t="s">
        <v>14</v>
      </c>
      <c r="G44" s="17">
        <v>73.66</v>
      </c>
      <c r="I44" s="19"/>
      <c r="J44" s="19"/>
    </row>
    <row r="45" spans="1:10" s="18" customFormat="1" ht="16.5" customHeight="1" x14ac:dyDescent="0.25">
      <c r="A45" s="12">
        <v>45838</v>
      </c>
      <c r="B45" s="13" t="s">
        <v>102</v>
      </c>
      <c r="C45" s="14" t="s">
        <v>23</v>
      </c>
      <c r="D45" s="15" t="s">
        <v>24</v>
      </c>
      <c r="E45" s="16" t="s">
        <v>103</v>
      </c>
      <c r="F45" s="16" t="s">
        <v>14</v>
      </c>
      <c r="G45" s="17">
        <v>5400</v>
      </c>
      <c r="I45" s="19"/>
      <c r="J45" s="19"/>
    </row>
    <row r="46" spans="1:10" s="18" customFormat="1" ht="16.5" customHeight="1" x14ac:dyDescent="0.25">
      <c r="A46" s="12">
        <v>45838</v>
      </c>
      <c r="B46" s="13" t="s">
        <v>102</v>
      </c>
      <c r="C46" s="14" t="s">
        <v>23</v>
      </c>
      <c r="D46" s="15" t="s">
        <v>26</v>
      </c>
      <c r="E46" s="16" t="s">
        <v>103</v>
      </c>
      <c r="F46" s="16" t="s">
        <v>14</v>
      </c>
      <c r="G46" s="17">
        <v>5900</v>
      </c>
      <c r="I46" s="19"/>
      <c r="J46" s="19"/>
    </row>
    <row r="47" spans="1:10" s="18" customFormat="1" ht="16.5" customHeight="1" x14ac:dyDescent="0.25">
      <c r="A47" s="12">
        <v>45838</v>
      </c>
      <c r="B47" s="13" t="s">
        <v>102</v>
      </c>
      <c r="C47" s="14" t="s">
        <v>27</v>
      </c>
      <c r="D47" s="15" t="s">
        <v>28</v>
      </c>
      <c r="E47" s="16" t="s">
        <v>104</v>
      </c>
      <c r="F47" s="16" t="s">
        <v>14</v>
      </c>
      <c r="G47" s="17">
        <v>25545</v>
      </c>
      <c r="I47" s="19"/>
      <c r="J47" s="19"/>
    </row>
    <row r="48" spans="1:10" s="18" customFormat="1" ht="16.5" customHeight="1" x14ac:dyDescent="0.25">
      <c r="A48" s="12">
        <v>45848</v>
      </c>
      <c r="B48" s="13" t="s">
        <v>105</v>
      </c>
      <c r="C48" s="14" t="s">
        <v>106</v>
      </c>
      <c r="D48" s="15" t="s">
        <v>107</v>
      </c>
      <c r="E48" s="16" t="s">
        <v>108</v>
      </c>
      <c r="F48" s="16" t="s">
        <v>14</v>
      </c>
      <c r="G48" s="17">
        <v>750</v>
      </c>
      <c r="I48" s="19"/>
      <c r="J48" s="19"/>
    </row>
    <row r="49" spans="1:10" s="18" customFormat="1" ht="16.5" customHeight="1" x14ac:dyDescent="0.25">
      <c r="A49" s="12">
        <v>45850</v>
      </c>
      <c r="B49" s="13" t="s">
        <v>109</v>
      </c>
      <c r="C49" s="14" t="s">
        <v>34</v>
      </c>
      <c r="D49" s="15" t="s">
        <v>110</v>
      </c>
      <c r="E49" s="16" t="s">
        <v>111</v>
      </c>
      <c r="F49" s="16" t="s">
        <v>14</v>
      </c>
      <c r="G49" s="17">
        <v>300</v>
      </c>
      <c r="I49" s="19"/>
      <c r="J49" s="19"/>
    </row>
    <row r="50" spans="1:10" s="18" customFormat="1" ht="16.5" customHeight="1" x14ac:dyDescent="0.25">
      <c r="A50" s="12">
        <v>45850</v>
      </c>
      <c r="B50" s="13" t="s">
        <v>112</v>
      </c>
      <c r="C50" s="14" t="s">
        <v>34</v>
      </c>
      <c r="D50" s="15" t="s">
        <v>113</v>
      </c>
      <c r="E50" s="16" t="s">
        <v>114</v>
      </c>
      <c r="F50" s="16" t="s">
        <v>14</v>
      </c>
      <c r="G50" s="17">
        <v>690</v>
      </c>
      <c r="I50" s="19"/>
      <c r="J50" s="19"/>
    </row>
    <row r="51" spans="1:10" s="18" customFormat="1" ht="16.5" customHeight="1" x14ac:dyDescent="0.25">
      <c r="A51" s="12">
        <v>45850</v>
      </c>
      <c r="B51" s="12" t="s">
        <v>115</v>
      </c>
      <c r="C51" s="27" t="s">
        <v>34</v>
      </c>
      <c r="D51" s="16" t="s">
        <v>35</v>
      </c>
      <c r="E51" s="16" t="s">
        <v>116</v>
      </c>
      <c r="F51" s="16" t="s">
        <v>14</v>
      </c>
      <c r="G51" s="17">
        <v>533.05999999999995</v>
      </c>
      <c r="I51" s="19"/>
      <c r="J51" s="19"/>
    </row>
    <row r="52" spans="1:10" s="18" customFormat="1" ht="16.5" customHeight="1" x14ac:dyDescent="0.25">
      <c r="A52" s="12">
        <v>45850</v>
      </c>
      <c r="B52" s="12" t="s">
        <v>115</v>
      </c>
      <c r="C52" s="27" t="s">
        <v>37</v>
      </c>
      <c r="D52" s="16" t="s">
        <v>35</v>
      </c>
      <c r="E52" s="16" t="s">
        <v>116</v>
      </c>
      <c r="F52" s="16" t="s">
        <v>14</v>
      </c>
      <c r="G52" s="24">
        <v>102.97</v>
      </c>
    </row>
    <row r="53" spans="1:10" s="18" customFormat="1" ht="16.5" customHeight="1" x14ac:dyDescent="0.25">
      <c r="A53" s="12">
        <v>45850</v>
      </c>
      <c r="B53" s="12" t="s">
        <v>117</v>
      </c>
      <c r="C53" s="27" t="s">
        <v>39</v>
      </c>
      <c r="D53" s="16" t="s">
        <v>118</v>
      </c>
      <c r="E53" s="16" t="s">
        <v>119</v>
      </c>
      <c r="F53" s="16" t="s">
        <v>14</v>
      </c>
      <c r="G53" s="24">
        <v>461.61</v>
      </c>
    </row>
    <row r="54" spans="1:10" s="18" customFormat="1" ht="16.5" customHeight="1" x14ac:dyDescent="0.25">
      <c r="A54" s="12">
        <v>45858</v>
      </c>
      <c r="B54" s="12" t="s">
        <v>120</v>
      </c>
      <c r="C54" s="27" t="s">
        <v>106</v>
      </c>
      <c r="D54" s="16" t="s">
        <v>121</v>
      </c>
      <c r="E54" s="16" t="s">
        <v>122</v>
      </c>
      <c r="F54" s="16" t="s">
        <v>14</v>
      </c>
      <c r="G54" s="24">
        <v>325</v>
      </c>
    </row>
    <row r="55" spans="1:10" s="18" customFormat="1" ht="16.5" customHeight="1" x14ac:dyDescent="0.25">
      <c r="A55" s="12">
        <v>45858</v>
      </c>
      <c r="B55" s="12" t="s">
        <v>120</v>
      </c>
      <c r="C55" s="27" t="s">
        <v>106</v>
      </c>
      <c r="D55" s="16" t="s">
        <v>123</v>
      </c>
      <c r="E55" s="16" t="s">
        <v>122</v>
      </c>
      <c r="F55" s="16" t="s">
        <v>14</v>
      </c>
      <c r="G55" s="24">
        <v>775</v>
      </c>
      <c r="H55" s="28"/>
    </row>
    <row r="56" spans="1:10" s="18" customFormat="1" ht="16.5" customHeight="1" x14ac:dyDescent="0.25">
      <c r="A56" s="12">
        <v>45858</v>
      </c>
      <c r="B56" s="12" t="s">
        <v>120</v>
      </c>
      <c r="C56" s="27" t="s">
        <v>106</v>
      </c>
      <c r="D56" s="16" t="s">
        <v>123</v>
      </c>
      <c r="E56" s="16" t="s">
        <v>122</v>
      </c>
      <c r="F56" s="16" t="s">
        <v>14</v>
      </c>
      <c r="G56" s="24">
        <v>785</v>
      </c>
      <c r="H56" s="19"/>
    </row>
    <row r="57" spans="1:10" s="18" customFormat="1" ht="16.5" customHeight="1" x14ac:dyDescent="0.25">
      <c r="A57" s="12">
        <v>45858</v>
      </c>
      <c r="B57" s="12" t="s">
        <v>120</v>
      </c>
      <c r="C57" s="29" t="s">
        <v>106</v>
      </c>
      <c r="D57" s="16" t="s">
        <v>124</v>
      </c>
      <c r="E57" s="16" t="s">
        <v>122</v>
      </c>
      <c r="F57" s="16" t="s">
        <v>14</v>
      </c>
      <c r="G57" s="17">
        <v>145</v>
      </c>
      <c r="H57" s="19"/>
      <c r="I57" s="19"/>
      <c r="J57" s="19"/>
    </row>
    <row r="58" spans="1:10" s="18" customFormat="1" ht="16.5" customHeight="1" x14ac:dyDescent="0.25">
      <c r="A58" s="12">
        <v>45858</v>
      </c>
      <c r="B58" s="12" t="s">
        <v>120</v>
      </c>
      <c r="C58" s="27" t="s">
        <v>106</v>
      </c>
      <c r="D58" s="16" t="s">
        <v>124</v>
      </c>
      <c r="E58" s="16" t="s">
        <v>122</v>
      </c>
      <c r="F58" s="16" t="s">
        <v>14</v>
      </c>
      <c r="G58" s="24">
        <v>180</v>
      </c>
      <c r="H58" s="19"/>
    </row>
    <row r="59" spans="1:10" s="18" customFormat="1" ht="16.5" customHeight="1" x14ac:dyDescent="0.25">
      <c r="A59" s="12">
        <v>45858</v>
      </c>
      <c r="B59" s="12" t="s">
        <v>120</v>
      </c>
      <c r="C59" s="27" t="s">
        <v>125</v>
      </c>
      <c r="D59" s="30" t="s">
        <v>126</v>
      </c>
      <c r="E59" s="16" t="s">
        <v>127</v>
      </c>
      <c r="F59" s="16" t="s">
        <v>14</v>
      </c>
      <c r="G59" s="17">
        <v>1400</v>
      </c>
      <c r="H59" s="20"/>
      <c r="I59" s="19"/>
      <c r="J59" s="19"/>
    </row>
    <row r="60" spans="1:10" s="18" customFormat="1" ht="16.5" customHeight="1" x14ac:dyDescent="0.25">
      <c r="A60" s="12">
        <v>45858</v>
      </c>
      <c r="B60" s="12" t="s">
        <v>120</v>
      </c>
      <c r="C60" s="27" t="s">
        <v>125</v>
      </c>
      <c r="D60" s="16" t="s">
        <v>128</v>
      </c>
      <c r="E60" s="16" t="s">
        <v>127</v>
      </c>
      <c r="F60" s="16" t="s">
        <v>14</v>
      </c>
      <c r="G60" s="24">
        <v>1400</v>
      </c>
      <c r="H60" s="20"/>
      <c r="I60" s="19"/>
      <c r="J60" s="19"/>
    </row>
    <row r="61" spans="1:10" s="18" customFormat="1" ht="16.5" customHeight="1" x14ac:dyDescent="0.25">
      <c r="A61" s="12">
        <v>45858</v>
      </c>
      <c r="B61" s="31" t="s">
        <v>120</v>
      </c>
      <c r="C61" s="29" t="s">
        <v>23</v>
      </c>
      <c r="D61" s="16" t="s">
        <v>24</v>
      </c>
      <c r="E61" s="16" t="s">
        <v>129</v>
      </c>
      <c r="F61" s="16" t="s">
        <v>14</v>
      </c>
      <c r="G61" s="24">
        <v>8800</v>
      </c>
      <c r="H61" s="20"/>
      <c r="I61" s="19"/>
      <c r="J61" s="19"/>
    </row>
    <row r="62" spans="1:10" s="18" customFormat="1" ht="16.5" customHeight="1" x14ac:dyDescent="0.25">
      <c r="A62" s="12">
        <v>45858</v>
      </c>
      <c r="B62" s="31" t="s">
        <v>120</v>
      </c>
      <c r="C62" s="29" t="s">
        <v>23</v>
      </c>
      <c r="D62" s="16" t="s">
        <v>26</v>
      </c>
      <c r="E62" s="16" t="s">
        <v>129</v>
      </c>
      <c r="F62" s="16" t="s">
        <v>14</v>
      </c>
      <c r="G62" s="24">
        <v>11800</v>
      </c>
      <c r="H62" s="20"/>
      <c r="I62" s="19"/>
      <c r="J62" s="19"/>
    </row>
    <row r="63" spans="1:10" s="18" customFormat="1" ht="16.5" customHeight="1" x14ac:dyDescent="0.25">
      <c r="A63" s="12">
        <v>45858</v>
      </c>
      <c r="B63" s="31" t="s">
        <v>120</v>
      </c>
      <c r="C63" s="29" t="s">
        <v>23</v>
      </c>
      <c r="D63" s="16" t="s">
        <v>130</v>
      </c>
      <c r="E63" s="16" t="s">
        <v>129</v>
      </c>
      <c r="F63" s="16" t="s">
        <v>14</v>
      </c>
      <c r="G63" s="24">
        <v>1215</v>
      </c>
      <c r="H63" s="19"/>
      <c r="I63" s="19"/>
      <c r="J63" s="19"/>
    </row>
    <row r="64" spans="1:10" s="18" customFormat="1" ht="16.5" customHeight="1" x14ac:dyDescent="0.25">
      <c r="A64" s="12">
        <v>45858</v>
      </c>
      <c r="B64" s="12" t="s">
        <v>120</v>
      </c>
      <c r="C64" s="27" t="s">
        <v>27</v>
      </c>
      <c r="D64" s="16" t="s">
        <v>28</v>
      </c>
      <c r="E64" s="16" t="s">
        <v>131</v>
      </c>
      <c r="F64" s="16" t="s">
        <v>14</v>
      </c>
      <c r="G64" s="24">
        <v>15857</v>
      </c>
      <c r="I64" s="19"/>
      <c r="J64" s="19"/>
    </row>
    <row r="65" spans="1:10" s="18" customFormat="1" ht="16.5" customHeight="1" x14ac:dyDescent="0.25">
      <c r="A65" s="12">
        <v>45858</v>
      </c>
      <c r="B65" s="12" t="s">
        <v>120</v>
      </c>
      <c r="C65" s="27" t="s">
        <v>132</v>
      </c>
      <c r="D65" s="16" t="s">
        <v>28</v>
      </c>
      <c r="E65" s="16" t="s">
        <v>131</v>
      </c>
      <c r="F65" s="16" t="s">
        <v>14</v>
      </c>
      <c r="G65" s="24">
        <v>10050</v>
      </c>
      <c r="I65" s="19"/>
      <c r="J65" s="19"/>
    </row>
    <row r="66" spans="1:10" s="18" customFormat="1" ht="16.5" customHeight="1" x14ac:dyDescent="0.25">
      <c r="A66" s="12">
        <v>45858</v>
      </c>
      <c r="B66" s="12" t="s">
        <v>120</v>
      </c>
      <c r="C66" s="27" t="s">
        <v>106</v>
      </c>
      <c r="D66" s="16" t="s">
        <v>126</v>
      </c>
      <c r="E66" s="16" t="s">
        <v>122</v>
      </c>
      <c r="F66" s="16" t="s">
        <v>14</v>
      </c>
      <c r="G66" s="17">
        <v>1170</v>
      </c>
      <c r="I66" s="19"/>
      <c r="J66" s="19"/>
    </row>
    <row r="67" spans="1:10" s="18" customFormat="1" ht="16.5" customHeight="1" x14ac:dyDescent="0.25">
      <c r="A67" s="12">
        <v>45859</v>
      </c>
      <c r="B67" s="12" t="s">
        <v>133</v>
      </c>
      <c r="C67" s="27" t="s">
        <v>106</v>
      </c>
      <c r="D67" s="16" t="s">
        <v>134</v>
      </c>
      <c r="E67" s="16" t="s">
        <v>135</v>
      </c>
      <c r="F67" s="16" t="s">
        <v>14</v>
      </c>
      <c r="G67" s="24">
        <v>7142.86</v>
      </c>
      <c r="H67" s="20"/>
      <c r="I67" s="19"/>
      <c r="J67" s="19"/>
    </row>
    <row r="68" spans="1:10" s="18" customFormat="1" ht="16.5" customHeight="1" x14ac:dyDescent="0.25">
      <c r="A68" s="12">
        <v>45860</v>
      </c>
      <c r="B68" s="12" t="s">
        <v>136</v>
      </c>
      <c r="C68" s="27" t="s">
        <v>106</v>
      </c>
      <c r="D68" s="16" t="s">
        <v>134</v>
      </c>
      <c r="E68" s="16" t="s">
        <v>137</v>
      </c>
      <c r="F68" s="16" t="s">
        <v>14</v>
      </c>
      <c r="G68" s="24">
        <v>69285.710000000006</v>
      </c>
      <c r="H68" s="19"/>
      <c r="I68" s="19"/>
      <c r="J68" s="19"/>
    </row>
    <row r="69" spans="1:10" s="18" customFormat="1" ht="16.5" customHeight="1" x14ac:dyDescent="0.25">
      <c r="A69" s="12">
        <v>45866</v>
      </c>
      <c r="B69" s="12" t="s">
        <v>138</v>
      </c>
      <c r="C69" s="27" t="s">
        <v>43</v>
      </c>
      <c r="D69" s="30" t="s">
        <v>139</v>
      </c>
      <c r="E69" s="16" t="s">
        <v>140</v>
      </c>
      <c r="F69" s="16" t="s">
        <v>14</v>
      </c>
      <c r="G69" s="24">
        <v>92.86</v>
      </c>
      <c r="H69" s="19"/>
      <c r="I69" s="19"/>
      <c r="J69" s="19"/>
    </row>
    <row r="70" spans="1:10" s="18" customFormat="1" ht="16.5" customHeight="1" x14ac:dyDescent="0.25">
      <c r="A70" s="12">
        <v>45868</v>
      </c>
      <c r="B70" s="12" t="s">
        <v>141</v>
      </c>
      <c r="C70" s="27" t="s">
        <v>43</v>
      </c>
      <c r="D70" s="16" t="s">
        <v>142</v>
      </c>
      <c r="E70" s="16" t="s">
        <v>143</v>
      </c>
      <c r="F70" s="16" t="s">
        <v>14</v>
      </c>
      <c r="G70" s="24">
        <v>92.86</v>
      </c>
      <c r="H70" s="19"/>
      <c r="I70" s="19"/>
      <c r="J70" s="19"/>
    </row>
    <row r="71" spans="1:10" s="18" customFormat="1" ht="16.2" customHeight="1" x14ac:dyDescent="0.25">
      <c r="A71" s="12">
        <v>45868</v>
      </c>
      <c r="B71" s="12" t="s">
        <v>144</v>
      </c>
      <c r="C71" s="27" t="s">
        <v>43</v>
      </c>
      <c r="D71" s="16" t="s">
        <v>145</v>
      </c>
      <c r="E71" s="16" t="s">
        <v>146</v>
      </c>
      <c r="F71" s="16" t="s">
        <v>14</v>
      </c>
      <c r="G71" s="24">
        <v>119.64</v>
      </c>
      <c r="H71" s="20"/>
      <c r="I71" s="19"/>
      <c r="J71" s="19"/>
    </row>
    <row r="72" spans="1:10" s="18" customFormat="1" ht="16.5" customHeight="1" x14ac:dyDescent="0.25">
      <c r="A72" s="12">
        <v>45869</v>
      </c>
      <c r="B72" s="12" t="s">
        <v>147</v>
      </c>
      <c r="C72" s="27" t="s">
        <v>23</v>
      </c>
      <c r="D72" s="16" t="s">
        <v>148</v>
      </c>
      <c r="E72" s="16" t="s">
        <v>149</v>
      </c>
      <c r="F72" s="16" t="s">
        <v>14</v>
      </c>
      <c r="G72" s="24">
        <v>23871.3</v>
      </c>
      <c r="H72" s="20"/>
      <c r="I72" s="19"/>
      <c r="J72" s="19"/>
    </row>
    <row r="73" spans="1:10" s="18" customFormat="1" ht="16.5" customHeight="1" x14ac:dyDescent="0.25">
      <c r="A73" s="12">
        <v>45869</v>
      </c>
      <c r="B73" s="12" t="s">
        <v>150</v>
      </c>
      <c r="C73" s="27" t="s">
        <v>23</v>
      </c>
      <c r="D73" s="16" t="s">
        <v>148</v>
      </c>
      <c r="E73" s="16" t="s">
        <v>151</v>
      </c>
      <c r="F73" s="16" t="s">
        <v>14</v>
      </c>
      <c r="G73" s="24">
        <v>3150.65</v>
      </c>
      <c r="H73" s="20"/>
      <c r="I73" s="19"/>
      <c r="J73" s="19"/>
    </row>
    <row r="74" spans="1:10" s="18" customFormat="1" ht="16.2" customHeight="1" x14ac:dyDescent="0.25">
      <c r="A74" s="12">
        <v>45869</v>
      </c>
      <c r="B74" s="12" t="s">
        <v>152</v>
      </c>
      <c r="C74" s="27" t="s">
        <v>34</v>
      </c>
      <c r="D74" s="16" t="s">
        <v>85</v>
      </c>
      <c r="E74" s="16" t="s">
        <v>153</v>
      </c>
      <c r="F74" s="16" t="s">
        <v>14</v>
      </c>
      <c r="G74" s="24">
        <v>1141</v>
      </c>
      <c r="H74" s="20"/>
      <c r="I74" s="19"/>
      <c r="J74" s="19"/>
    </row>
    <row r="75" spans="1:10" s="18" customFormat="1" ht="16.5" customHeight="1" x14ac:dyDescent="0.25">
      <c r="A75" s="12">
        <v>45869</v>
      </c>
      <c r="B75" s="12" t="s">
        <v>152</v>
      </c>
      <c r="C75" s="27" t="s">
        <v>37</v>
      </c>
      <c r="D75" s="16" t="s">
        <v>85</v>
      </c>
      <c r="E75" s="16" t="s">
        <v>153</v>
      </c>
      <c r="F75" s="16" t="s">
        <v>14</v>
      </c>
      <c r="G75" s="24">
        <v>222.08</v>
      </c>
      <c r="H75" s="20"/>
      <c r="I75" s="19"/>
      <c r="J75" s="19"/>
    </row>
    <row r="76" spans="1:10" s="18" customFormat="1" ht="16.5" customHeight="1" x14ac:dyDescent="0.25">
      <c r="A76" s="12">
        <v>45869</v>
      </c>
      <c r="B76" s="12" t="s">
        <v>154</v>
      </c>
      <c r="C76" s="27" t="s">
        <v>43</v>
      </c>
      <c r="D76" s="16" t="s">
        <v>155</v>
      </c>
      <c r="E76" s="16" t="s">
        <v>146</v>
      </c>
      <c r="F76" s="16" t="s">
        <v>14</v>
      </c>
      <c r="G76" s="24">
        <v>103.57</v>
      </c>
      <c r="H76" s="20"/>
      <c r="I76" s="19"/>
      <c r="J76" s="19"/>
    </row>
    <row r="77" spans="1:10" s="18" customFormat="1" ht="16.5" customHeight="1" x14ac:dyDescent="0.25">
      <c r="A77" s="12">
        <v>45869</v>
      </c>
      <c r="B77" s="12" t="s">
        <v>156</v>
      </c>
      <c r="C77" s="27" t="s">
        <v>16</v>
      </c>
      <c r="D77" s="16" t="s">
        <v>113</v>
      </c>
      <c r="E77" s="16" t="s">
        <v>157</v>
      </c>
      <c r="F77" s="16" t="s">
        <v>14</v>
      </c>
      <c r="G77" s="24">
        <v>845</v>
      </c>
      <c r="H77" s="19"/>
      <c r="I77" s="19"/>
      <c r="J77" s="19"/>
    </row>
    <row r="78" spans="1:10" s="18" customFormat="1" ht="16.5" customHeight="1" x14ac:dyDescent="0.25">
      <c r="A78" s="12">
        <v>45869</v>
      </c>
      <c r="B78" s="31" t="s">
        <v>158</v>
      </c>
      <c r="C78" s="29" t="s">
        <v>159</v>
      </c>
      <c r="D78" s="16" t="s">
        <v>160</v>
      </c>
      <c r="E78" s="16" t="s">
        <v>161</v>
      </c>
      <c r="F78" s="16" t="s">
        <v>14</v>
      </c>
      <c r="G78" s="24">
        <v>468.75</v>
      </c>
      <c r="H78" s="19"/>
      <c r="I78" s="19"/>
      <c r="J78" s="19"/>
    </row>
    <row r="79" spans="1:10" s="18" customFormat="1" ht="16.5" customHeight="1" x14ac:dyDescent="0.25">
      <c r="A79" s="12">
        <v>45869</v>
      </c>
      <c r="B79" s="12" t="s">
        <v>162</v>
      </c>
      <c r="C79" s="27" t="s">
        <v>30</v>
      </c>
      <c r="D79" s="16" t="s">
        <v>31</v>
      </c>
      <c r="E79" s="16" t="s">
        <v>163</v>
      </c>
      <c r="F79" s="16" t="s">
        <v>14</v>
      </c>
      <c r="G79" s="17">
        <v>5780</v>
      </c>
    </row>
    <row r="80" spans="1:10" s="18" customFormat="1" ht="16.5" customHeight="1" x14ac:dyDescent="0.25">
      <c r="A80" s="12">
        <v>45869</v>
      </c>
      <c r="B80" s="12" t="s">
        <v>164</v>
      </c>
      <c r="C80" s="14" t="s">
        <v>53</v>
      </c>
      <c r="D80" s="30" t="s">
        <v>31</v>
      </c>
      <c r="E80" s="16" t="s">
        <v>165</v>
      </c>
      <c r="F80" s="16" t="s">
        <v>14</v>
      </c>
      <c r="G80" s="17">
        <v>2000</v>
      </c>
    </row>
    <row r="81" spans="1:10" s="18" customFormat="1" ht="16.5" customHeight="1" x14ac:dyDescent="0.25">
      <c r="A81" s="12">
        <v>45870</v>
      </c>
      <c r="B81" s="31" t="s">
        <v>166</v>
      </c>
      <c r="C81" s="29" t="s">
        <v>43</v>
      </c>
      <c r="D81" s="16" t="s">
        <v>67</v>
      </c>
      <c r="E81" s="16" t="s">
        <v>167</v>
      </c>
      <c r="F81" s="16" t="s">
        <v>14</v>
      </c>
      <c r="G81" s="17">
        <v>147.32</v>
      </c>
    </row>
    <row r="82" spans="1:10" s="18" customFormat="1" ht="16.5" customHeight="1" x14ac:dyDescent="0.25">
      <c r="A82" s="12">
        <v>45870</v>
      </c>
      <c r="B82" s="31" t="s">
        <v>168</v>
      </c>
      <c r="C82" s="29" t="s">
        <v>43</v>
      </c>
      <c r="D82" s="16" t="s">
        <v>169</v>
      </c>
      <c r="E82" s="16" t="s">
        <v>167</v>
      </c>
      <c r="F82" s="16" t="s">
        <v>14</v>
      </c>
      <c r="G82" s="17">
        <v>362.5</v>
      </c>
    </row>
    <row r="83" spans="1:10" s="18" customFormat="1" ht="16.5" customHeight="1" x14ac:dyDescent="0.25">
      <c r="A83" s="12">
        <v>45870</v>
      </c>
      <c r="B83" s="12" t="s">
        <v>170</v>
      </c>
      <c r="C83" s="27" t="s">
        <v>43</v>
      </c>
      <c r="D83" s="16" t="s">
        <v>171</v>
      </c>
      <c r="E83" s="16" t="s">
        <v>172</v>
      </c>
      <c r="F83" s="16" t="s">
        <v>14</v>
      </c>
      <c r="G83" s="17">
        <v>2089.02</v>
      </c>
    </row>
    <row r="84" spans="1:10" s="18" customFormat="1" ht="16.5" customHeight="1" x14ac:dyDescent="0.25">
      <c r="A84" s="12">
        <v>45870</v>
      </c>
      <c r="B84" s="12" t="s">
        <v>173</v>
      </c>
      <c r="C84" s="27" t="s">
        <v>174</v>
      </c>
      <c r="D84" s="30" t="s">
        <v>175</v>
      </c>
      <c r="E84" s="16" t="s">
        <v>176</v>
      </c>
      <c r="F84" s="16" t="s">
        <v>14</v>
      </c>
      <c r="G84" s="17">
        <v>26069.5</v>
      </c>
    </row>
    <row r="85" spans="1:10" s="18" customFormat="1" ht="16.5" customHeight="1" x14ac:dyDescent="0.25">
      <c r="A85" s="12">
        <v>45871</v>
      </c>
      <c r="B85" s="12" t="s">
        <v>177</v>
      </c>
      <c r="C85" s="27" t="s">
        <v>99</v>
      </c>
      <c r="D85" s="16" t="s">
        <v>178</v>
      </c>
      <c r="E85" s="16" t="s">
        <v>179</v>
      </c>
      <c r="F85" s="16" t="s">
        <v>14</v>
      </c>
      <c r="G85" s="17">
        <v>696.34</v>
      </c>
    </row>
    <row r="86" spans="1:10" s="18" customFormat="1" ht="16.5" customHeight="1" x14ac:dyDescent="0.25">
      <c r="A86" s="12">
        <v>45881</v>
      </c>
      <c r="B86" s="12" t="s">
        <v>180</v>
      </c>
      <c r="C86" s="27" t="s">
        <v>159</v>
      </c>
      <c r="D86" s="16" t="s">
        <v>181</v>
      </c>
      <c r="E86" s="16" t="s">
        <v>182</v>
      </c>
      <c r="F86" s="16" t="s">
        <v>14</v>
      </c>
      <c r="G86" s="24">
        <v>513.88</v>
      </c>
    </row>
    <row r="87" spans="1:10" s="18" customFormat="1" ht="16.5" customHeight="1" x14ac:dyDescent="0.25">
      <c r="A87" s="12">
        <v>45884</v>
      </c>
      <c r="B87" s="12" t="s">
        <v>183</v>
      </c>
      <c r="C87" s="27" t="s">
        <v>184</v>
      </c>
      <c r="D87" s="16" t="s">
        <v>185</v>
      </c>
      <c r="E87" s="16" t="s">
        <v>186</v>
      </c>
      <c r="F87" s="16" t="s">
        <v>14</v>
      </c>
      <c r="G87" s="24">
        <v>38928.57</v>
      </c>
    </row>
    <row r="88" spans="1:10" s="18" customFormat="1" ht="16.5" customHeight="1" x14ac:dyDescent="0.25">
      <c r="A88" s="12">
        <v>45884</v>
      </c>
      <c r="B88" s="12" t="s">
        <v>187</v>
      </c>
      <c r="C88" s="27" t="s">
        <v>184</v>
      </c>
      <c r="D88" s="16" t="s">
        <v>185</v>
      </c>
      <c r="E88" s="16" t="s">
        <v>186</v>
      </c>
      <c r="F88" s="16" t="s">
        <v>14</v>
      </c>
      <c r="G88" s="24">
        <v>38928.57</v>
      </c>
    </row>
    <row r="89" spans="1:10" s="18" customFormat="1" ht="16.5" customHeight="1" x14ac:dyDescent="0.25">
      <c r="A89" s="12">
        <v>45884</v>
      </c>
      <c r="B89" s="12" t="s">
        <v>183</v>
      </c>
      <c r="C89" s="14" t="s">
        <v>53</v>
      </c>
      <c r="D89" s="30" t="s">
        <v>185</v>
      </c>
      <c r="E89" s="16" t="s">
        <v>188</v>
      </c>
      <c r="F89" s="16" t="s">
        <v>14</v>
      </c>
      <c r="G89" s="24">
        <v>2758.93</v>
      </c>
    </row>
    <row r="90" spans="1:10" s="18" customFormat="1" ht="16.5" customHeight="1" x14ac:dyDescent="0.25">
      <c r="A90" s="12">
        <v>45884</v>
      </c>
      <c r="B90" s="12" t="s">
        <v>187</v>
      </c>
      <c r="C90" s="14" t="s">
        <v>53</v>
      </c>
      <c r="D90" s="16" t="s">
        <v>185</v>
      </c>
      <c r="E90" s="16" t="s">
        <v>188</v>
      </c>
      <c r="F90" s="16" t="s">
        <v>14</v>
      </c>
      <c r="G90" s="24">
        <v>2758.93</v>
      </c>
    </row>
    <row r="91" spans="1:10" s="18" customFormat="1" ht="16.5" customHeight="1" x14ac:dyDescent="0.25">
      <c r="A91" s="12">
        <v>45884</v>
      </c>
      <c r="B91" s="12" t="s">
        <v>189</v>
      </c>
      <c r="C91" s="27" t="s">
        <v>43</v>
      </c>
      <c r="D91" s="16" t="s">
        <v>190</v>
      </c>
      <c r="E91" s="16" t="s">
        <v>191</v>
      </c>
      <c r="F91" s="16" t="s">
        <v>14</v>
      </c>
      <c r="G91" s="24">
        <v>17722.259999999998</v>
      </c>
    </row>
    <row r="92" spans="1:10" s="18" customFormat="1" ht="16.5" customHeight="1" x14ac:dyDescent="0.25">
      <c r="A92" s="12">
        <v>45884</v>
      </c>
      <c r="B92" s="12" t="s">
        <v>192</v>
      </c>
      <c r="C92" s="27" t="s">
        <v>43</v>
      </c>
      <c r="D92" s="30" t="s">
        <v>190</v>
      </c>
      <c r="E92" s="16" t="s">
        <v>193</v>
      </c>
      <c r="F92" s="16" t="s">
        <v>14</v>
      </c>
      <c r="G92" s="24">
        <v>3489.15</v>
      </c>
      <c r="H92" s="28"/>
    </row>
    <row r="93" spans="1:10" s="18" customFormat="1" ht="16.5" customHeight="1" x14ac:dyDescent="0.25">
      <c r="A93" s="12">
        <v>45884</v>
      </c>
      <c r="B93" s="12" t="s">
        <v>194</v>
      </c>
      <c r="C93" s="27" t="s">
        <v>99</v>
      </c>
      <c r="D93" s="30" t="s">
        <v>190</v>
      </c>
      <c r="E93" s="16" t="s">
        <v>195</v>
      </c>
      <c r="F93" s="16" t="s">
        <v>14</v>
      </c>
      <c r="G93" s="24">
        <v>2811.65</v>
      </c>
      <c r="H93" s="20"/>
      <c r="I93" s="19"/>
      <c r="J93" s="19"/>
    </row>
    <row r="94" spans="1:10" s="18" customFormat="1" ht="16.5" customHeight="1" x14ac:dyDescent="0.25">
      <c r="A94" s="12">
        <v>45884</v>
      </c>
      <c r="B94" s="12" t="s">
        <v>196</v>
      </c>
      <c r="C94" s="29" t="s">
        <v>99</v>
      </c>
      <c r="D94" s="16" t="s">
        <v>190</v>
      </c>
      <c r="E94" s="16" t="s">
        <v>197</v>
      </c>
      <c r="F94" s="16" t="s">
        <v>14</v>
      </c>
      <c r="G94" s="17">
        <v>3635.06</v>
      </c>
    </row>
    <row r="95" spans="1:10" s="18" customFormat="1" ht="16.5" customHeight="1" x14ac:dyDescent="0.25">
      <c r="A95" s="12">
        <v>45887</v>
      </c>
      <c r="B95" s="12" t="s">
        <v>198</v>
      </c>
      <c r="C95" s="29" t="s">
        <v>99</v>
      </c>
      <c r="D95" s="16" t="s">
        <v>190</v>
      </c>
      <c r="E95" s="16" t="s">
        <v>199</v>
      </c>
      <c r="F95" s="16" t="s">
        <v>14</v>
      </c>
      <c r="G95" s="17">
        <v>2489.0100000000002</v>
      </c>
    </row>
    <row r="96" spans="1:10" s="18" customFormat="1" ht="16.5" customHeight="1" x14ac:dyDescent="0.25">
      <c r="A96" s="12">
        <v>45887</v>
      </c>
      <c r="B96" s="12" t="s">
        <v>200</v>
      </c>
      <c r="C96" s="27" t="s">
        <v>99</v>
      </c>
      <c r="D96" s="16" t="s">
        <v>201</v>
      </c>
      <c r="E96" s="16" t="s">
        <v>202</v>
      </c>
      <c r="F96" s="16" t="s">
        <v>14</v>
      </c>
      <c r="G96" s="17">
        <v>6294.14</v>
      </c>
    </row>
    <row r="97" spans="1:8" s="18" customFormat="1" ht="16.5" customHeight="1" x14ac:dyDescent="0.25">
      <c r="A97" s="12">
        <v>45887</v>
      </c>
      <c r="B97" s="12" t="s">
        <v>203</v>
      </c>
      <c r="C97" s="27" t="s">
        <v>99</v>
      </c>
      <c r="D97" s="16" t="s">
        <v>201</v>
      </c>
      <c r="E97" s="16" t="s">
        <v>204</v>
      </c>
      <c r="F97" s="16" t="s">
        <v>14</v>
      </c>
      <c r="G97" s="17">
        <v>9573.1299999999992</v>
      </c>
    </row>
    <row r="98" spans="1:8" s="18" customFormat="1" ht="16.5" customHeight="1" x14ac:dyDescent="0.25">
      <c r="A98" s="12">
        <v>45887</v>
      </c>
      <c r="B98" s="12" t="s">
        <v>205</v>
      </c>
      <c r="C98" s="27" t="s">
        <v>159</v>
      </c>
      <c r="D98" s="30" t="s">
        <v>181</v>
      </c>
      <c r="E98" s="16" t="s">
        <v>206</v>
      </c>
      <c r="F98" s="16" t="s">
        <v>14</v>
      </c>
      <c r="G98" s="17">
        <v>223.21</v>
      </c>
    </row>
    <row r="99" spans="1:8" s="18" customFormat="1" ht="16.5" customHeight="1" x14ac:dyDescent="0.25">
      <c r="A99" s="12">
        <v>45887</v>
      </c>
      <c r="B99" s="12" t="s">
        <v>207</v>
      </c>
      <c r="C99" s="14" t="s">
        <v>53</v>
      </c>
      <c r="D99" s="30" t="s">
        <v>208</v>
      </c>
      <c r="E99" s="16" t="s">
        <v>209</v>
      </c>
      <c r="F99" s="16" t="s">
        <v>14</v>
      </c>
      <c r="G99" s="17">
        <v>3125</v>
      </c>
    </row>
    <row r="100" spans="1:8" s="18" customFormat="1" ht="16.5" customHeight="1" x14ac:dyDescent="0.25">
      <c r="A100" s="12">
        <v>45888</v>
      </c>
      <c r="B100" s="12" t="s">
        <v>210</v>
      </c>
      <c r="C100" s="27" t="s">
        <v>184</v>
      </c>
      <c r="D100" s="30" t="s">
        <v>211</v>
      </c>
      <c r="E100" s="16" t="s">
        <v>212</v>
      </c>
      <c r="F100" s="16" t="s">
        <v>14</v>
      </c>
      <c r="G100" s="17">
        <v>6964.29</v>
      </c>
    </row>
    <row r="101" spans="1:8" s="18" customFormat="1" ht="16.5" customHeight="1" x14ac:dyDescent="0.25">
      <c r="A101" s="12">
        <v>45888</v>
      </c>
      <c r="B101" s="12" t="s">
        <v>213</v>
      </c>
      <c r="C101" s="27" t="s">
        <v>184</v>
      </c>
      <c r="D101" s="16" t="s">
        <v>211</v>
      </c>
      <c r="E101" s="16" t="s">
        <v>212</v>
      </c>
      <c r="F101" s="16" t="s">
        <v>14</v>
      </c>
      <c r="G101" s="17">
        <v>6964.29</v>
      </c>
    </row>
    <row r="102" spans="1:8" s="18" customFormat="1" ht="16.5" customHeight="1" x14ac:dyDescent="0.25">
      <c r="A102" s="12">
        <v>45889</v>
      </c>
      <c r="B102" s="12" t="s">
        <v>214</v>
      </c>
      <c r="C102" s="27" t="s">
        <v>23</v>
      </c>
      <c r="D102" s="16" t="s">
        <v>26</v>
      </c>
      <c r="E102" s="16" t="s">
        <v>129</v>
      </c>
      <c r="F102" s="16" t="s">
        <v>14</v>
      </c>
      <c r="G102" s="17">
        <v>5900</v>
      </c>
    </row>
    <row r="103" spans="1:8" s="18" customFormat="1" ht="16.5" customHeight="1" x14ac:dyDescent="0.25">
      <c r="A103" s="12">
        <v>45889</v>
      </c>
      <c r="B103" s="12" t="s">
        <v>214</v>
      </c>
      <c r="C103" s="27" t="s">
        <v>23</v>
      </c>
      <c r="D103" s="16" t="s">
        <v>24</v>
      </c>
      <c r="E103" s="16" t="s">
        <v>129</v>
      </c>
      <c r="F103" s="16" t="s">
        <v>14</v>
      </c>
      <c r="G103" s="17">
        <v>5400</v>
      </c>
    </row>
    <row r="104" spans="1:8" s="18" customFormat="1" ht="16.5" customHeight="1" x14ac:dyDescent="0.25">
      <c r="A104" s="12">
        <v>45889</v>
      </c>
      <c r="B104" s="12" t="s">
        <v>214</v>
      </c>
      <c r="C104" s="27" t="s">
        <v>23</v>
      </c>
      <c r="D104" s="30" t="s">
        <v>130</v>
      </c>
      <c r="E104" s="16" t="s">
        <v>129</v>
      </c>
      <c r="F104" s="16" t="s">
        <v>14</v>
      </c>
      <c r="G104" s="17">
        <v>1740</v>
      </c>
    </row>
    <row r="105" spans="1:8" s="18" customFormat="1" ht="16.5" customHeight="1" x14ac:dyDescent="0.25">
      <c r="A105" s="12">
        <v>45889</v>
      </c>
      <c r="B105" s="12" t="s">
        <v>214</v>
      </c>
      <c r="C105" s="27" t="s">
        <v>23</v>
      </c>
      <c r="D105" s="30" t="s">
        <v>124</v>
      </c>
      <c r="E105" s="16" t="s">
        <v>129</v>
      </c>
      <c r="F105" s="16" t="s">
        <v>14</v>
      </c>
      <c r="G105" s="17">
        <v>75</v>
      </c>
    </row>
    <row r="106" spans="1:8" s="18" customFormat="1" ht="16.5" customHeight="1" x14ac:dyDescent="0.25">
      <c r="A106" s="12">
        <v>45889</v>
      </c>
      <c r="B106" s="12" t="s">
        <v>215</v>
      </c>
      <c r="C106" s="27" t="s">
        <v>23</v>
      </c>
      <c r="D106" s="30" t="s">
        <v>216</v>
      </c>
      <c r="E106" s="16" t="s">
        <v>129</v>
      </c>
      <c r="F106" s="16" t="s">
        <v>14</v>
      </c>
      <c r="G106" s="17">
        <v>75</v>
      </c>
    </row>
    <row r="107" spans="1:8" s="18" customFormat="1" ht="16.5" customHeight="1" x14ac:dyDescent="0.25">
      <c r="A107" s="12">
        <v>45889</v>
      </c>
      <c r="B107" s="12" t="s">
        <v>215</v>
      </c>
      <c r="C107" s="27" t="s">
        <v>27</v>
      </c>
      <c r="D107" s="16" t="s">
        <v>28</v>
      </c>
      <c r="E107" s="16" t="s">
        <v>217</v>
      </c>
      <c r="F107" s="16" t="s">
        <v>14</v>
      </c>
      <c r="G107" s="17">
        <v>6575</v>
      </c>
    </row>
    <row r="108" spans="1:8" s="18" customFormat="1" ht="16.5" customHeight="1" x14ac:dyDescent="0.25">
      <c r="A108" s="12">
        <v>45889</v>
      </c>
      <c r="B108" s="12" t="s">
        <v>218</v>
      </c>
      <c r="C108" s="27" t="s">
        <v>219</v>
      </c>
      <c r="D108" s="32" t="s">
        <v>220</v>
      </c>
      <c r="E108" s="16" t="s">
        <v>221</v>
      </c>
      <c r="F108" s="16" t="s">
        <v>14</v>
      </c>
      <c r="G108" s="17">
        <v>2465</v>
      </c>
    </row>
    <row r="109" spans="1:8" s="18" customFormat="1" ht="16.5" customHeight="1" x14ac:dyDescent="0.25">
      <c r="A109" s="12">
        <v>45889</v>
      </c>
      <c r="B109" s="12" t="s">
        <v>215</v>
      </c>
      <c r="C109" s="27" t="s">
        <v>132</v>
      </c>
      <c r="D109" s="16" t="s">
        <v>28</v>
      </c>
      <c r="E109" s="16" t="s">
        <v>217</v>
      </c>
      <c r="F109" s="16" t="s">
        <v>14</v>
      </c>
      <c r="G109" s="17">
        <v>1575</v>
      </c>
    </row>
    <row r="110" spans="1:8" s="18" customFormat="1" ht="16.5" customHeight="1" x14ac:dyDescent="0.25">
      <c r="A110" s="12">
        <v>45889</v>
      </c>
      <c r="B110" s="12" t="s">
        <v>215</v>
      </c>
      <c r="C110" s="27" t="s">
        <v>184</v>
      </c>
      <c r="D110" s="30" t="s">
        <v>28</v>
      </c>
      <c r="E110" s="16" t="s">
        <v>217</v>
      </c>
      <c r="F110" s="16" t="s">
        <v>14</v>
      </c>
      <c r="G110" s="17">
        <v>11730</v>
      </c>
    </row>
    <row r="111" spans="1:8" s="18" customFormat="1" ht="16.5" customHeight="1" x14ac:dyDescent="0.25">
      <c r="A111" s="12">
        <v>45889</v>
      </c>
      <c r="B111" s="12" t="s">
        <v>215</v>
      </c>
      <c r="C111" s="27" t="s">
        <v>106</v>
      </c>
      <c r="D111" s="16" t="s">
        <v>28</v>
      </c>
      <c r="E111" s="16" t="s">
        <v>217</v>
      </c>
      <c r="F111" s="16" t="s">
        <v>14</v>
      </c>
      <c r="G111" s="17">
        <v>12610</v>
      </c>
      <c r="H111" s="20"/>
    </row>
    <row r="112" spans="1:8" s="18" customFormat="1" ht="16.5" customHeight="1" x14ac:dyDescent="0.25">
      <c r="A112" s="12">
        <v>45889</v>
      </c>
      <c r="B112" s="12" t="s">
        <v>214</v>
      </c>
      <c r="C112" s="27" t="s">
        <v>30</v>
      </c>
      <c r="D112" s="16" t="s">
        <v>28</v>
      </c>
      <c r="E112" s="16" t="s">
        <v>217</v>
      </c>
      <c r="F112" s="16" t="s">
        <v>14</v>
      </c>
      <c r="G112" s="17">
        <v>375</v>
      </c>
      <c r="H112" s="20"/>
    </row>
    <row r="113" spans="1:8" s="18" customFormat="1" ht="16.5" customHeight="1" x14ac:dyDescent="0.25">
      <c r="A113" s="12">
        <v>45889</v>
      </c>
      <c r="B113" s="12" t="s">
        <v>214</v>
      </c>
      <c r="C113" s="27" t="s">
        <v>125</v>
      </c>
      <c r="D113" s="16" t="s">
        <v>28</v>
      </c>
      <c r="E113" s="16" t="s">
        <v>217</v>
      </c>
      <c r="F113" s="16" t="s">
        <v>14</v>
      </c>
      <c r="G113" s="17">
        <v>2800</v>
      </c>
      <c r="H113" s="20"/>
    </row>
    <row r="114" spans="1:8" s="18" customFormat="1" ht="16.8" customHeight="1" x14ac:dyDescent="0.25">
      <c r="A114" s="12">
        <v>45890</v>
      </c>
      <c r="B114" s="12" t="s">
        <v>222</v>
      </c>
      <c r="C114" s="27" t="s">
        <v>99</v>
      </c>
      <c r="D114" s="16" t="s">
        <v>223</v>
      </c>
      <c r="E114" s="16" t="s">
        <v>224</v>
      </c>
      <c r="F114" s="16" t="s">
        <v>14</v>
      </c>
      <c r="G114" s="17">
        <v>221.43</v>
      </c>
      <c r="H114" s="20"/>
    </row>
    <row r="115" spans="1:8" s="18" customFormat="1" ht="16.8" customHeight="1" x14ac:dyDescent="0.25">
      <c r="A115" s="12">
        <v>45892</v>
      </c>
      <c r="B115" s="12" t="s">
        <v>225</v>
      </c>
      <c r="C115" s="27" t="s">
        <v>159</v>
      </c>
      <c r="D115" s="16" t="s">
        <v>226</v>
      </c>
      <c r="E115" s="16" t="s">
        <v>227</v>
      </c>
      <c r="F115" s="16" t="s">
        <v>14</v>
      </c>
      <c r="G115" s="17">
        <v>647.32000000000005</v>
      </c>
      <c r="H115" s="20"/>
    </row>
    <row r="116" spans="1:8" s="18" customFormat="1" ht="16.2" customHeight="1" x14ac:dyDescent="0.25">
      <c r="A116" s="12">
        <v>45894</v>
      </c>
      <c r="B116" s="12" t="s">
        <v>228</v>
      </c>
      <c r="C116" s="27" t="s">
        <v>23</v>
      </c>
      <c r="D116" s="16" t="s">
        <v>229</v>
      </c>
      <c r="E116" s="16" t="s">
        <v>230</v>
      </c>
      <c r="F116" s="16" t="s">
        <v>14</v>
      </c>
      <c r="G116" s="17">
        <v>25000</v>
      </c>
      <c r="H116" s="20"/>
    </row>
    <row r="117" spans="1:8" s="18" customFormat="1" ht="16.2" customHeight="1" x14ac:dyDescent="0.25">
      <c r="A117" s="12">
        <v>45894</v>
      </c>
      <c r="B117" s="12" t="s">
        <v>231</v>
      </c>
      <c r="C117" s="14" t="s">
        <v>53</v>
      </c>
      <c r="D117" s="16" t="s">
        <v>208</v>
      </c>
      <c r="E117" s="16" t="s">
        <v>209</v>
      </c>
      <c r="F117" s="16" t="s">
        <v>14</v>
      </c>
      <c r="G117" s="17">
        <v>6250</v>
      </c>
      <c r="H117" s="20"/>
    </row>
    <row r="118" spans="1:8" s="18" customFormat="1" ht="16.2" customHeight="1" x14ac:dyDescent="0.25">
      <c r="A118" s="12">
        <v>45895</v>
      </c>
      <c r="B118" s="12" t="s">
        <v>232</v>
      </c>
      <c r="C118" s="27" t="s">
        <v>99</v>
      </c>
      <c r="D118" s="16" t="s">
        <v>44</v>
      </c>
      <c r="E118" s="16" t="s">
        <v>233</v>
      </c>
      <c r="F118" s="16" t="s">
        <v>14</v>
      </c>
      <c r="G118" s="17">
        <v>241.92</v>
      </c>
      <c r="H118" s="20"/>
    </row>
    <row r="119" spans="1:8" s="18" customFormat="1" ht="16.2" customHeight="1" x14ac:dyDescent="0.25">
      <c r="A119" s="12">
        <v>45897</v>
      </c>
      <c r="B119" s="12" t="s">
        <v>234</v>
      </c>
      <c r="C119" s="27" t="s">
        <v>16</v>
      </c>
      <c r="D119" s="16" t="s">
        <v>235</v>
      </c>
      <c r="E119" s="16" t="s">
        <v>236</v>
      </c>
      <c r="F119" s="16" t="s">
        <v>14</v>
      </c>
      <c r="G119" s="17">
        <v>75.89</v>
      </c>
      <c r="H119" s="20"/>
    </row>
    <row r="120" spans="1:8" s="18" customFormat="1" ht="16.2" customHeight="1" x14ac:dyDescent="0.25">
      <c r="A120" s="12">
        <v>45898</v>
      </c>
      <c r="B120" s="12" t="s">
        <v>237</v>
      </c>
      <c r="C120" s="27" t="s">
        <v>184</v>
      </c>
      <c r="D120" s="16" t="s">
        <v>211</v>
      </c>
      <c r="E120" s="16" t="s">
        <v>212</v>
      </c>
      <c r="F120" s="16" t="s">
        <v>14</v>
      </c>
      <c r="G120" s="17">
        <v>6964.29</v>
      </c>
      <c r="H120" s="20"/>
    </row>
    <row r="121" spans="1:8" s="18" customFormat="1" ht="16.2" customHeight="1" x14ac:dyDescent="0.25">
      <c r="A121" s="12">
        <v>45898</v>
      </c>
      <c r="B121" s="12" t="s">
        <v>238</v>
      </c>
      <c r="C121" s="27" t="s">
        <v>174</v>
      </c>
      <c r="D121" s="30" t="s">
        <v>175</v>
      </c>
      <c r="E121" s="16" t="s">
        <v>176</v>
      </c>
      <c r="F121" s="16" t="s">
        <v>14</v>
      </c>
      <c r="G121" s="17">
        <v>38112.129999999997</v>
      </c>
      <c r="H121" s="20"/>
    </row>
    <row r="122" spans="1:8" s="18" customFormat="1" ht="16.2" customHeight="1" x14ac:dyDescent="0.25">
      <c r="A122" s="12">
        <v>45899</v>
      </c>
      <c r="B122" s="12" t="s">
        <v>239</v>
      </c>
      <c r="C122" s="27" t="s">
        <v>34</v>
      </c>
      <c r="D122" s="16" t="s">
        <v>47</v>
      </c>
      <c r="E122" s="16" t="s">
        <v>240</v>
      </c>
      <c r="F122" s="16" t="s">
        <v>14</v>
      </c>
      <c r="G122" s="17">
        <v>1595.89</v>
      </c>
      <c r="H122" s="20"/>
    </row>
    <row r="123" spans="1:8" s="18" customFormat="1" ht="16.2" customHeight="1" x14ac:dyDescent="0.25">
      <c r="A123" s="12">
        <v>45899</v>
      </c>
      <c r="B123" s="12" t="s">
        <v>239</v>
      </c>
      <c r="C123" s="27" t="s">
        <v>37</v>
      </c>
      <c r="D123" s="16" t="s">
        <v>47</v>
      </c>
      <c r="E123" s="16" t="s">
        <v>240</v>
      </c>
      <c r="F123" s="16" t="s">
        <v>14</v>
      </c>
      <c r="G123" s="17">
        <v>316.60000000000002</v>
      </c>
      <c r="H123" s="20"/>
    </row>
    <row r="124" spans="1:8" s="18" customFormat="1" ht="16.2" customHeight="1" x14ac:dyDescent="0.25">
      <c r="A124" s="12">
        <v>45899</v>
      </c>
      <c r="B124" s="12" t="s">
        <v>241</v>
      </c>
      <c r="C124" s="27" t="s">
        <v>16</v>
      </c>
      <c r="D124" s="16" t="s">
        <v>85</v>
      </c>
      <c r="E124" s="16" t="s">
        <v>242</v>
      </c>
      <c r="F124" s="16" t="s">
        <v>14</v>
      </c>
      <c r="G124" s="17">
        <v>175</v>
      </c>
      <c r="H124" s="20"/>
    </row>
    <row r="125" spans="1:8" s="18" customFormat="1" ht="16.2" customHeight="1" x14ac:dyDescent="0.25">
      <c r="A125" s="12">
        <v>45900</v>
      </c>
      <c r="B125" s="31" t="s">
        <v>243</v>
      </c>
      <c r="C125" s="29" t="s">
        <v>99</v>
      </c>
      <c r="D125" s="16" t="s">
        <v>44</v>
      </c>
      <c r="E125" s="16" t="s">
        <v>244</v>
      </c>
      <c r="F125" s="16" t="s">
        <v>14</v>
      </c>
      <c r="G125" s="17">
        <v>124.36</v>
      </c>
      <c r="H125" s="20"/>
    </row>
    <row r="126" spans="1:8" s="18" customFormat="1" ht="16.2" customHeight="1" x14ac:dyDescent="0.25">
      <c r="A126" s="12">
        <v>45902</v>
      </c>
      <c r="B126" s="12" t="s">
        <v>245</v>
      </c>
      <c r="C126" s="27" t="s">
        <v>99</v>
      </c>
      <c r="D126" s="16" t="s">
        <v>246</v>
      </c>
      <c r="E126" s="16" t="s">
        <v>247</v>
      </c>
      <c r="F126" s="16" t="s">
        <v>14</v>
      </c>
      <c r="G126" s="17">
        <v>3806.25</v>
      </c>
      <c r="H126" s="20"/>
    </row>
    <row r="127" spans="1:8" s="18" customFormat="1" ht="16.5" customHeight="1" x14ac:dyDescent="0.25">
      <c r="A127" s="12">
        <v>45903</v>
      </c>
      <c r="B127" s="12" t="s">
        <v>248</v>
      </c>
      <c r="C127" s="27" t="s">
        <v>30</v>
      </c>
      <c r="D127" s="16" t="s">
        <v>181</v>
      </c>
      <c r="E127" s="16" t="s">
        <v>249</v>
      </c>
      <c r="F127" s="16" t="s">
        <v>14</v>
      </c>
      <c r="G127" s="17">
        <v>776.79</v>
      </c>
    </row>
    <row r="128" spans="1:8" s="18" customFormat="1" ht="16.5" customHeight="1" x14ac:dyDescent="0.25">
      <c r="A128" s="12">
        <v>45903</v>
      </c>
      <c r="B128" s="12" t="s">
        <v>248</v>
      </c>
      <c r="C128" s="27" t="s">
        <v>30</v>
      </c>
      <c r="D128" s="16" t="s">
        <v>181</v>
      </c>
      <c r="E128" s="16" t="s">
        <v>249</v>
      </c>
      <c r="F128" s="16" t="s">
        <v>14</v>
      </c>
      <c r="G128" s="17">
        <v>940.58</v>
      </c>
    </row>
    <row r="129" spans="1:8" s="18" customFormat="1" ht="16.5" customHeight="1" x14ac:dyDescent="0.25">
      <c r="A129" s="12">
        <v>45903</v>
      </c>
      <c r="B129" s="12" t="s">
        <v>250</v>
      </c>
      <c r="C129" s="27" t="s">
        <v>16</v>
      </c>
      <c r="D129" s="16" t="s">
        <v>110</v>
      </c>
      <c r="E129" s="16" t="s">
        <v>251</v>
      </c>
      <c r="F129" s="16" t="s">
        <v>14</v>
      </c>
      <c r="G129" s="17">
        <v>500</v>
      </c>
    </row>
    <row r="130" spans="1:8" s="18" customFormat="1" ht="16.5" customHeight="1" x14ac:dyDescent="0.25">
      <c r="A130" s="12">
        <v>45903</v>
      </c>
      <c r="B130" s="12" t="s">
        <v>252</v>
      </c>
      <c r="C130" s="27" t="s">
        <v>30</v>
      </c>
      <c r="D130" s="16" t="s">
        <v>253</v>
      </c>
      <c r="E130" s="16" t="s">
        <v>254</v>
      </c>
      <c r="F130" s="16" t="s">
        <v>14</v>
      </c>
      <c r="G130" s="17">
        <v>5020</v>
      </c>
    </row>
    <row r="131" spans="1:8" s="18" customFormat="1" ht="16.5" customHeight="1" x14ac:dyDescent="0.25">
      <c r="A131" s="12">
        <v>45904</v>
      </c>
      <c r="B131" s="12" t="s">
        <v>255</v>
      </c>
      <c r="C131" s="27" t="s">
        <v>106</v>
      </c>
      <c r="D131" s="16" t="s">
        <v>134</v>
      </c>
      <c r="E131" s="16" t="s">
        <v>256</v>
      </c>
      <c r="F131" s="16" t="s">
        <v>14</v>
      </c>
      <c r="G131" s="17">
        <v>7187.5</v>
      </c>
    </row>
    <row r="132" spans="1:8" s="18" customFormat="1" ht="16.5" customHeight="1" x14ac:dyDescent="0.25">
      <c r="A132" s="12">
        <v>45905</v>
      </c>
      <c r="B132" s="12" t="s">
        <v>257</v>
      </c>
      <c r="C132" s="27" t="s">
        <v>184</v>
      </c>
      <c r="D132" s="16" t="s">
        <v>185</v>
      </c>
      <c r="E132" s="16" t="s">
        <v>258</v>
      </c>
      <c r="F132" s="16" t="s">
        <v>14</v>
      </c>
      <c r="G132" s="17">
        <v>38928.57</v>
      </c>
    </row>
    <row r="133" spans="1:8" s="18" customFormat="1" ht="16.5" customHeight="1" x14ac:dyDescent="0.25">
      <c r="A133" s="12">
        <v>45905</v>
      </c>
      <c r="B133" s="12" t="s">
        <v>259</v>
      </c>
      <c r="C133" s="27" t="s">
        <v>184</v>
      </c>
      <c r="D133" s="30" t="s">
        <v>185</v>
      </c>
      <c r="E133" s="16" t="s">
        <v>258</v>
      </c>
      <c r="F133" s="16" t="s">
        <v>14</v>
      </c>
      <c r="G133" s="17">
        <v>38928.57</v>
      </c>
    </row>
    <row r="134" spans="1:8" s="18" customFormat="1" ht="16.5" customHeight="1" x14ac:dyDescent="0.25">
      <c r="A134" s="12">
        <v>45905</v>
      </c>
      <c r="B134" s="12" t="s">
        <v>257</v>
      </c>
      <c r="C134" s="14" t="s">
        <v>53</v>
      </c>
      <c r="D134" s="16" t="s">
        <v>185</v>
      </c>
      <c r="E134" s="16" t="s">
        <v>188</v>
      </c>
      <c r="F134" s="16" t="s">
        <v>14</v>
      </c>
      <c r="G134" s="17">
        <v>2758.93</v>
      </c>
    </row>
    <row r="135" spans="1:8" s="18" customFormat="1" ht="16.5" customHeight="1" x14ac:dyDescent="0.25">
      <c r="A135" s="12">
        <v>45905</v>
      </c>
      <c r="B135" s="12" t="s">
        <v>259</v>
      </c>
      <c r="C135" s="14" t="s">
        <v>53</v>
      </c>
      <c r="D135" s="16" t="s">
        <v>185</v>
      </c>
      <c r="E135" s="16" t="s">
        <v>188</v>
      </c>
      <c r="F135" s="16" t="s">
        <v>14</v>
      </c>
      <c r="G135" s="17">
        <v>2758.93</v>
      </c>
    </row>
    <row r="136" spans="1:8" s="18" customFormat="1" ht="16.5" customHeight="1" x14ac:dyDescent="0.25">
      <c r="A136" s="12">
        <v>45908</v>
      </c>
      <c r="B136" s="12" t="s">
        <v>260</v>
      </c>
      <c r="C136" s="27" t="s">
        <v>99</v>
      </c>
      <c r="D136" s="16" t="s">
        <v>79</v>
      </c>
      <c r="E136" s="16" t="s">
        <v>261</v>
      </c>
      <c r="F136" s="16" t="s">
        <v>14</v>
      </c>
      <c r="G136" s="17">
        <v>10296.06</v>
      </c>
    </row>
    <row r="137" spans="1:8" s="18" customFormat="1" ht="16.5" customHeight="1" x14ac:dyDescent="0.25">
      <c r="A137" s="12">
        <v>45912</v>
      </c>
      <c r="B137" s="12" t="s">
        <v>262</v>
      </c>
      <c r="C137" s="29" t="s">
        <v>184</v>
      </c>
      <c r="D137" s="16" t="s">
        <v>201</v>
      </c>
      <c r="E137" s="16" t="s">
        <v>263</v>
      </c>
      <c r="F137" s="16" t="s">
        <v>14</v>
      </c>
      <c r="G137" s="17">
        <v>1500</v>
      </c>
    </row>
    <row r="138" spans="1:8" s="18" customFormat="1" ht="16.5" customHeight="1" x14ac:dyDescent="0.25">
      <c r="A138" s="12">
        <v>45912</v>
      </c>
      <c r="B138" s="12" t="s">
        <v>264</v>
      </c>
      <c r="C138" s="14" t="s">
        <v>53</v>
      </c>
      <c r="D138" s="16" t="s">
        <v>265</v>
      </c>
      <c r="E138" s="16" t="s">
        <v>266</v>
      </c>
      <c r="F138" s="16" t="s">
        <v>14</v>
      </c>
      <c r="G138" s="17">
        <v>6000</v>
      </c>
    </row>
    <row r="139" spans="1:8" s="18" customFormat="1" ht="16.5" customHeight="1" x14ac:dyDescent="0.25">
      <c r="A139" s="12">
        <v>45913</v>
      </c>
      <c r="B139" s="12" t="s">
        <v>267</v>
      </c>
      <c r="C139" s="29" t="s">
        <v>16</v>
      </c>
      <c r="D139" s="16" t="s">
        <v>113</v>
      </c>
      <c r="E139" s="16" t="s">
        <v>268</v>
      </c>
      <c r="F139" s="16" t="s">
        <v>14</v>
      </c>
      <c r="G139" s="17">
        <v>6535</v>
      </c>
    </row>
    <row r="140" spans="1:8" s="18" customFormat="1" ht="16.5" customHeight="1" x14ac:dyDescent="0.25">
      <c r="A140" s="12">
        <v>45913</v>
      </c>
      <c r="B140" s="12" t="s">
        <v>269</v>
      </c>
      <c r="C140" s="29" t="s">
        <v>159</v>
      </c>
      <c r="D140" s="16" t="s">
        <v>118</v>
      </c>
      <c r="E140" s="16" t="s">
        <v>270</v>
      </c>
      <c r="F140" s="16" t="s">
        <v>14</v>
      </c>
      <c r="G140" s="17">
        <v>236.61</v>
      </c>
    </row>
    <row r="141" spans="1:8" s="18" customFormat="1" ht="16.5" customHeight="1" x14ac:dyDescent="0.25">
      <c r="A141" s="12">
        <v>45913</v>
      </c>
      <c r="B141" s="12" t="s">
        <v>271</v>
      </c>
      <c r="C141" s="27" t="s">
        <v>272</v>
      </c>
      <c r="D141" s="16"/>
      <c r="E141" s="16" t="s">
        <v>273</v>
      </c>
      <c r="F141" s="16" t="s">
        <v>14</v>
      </c>
      <c r="G141" s="17">
        <v>4553.57</v>
      </c>
      <c r="H141" s="20"/>
    </row>
    <row r="142" spans="1:8" s="18" customFormat="1" ht="16.5" customHeight="1" x14ac:dyDescent="0.25">
      <c r="A142" s="12">
        <v>45914</v>
      </c>
      <c r="B142" s="12" t="s">
        <v>274</v>
      </c>
      <c r="C142" s="27" t="s">
        <v>34</v>
      </c>
      <c r="D142" s="16" t="s">
        <v>35</v>
      </c>
      <c r="E142" s="16" t="s">
        <v>275</v>
      </c>
      <c r="F142" s="16" t="s">
        <v>14</v>
      </c>
      <c r="G142" s="17">
        <v>1405.65</v>
      </c>
      <c r="H142" s="20"/>
    </row>
    <row r="143" spans="1:8" s="18" customFormat="1" ht="16.5" customHeight="1" x14ac:dyDescent="0.25">
      <c r="A143" s="12">
        <v>45914</v>
      </c>
      <c r="B143" s="12" t="s">
        <v>274</v>
      </c>
      <c r="C143" s="27" t="s">
        <v>37</v>
      </c>
      <c r="D143" s="30" t="s">
        <v>35</v>
      </c>
      <c r="E143" s="16" t="s">
        <v>275</v>
      </c>
      <c r="F143" s="16" t="s">
        <v>14</v>
      </c>
      <c r="G143" s="17">
        <v>275.67</v>
      </c>
      <c r="H143" s="20"/>
    </row>
    <row r="144" spans="1:8" s="18" customFormat="1" ht="16.5" customHeight="1" x14ac:dyDescent="0.25">
      <c r="A144" s="12">
        <v>45916</v>
      </c>
      <c r="B144" s="12" t="s">
        <v>276</v>
      </c>
      <c r="C144" s="29" t="s">
        <v>99</v>
      </c>
      <c r="D144" s="16" t="s">
        <v>277</v>
      </c>
      <c r="E144" s="16" t="s">
        <v>278</v>
      </c>
      <c r="F144" s="16" t="s">
        <v>14</v>
      </c>
      <c r="G144" s="17">
        <v>384.83</v>
      </c>
      <c r="H144" s="20"/>
    </row>
    <row r="145" spans="1:8" s="18" customFormat="1" ht="16.5" customHeight="1" x14ac:dyDescent="0.25">
      <c r="A145" s="12">
        <v>45917</v>
      </c>
      <c r="B145" s="31" t="s">
        <v>279</v>
      </c>
      <c r="C145" s="29" t="s">
        <v>184</v>
      </c>
      <c r="D145" s="16" t="s">
        <v>211</v>
      </c>
      <c r="E145" s="16" t="s">
        <v>280</v>
      </c>
      <c r="F145" s="16" t="s">
        <v>14</v>
      </c>
      <c r="G145" s="17">
        <v>13928.57</v>
      </c>
      <c r="H145" s="20"/>
    </row>
    <row r="146" spans="1:8" s="18" customFormat="1" ht="16.5" customHeight="1" x14ac:dyDescent="0.25">
      <c r="A146" s="12">
        <v>45919</v>
      </c>
      <c r="B146" s="31" t="s">
        <v>281</v>
      </c>
      <c r="C146" s="29" t="s">
        <v>16</v>
      </c>
      <c r="D146" s="16" t="s">
        <v>113</v>
      </c>
      <c r="E146" s="16" t="s">
        <v>282</v>
      </c>
      <c r="F146" s="16" t="s">
        <v>14</v>
      </c>
      <c r="G146" s="17">
        <v>1700</v>
      </c>
      <c r="H146" s="20"/>
    </row>
    <row r="147" spans="1:8" s="18" customFormat="1" ht="16.5" customHeight="1" x14ac:dyDescent="0.25">
      <c r="A147" s="12">
        <v>45920</v>
      </c>
      <c r="B147" s="12" t="s">
        <v>218</v>
      </c>
      <c r="C147" s="27" t="s">
        <v>23</v>
      </c>
      <c r="D147" s="16" t="s">
        <v>26</v>
      </c>
      <c r="E147" s="16" t="s">
        <v>129</v>
      </c>
      <c r="F147" s="16" t="s">
        <v>14</v>
      </c>
      <c r="G147" s="17">
        <v>5900</v>
      </c>
      <c r="H147" s="20"/>
    </row>
    <row r="148" spans="1:8" s="18" customFormat="1" ht="16.5" customHeight="1" x14ac:dyDescent="0.25">
      <c r="A148" s="12">
        <v>45920</v>
      </c>
      <c r="B148" s="12" t="s">
        <v>218</v>
      </c>
      <c r="C148" s="27" t="s">
        <v>23</v>
      </c>
      <c r="D148" s="16" t="s">
        <v>24</v>
      </c>
      <c r="E148" s="16" t="s">
        <v>129</v>
      </c>
      <c r="F148" s="16" t="s">
        <v>14</v>
      </c>
      <c r="G148" s="17">
        <v>5400</v>
      </c>
      <c r="H148" s="20"/>
    </row>
    <row r="149" spans="1:8" s="18" customFormat="1" ht="16.5" customHeight="1" x14ac:dyDescent="0.25">
      <c r="A149" s="12">
        <v>45920</v>
      </c>
      <c r="B149" s="12" t="s">
        <v>215</v>
      </c>
      <c r="C149" s="27" t="s">
        <v>27</v>
      </c>
      <c r="D149" s="16" t="s">
        <v>28</v>
      </c>
      <c r="E149" s="16" t="s">
        <v>283</v>
      </c>
      <c r="F149" s="16" t="s">
        <v>14</v>
      </c>
      <c r="G149" s="17">
        <v>5550</v>
      </c>
      <c r="H149" s="20"/>
    </row>
    <row r="150" spans="1:8" s="18" customFormat="1" ht="16.5" customHeight="1" x14ac:dyDescent="0.25">
      <c r="A150" s="12">
        <v>45920</v>
      </c>
      <c r="B150" s="12" t="s">
        <v>218</v>
      </c>
      <c r="C150" s="27" t="s">
        <v>219</v>
      </c>
      <c r="D150" s="30" t="s">
        <v>220</v>
      </c>
      <c r="E150" s="16" t="s">
        <v>221</v>
      </c>
      <c r="F150" s="16" t="s">
        <v>14</v>
      </c>
      <c r="G150" s="17">
        <v>2600</v>
      </c>
      <c r="H150" s="20"/>
    </row>
    <row r="151" spans="1:8" s="18" customFormat="1" ht="16.5" customHeight="1" x14ac:dyDescent="0.25">
      <c r="A151" s="12">
        <v>45920</v>
      </c>
      <c r="B151" s="12" t="s">
        <v>215</v>
      </c>
      <c r="C151" s="27" t="s">
        <v>132</v>
      </c>
      <c r="D151" s="16" t="s">
        <v>28</v>
      </c>
      <c r="E151" s="16" t="s">
        <v>284</v>
      </c>
      <c r="F151" s="16" t="s">
        <v>14</v>
      </c>
      <c r="G151" s="17">
        <v>16922</v>
      </c>
      <c r="H151" s="20"/>
    </row>
    <row r="152" spans="1:8" s="18" customFormat="1" ht="16.5" customHeight="1" x14ac:dyDescent="0.25">
      <c r="A152" s="12">
        <v>45920</v>
      </c>
      <c r="B152" s="12" t="s">
        <v>218</v>
      </c>
      <c r="C152" s="27" t="s">
        <v>106</v>
      </c>
      <c r="D152" s="16" t="s">
        <v>28</v>
      </c>
      <c r="E152" s="16" t="s">
        <v>283</v>
      </c>
      <c r="F152" s="16" t="s">
        <v>14</v>
      </c>
      <c r="G152" s="17">
        <v>2420</v>
      </c>
      <c r="H152" s="20"/>
    </row>
    <row r="153" spans="1:8" s="18" customFormat="1" ht="16.5" customHeight="1" x14ac:dyDescent="0.25">
      <c r="A153" s="12">
        <v>45920</v>
      </c>
      <c r="B153" s="12" t="s">
        <v>218</v>
      </c>
      <c r="C153" s="27" t="s">
        <v>106</v>
      </c>
      <c r="D153" s="16" t="s">
        <v>28</v>
      </c>
      <c r="E153" s="16" t="s">
        <v>285</v>
      </c>
      <c r="F153" s="16" t="s">
        <v>14</v>
      </c>
      <c r="G153" s="17">
        <v>12400</v>
      </c>
      <c r="H153" s="20"/>
    </row>
    <row r="154" spans="1:8" s="18" customFormat="1" ht="16.5" customHeight="1" x14ac:dyDescent="0.25">
      <c r="A154" s="12">
        <v>45920</v>
      </c>
      <c r="B154" s="12" t="s">
        <v>214</v>
      </c>
      <c r="C154" s="27" t="s">
        <v>30</v>
      </c>
      <c r="D154" s="16" t="s">
        <v>28</v>
      </c>
      <c r="E154" s="16" t="s">
        <v>283</v>
      </c>
      <c r="F154" s="16" t="s">
        <v>14</v>
      </c>
      <c r="G154" s="17">
        <v>675</v>
      </c>
      <c r="H154" s="20"/>
    </row>
    <row r="155" spans="1:8" s="18" customFormat="1" ht="16.5" customHeight="1" x14ac:dyDescent="0.25">
      <c r="A155" s="12">
        <v>45920</v>
      </c>
      <c r="B155" s="12" t="s">
        <v>214</v>
      </c>
      <c r="C155" s="29" t="s">
        <v>125</v>
      </c>
      <c r="D155" s="16" t="s">
        <v>28</v>
      </c>
      <c r="E155" s="16" t="s">
        <v>283</v>
      </c>
      <c r="F155" s="16" t="s">
        <v>14</v>
      </c>
      <c r="G155" s="17">
        <v>2800</v>
      </c>
      <c r="H155" s="20"/>
    </row>
    <row r="156" spans="1:8" s="18" customFormat="1" ht="16.5" customHeight="1" x14ac:dyDescent="0.25">
      <c r="A156" s="12">
        <v>45924</v>
      </c>
      <c r="B156" s="12" t="s">
        <v>286</v>
      </c>
      <c r="C156" s="27" t="s">
        <v>159</v>
      </c>
      <c r="D156" s="16" t="s">
        <v>226</v>
      </c>
      <c r="E156" s="16" t="s">
        <v>287</v>
      </c>
      <c r="F156" s="16" t="s">
        <v>14</v>
      </c>
      <c r="G156" s="17">
        <v>282.14</v>
      </c>
    </row>
    <row r="157" spans="1:8" s="18" customFormat="1" ht="16.5" customHeight="1" x14ac:dyDescent="0.25">
      <c r="A157" s="12">
        <v>45929</v>
      </c>
      <c r="B157" s="12" t="s">
        <v>288</v>
      </c>
      <c r="C157" s="27" t="s">
        <v>159</v>
      </c>
      <c r="D157" s="16" t="s">
        <v>118</v>
      </c>
      <c r="E157" s="16" t="s">
        <v>289</v>
      </c>
      <c r="F157" s="16" t="s">
        <v>14</v>
      </c>
      <c r="G157" s="17">
        <v>115.18</v>
      </c>
    </row>
    <row r="158" spans="1:8" s="18" customFormat="1" ht="16.5" customHeight="1" x14ac:dyDescent="0.25">
      <c r="A158" s="12">
        <v>45930</v>
      </c>
      <c r="B158" s="12" t="s">
        <v>290</v>
      </c>
      <c r="C158" s="27" t="s">
        <v>23</v>
      </c>
      <c r="D158" s="16" t="s">
        <v>229</v>
      </c>
      <c r="E158" s="16" t="s">
        <v>291</v>
      </c>
      <c r="F158" s="16" t="s">
        <v>14</v>
      </c>
      <c r="G158" s="17">
        <v>25000</v>
      </c>
      <c r="H158" s="20"/>
    </row>
    <row r="159" spans="1:8" s="18" customFormat="1" ht="16.5" customHeight="1" x14ac:dyDescent="0.25">
      <c r="A159" s="12">
        <v>45930</v>
      </c>
      <c r="B159" s="12" t="s">
        <v>292</v>
      </c>
      <c r="C159" s="27" t="s">
        <v>23</v>
      </c>
      <c r="D159" s="16" t="s">
        <v>229</v>
      </c>
      <c r="E159" s="16" t="s">
        <v>293</v>
      </c>
      <c r="F159" s="16" t="s">
        <v>14</v>
      </c>
      <c r="G159" s="17">
        <v>25000</v>
      </c>
      <c r="H159" s="20"/>
    </row>
    <row r="160" spans="1:8" s="18" customFormat="1" ht="16.5" customHeight="1" x14ac:dyDescent="0.25">
      <c r="A160" s="12">
        <v>45930</v>
      </c>
      <c r="B160" s="12" t="s">
        <v>294</v>
      </c>
      <c r="C160" s="27" t="s">
        <v>34</v>
      </c>
      <c r="D160" s="16" t="s">
        <v>85</v>
      </c>
      <c r="E160" s="16" t="s">
        <v>295</v>
      </c>
      <c r="F160" s="16" t="s">
        <v>14</v>
      </c>
      <c r="G160" s="17">
        <v>1104.8</v>
      </c>
      <c r="H160" s="20"/>
    </row>
    <row r="161" spans="1:8" s="18" customFormat="1" ht="16.5" customHeight="1" x14ac:dyDescent="0.25">
      <c r="A161" s="12">
        <v>45930</v>
      </c>
      <c r="B161" s="12" t="s">
        <v>294</v>
      </c>
      <c r="C161" s="27" t="s">
        <v>37</v>
      </c>
      <c r="D161" s="16" t="s">
        <v>85</v>
      </c>
      <c r="E161" s="16" t="s">
        <v>295</v>
      </c>
      <c r="F161" s="16" t="s">
        <v>14</v>
      </c>
      <c r="G161" s="17">
        <v>212.62</v>
      </c>
      <c r="H161" s="20"/>
    </row>
    <row r="162" spans="1:8" s="18" customFormat="1" ht="16.5" customHeight="1" x14ac:dyDescent="0.25">
      <c r="A162" s="12">
        <v>45932</v>
      </c>
      <c r="B162" s="12" t="s">
        <v>296</v>
      </c>
      <c r="C162" s="14" t="s">
        <v>53</v>
      </c>
      <c r="D162" s="30" t="s">
        <v>265</v>
      </c>
      <c r="E162" s="16" t="s">
        <v>297</v>
      </c>
      <c r="F162" s="16" t="s">
        <v>14</v>
      </c>
      <c r="G162" s="17">
        <v>3000</v>
      </c>
      <c r="H162" s="20"/>
    </row>
    <row r="163" spans="1:8" s="18" customFormat="1" ht="16.5" customHeight="1" x14ac:dyDescent="0.25">
      <c r="A163" s="12">
        <v>45933</v>
      </c>
      <c r="B163" s="12" t="s">
        <v>298</v>
      </c>
      <c r="C163" s="14" t="s">
        <v>53</v>
      </c>
      <c r="D163" s="16" t="s">
        <v>265</v>
      </c>
      <c r="E163" s="16" t="s">
        <v>297</v>
      </c>
      <c r="F163" s="16" t="s">
        <v>14</v>
      </c>
      <c r="G163" s="17">
        <v>3000</v>
      </c>
      <c r="H163" s="20"/>
    </row>
    <row r="164" spans="1:8" s="18" customFormat="1" ht="16.5" customHeight="1" x14ac:dyDescent="0.25">
      <c r="A164" s="12">
        <v>45937</v>
      </c>
      <c r="B164" s="12" t="s">
        <v>299</v>
      </c>
      <c r="C164" s="27" t="s">
        <v>184</v>
      </c>
      <c r="D164" s="16" t="s">
        <v>211</v>
      </c>
      <c r="E164" s="16" t="s">
        <v>300</v>
      </c>
      <c r="F164" s="16" t="s">
        <v>14</v>
      </c>
      <c r="G164" s="17">
        <v>11655</v>
      </c>
      <c r="H164" s="20"/>
    </row>
    <row r="165" spans="1:8" s="18" customFormat="1" ht="16.5" customHeight="1" x14ac:dyDescent="0.25">
      <c r="A165" s="12">
        <v>45937</v>
      </c>
      <c r="B165" s="12" t="s">
        <v>299</v>
      </c>
      <c r="C165" s="27" t="s">
        <v>184</v>
      </c>
      <c r="D165" s="16" t="s">
        <v>211</v>
      </c>
      <c r="E165" s="16" t="s">
        <v>301</v>
      </c>
      <c r="F165" s="16" t="s">
        <v>14</v>
      </c>
      <c r="G165" s="17">
        <v>13928.58</v>
      </c>
      <c r="H165" s="20"/>
    </row>
    <row r="166" spans="1:8" s="18" customFormat="1" ht="16.5" customHeight="1" x14ac:dyDescent="0.25">
      <c r="A166" s="12">
        <v>45937</v>
      </c>
      <c r="B166" s="12" t="s">
        <v>302</v>
      </c>
      <c r="C166" s="27" t="s">
        <v>303</v>
      </c>
      <c r="D166" s="16" t="s">
        <v>304</v>
      </c>
      <c r="E166" s="16" t="s">
        <v>305</v>
      </c>
      <c r="F166" s="16" t="s">
        <v>14</v>
      </c>
      <c r="G166" s="17">
        <v>23088.46</v>
      </c>
      <c r="H166" s="20"/>
    </row>
    <row r="167" spans="1:8" s="18" customFormat="1" ht="16.5" customHeight="1" x14ac:dyDescent="0.25">
      <c r="A167" s="12">
        <v>45938</v>
      </c>
      <c r="B167" s="12" t="s">
        <v>306</v>
      </c>
      <c r="C167" s="27" t="s">
        <v>106</v>
      </c>
      <c r="D167" s="16" t="s">
        <v>307</v>
      </c>
      <c r="E167" s="16" t="s">
        <v>308</v>
      </c>
      <c r="F167" s="16" t="s">
        <v>14</v>
      </c>
      <c r="G167" s="17">
        <v>6756.96</v>
      </c>
      <c r="H167" s="20"/>
    </row>
    <row r="168" spans="1:8" s="18" customFormat="1" ht="16.5" customHeight="1" x14ac:dyDescent="0.25">
      <c r="A168" s="12">
        <v>45939</v>
      </c>
      <c r="B168" s="12" t="s">
        <v>309</v>
      </c>
      <c r="C168" s="27" t="s">
        <v>184</v>
      </c>
      <c r="D168" s="30" t="s">
        <v>185</v>
      </c>
      <c r="E168" s="16" t="s">
        <v>310</v>
      </c>
      <c r="F168" s="16" t="s">
        <v>14</v>
      </c>
      <c r="G168" s="17">
        <v>77857.14</v>
      </c>
      <c r="H168" s="20"/>
    </row>
    <row r="169" spans="1:8" s="18" customFormat="1" ht="16.5" customHeight="1" x14ac:dyDescent="0.25">
      <c r="A169" s="12">
        <v>45939</v>
      </c>
      <c r="B169" s="12" t="s">
        <v>309</v>
      </c>
      <c r="C169" s="14" t="s">
        <v>53</v>
      </c>
      <c r="D169" s="16" t="s">
        <v>185</v>
      </c>
      <c r="E169" s="16" t="s">
        <v>310</v>
      </c>
      <c r="F169" s="16" t="s">
        <v>14</v>
      </c>
      <c r="G169" s="17">
        <v>5517.86</v>
      </c>
      <c r="H169" s="20"/>
    </row>
    <row r="170" spans="1:8" s="18" customFormat="1" ht="16.5" customHeight="1" x14ac:dyDescent="0.25">
      <c r="A170" s="12">
        <v>45939</v>
      </c>
      <c r="B170" s="12" t="s">
        <v>311</v>
      </c>
      <c r="C170" s="27" t="s">
        <v>34</v>
      </c>
      <c r="D170" s="30" t="s">
        <v>35</v>
      </c>
      <c r="E170" s="16" t="s">
        <v>312</v>
      </c>
      <c r="F170" s="16" t="s">
        <v>14</v>
      </c>
      <c r="G170" s="17">
        <v>228.33</v>
      </c>
      <c r="H170" s="20"/>
    </row>
    <row r="171" spans="1:8" s="18" customFormat="1" ht="16.5" customHeight="1" x14ac:dyDescent="0.25">
      <c r="A171" s="12">
        <v>45939</v>
      </c>
      <c r="B171" s="12" t="s">
        <v>311</v>
      </c>
      <c r="C171" s="27" t="s">
        <v>37</v>
      </c>
      <c r="D171" s="16" t="s">
        <v>35</v>
      </c>
      <c r="E171" s="16" t="s">
        <v>312</v>
      </c>
      <c r="F171" s="16" t="s">
        <v>14</v>
      </c>
      <c r="G171" s="17">
        <v>44.27</v>
      </c>
      <c r="H171" s="20"/>
    </row>
    <row r="172" spans="1:8" s="18" customFormat="1" ht="16.5" customHeight="1" x14ac:dyDescent="0.25">
      <c r="A172" s="12">
        <v>45943</v>
      </c>
      <c r="B172" s="12" t="s">
        <v>313</v>
      </c>
      <c r="C172" s="27" t="s">
        <v>159</v>
      </c>
      <c r="D172" s="16" t="s">
        <v>314</v>
      </c>
      <c r="E172" s="16" t="s">
        <v>315</v>
      </c>
      <c r="F172" s="16" t="s">
        <v>14</v>
      </c>
      <c r="G172" s="17">
        <v>958.48</v>
      </c>
      <c r="H172" s="20"/>
    </row>
    <row r="173" spans="1:8" s="18" customFormat="1" ht="16.5" customHeight="1" x14ac:dyDescent="0.25">
      <c r="A173" s="12">
        <v>45944</v>
      </c>
      <c r="B173" s="12" t="s">
        <v>316</v>
      </c>
      <c r="C173" s="27" t="s">
        <v>30</v>
      </c>
      <c r="D173" s="16" t="s">
        <v>118</v>
      </c>
      <c r="E173" s="16" t="s">
        <v>317</v>
      </c>
      <c r="F173" s="16" t="s">
        <v>14</v>
      </c>
      <c r="G173" s="17">
        <v>3387.5</v>
      </c>
      <c r="H173" s="20"/>
    </row>
    <row r="174" spans="1:8" s="18" customFormat="1" ht="16.5" customHeight="1" x14ac:dyDescent="0.25">
      <c r="A174" s="12">
        <v>45945</v>
      </c>
      <c r="B174" s="12" t="s">
        <v>318</v>
      </c>
      <c r="C174" s="27" t="s">
        <v>34</v>
      </c>
      <c r="D174" s="16" t="s">
        <v>35</v>
      </c>
      <c r="E174" s="16" t="s">
        <v>319</v>
      </c>
      <c r="F174" s="16" t="s">
        <v>14</v>
      </c>
      <c r="G174" s="17">
        <v>1080.75</v>
      </c>
      <c r="H174" s="20"/>
    </row>
    <row r="175" spans="1:8" s="18" customFormat="1" ht="16.5" customHeight="1" x14ac:dyDescent="0.25">
      <c r="A175" s="12">
        <v>45945</v>
      </c>
      <c r="B175" s="12" t="s">
        <v>318</v>
      </c>
      <c r="C175" s="27" t="s">
        <v>37</v>
      </c>
      <c r="D175" s="16" t="s">
        <v>35</v>
      </c>
      <c r="E175" s="16" t="s">
        <v>319</v>
      </c>
      <c r="F175" s="16" t="s">
        <v>14</v>
      </c>
      <c r="G175" s="17">
        <v>209.56</v>
      </c>
      <c r="H175" s="20"/>
    </row>
    <row r="176" spans="1:8" s="18" customFormat="1" ht="16.5" customHeight="1" x14ac:dyDescent="0.25">
      <c r="A176" s="12">
        <v>45945</v>
      </c>
      <c r="B176" s="12" t="s">
        <v>320</v>
      </c>
      <c r="C176" s="27" t="s">
        <v>34</v>
      </c>
      <c r="D176" s="16" t="s">
        <v>35</v>
      </c>
      <c r="E176" s="16" t="s">
        <v>321</v>
      </c>
      <c r="F176" s="16" t="s">
        <v>14</v>
      </c>
      <c r="G176" s="17">
        <v>380.54</v>
      </c>
      <c r="H176" s="20"/>
    </row>
    <row r="177" spans="1:8" s="18" customFormat="1" ht="16.5" customHeight="1" x14ac:dyDescent="0.25">
      <c r="A177" s="12">
        <v>45945</v>
      </c>
      <c r="B177" s="12" t="s">
        <v>320</v>
      </c>
      <c r="C177" s="27" t="s">
        <v>37</v>
      </c>
      <c r="D177" s="16" t="s">
        <v>35</v>
      </c>
      <c r="E177" s="16" t="s">
        <v>321</v>
      </c>
      <c r="F177" s="16" t="s">
        <v>14</v>
      </c>
      <c r="G177" s="17">
        <v>73.790000000000006</v>
      </c>
      <c r="H177" s="20"/>
    </row>
    <row r="178" spans="1:8" s="18" customFormat="1" ht="16.5" customHeight="1" x14ac:dyDescent="0.25">
      <c r="A178" s="12">
        <v>45947</v>
      </c>
      <c r="B178" s="12" t="s">
        <v>322</v>
      </c>
      <c r="C178" s="27" t="s">
        <v>303</v>
      </c>
      <c r="D178" s="16" t="s">
        <v>323</v>
      </c>
      <c r="E178" s="16" t="s">
        <v>324</v>
      </c>
      <c r="F178" s="16" t="s">
        <v>14</v>
      </c>
      <c r="G178" s="17">
        <v>1783.93</v>
      </c>
      <c r="H178" s="20"/>
    </row>
    <row r="179" spans="1:8" s="18" customFormat="1" ht="16.5" customHeight="1" x14ac:dyDescent="0.25">
      <c r="A179" s="12">
        <v>45947</v>
      </c>
      <c r="B179" s="12" t="s">
        <v>325</v>
      </c>
      <c r="C179" s="27" t="s">
        <v>159</v>
      </c>
      <c r="D179" s="30" t="s">
        <v>326</v>
      </c>
      <c r="E179" s="16" t="s">
        <v>327</v>
      </c>
      <c r="F179" s="16" t="s">
        <v>14</v>
      </c>
      <c r="G179" s="17">
        <v>343.75</v>
      </c>
      <c r="H179" s="20"/>
    </row>
    <row r="180" spans="1:8" s="18" customFormat="1" ht="16.5" customHeight="1" x14ac:dyDescent="0.25">
      <c r="A180" s="12">
        <v>45950</v>
      </c>
      <c r="B180" s="12" t="s">
        <v>218</v>
      </c>
      <c r="C180" s="27" t="s">
        <v>23</v>
      </c>
      <c r="D180" s="16" t="s">
        <v>26</v>
      </c>
      <c r="E180" s="16" t="s">
        <v>129</v>
      </c>
      <c r="F180" s="16" t="s">
        <v>14</v>
      </c>
      <c r="G180" s="17">
        <v>5900</v>
      </c>
      <c r="H180" s="20"/>
    </row>
    <row r="181" spans="1:8" s="18" customFormat="1" ht="16.5" customHeight="1" x14ac:dyDescent="0.25">
      <c r="A181" s="12">
        <v>45950</v>
      </c>
      <c r="B181" s="12" t="s">
        <v>218</v>
      </c>
      <c r="C181" s="27" t="s">
        <v>23</v>
      </c>
      <c r="D181" s="16" t="s">
        <v>24</v>
      </c>
      <c r="E181" s="16" t="s">
        <v>129</v>
      </c>
      <c r="F181" s="16" t="s">
        <v>14</v>
      </c>
      <c r="G181" s="17">
        <v>5400</v>
      </c>
      <c r="H181" s="20"/>
    </row>
    <row r="182" spans="1:8" s="18" customFormat="1" ht="16.5" customHeight="1" x14ac:dyDescent="0.25">
      <c r="A182" s="12">
        <v>45950</v>
      </c>
      <c r="B182" s="12" t="s">
        <v>215</v>
      </c>
      <c r="C182" s="27" t="s">
        <v>27</v>
      </c>
      <c r="D182" s="16" t="s">
        <v>28</v>
      </c>
      <c r="E182" s="16" t="s">
        <v>328</v>
      </c>
      <c r="F182" s="16" t="s">
        <v>14</v>
      </c>
      <c r="G182" s="17">
        <v>10275</v>
      </c>
      <c r="H182" s="20"/>
    </row>
    <row r="183" spans="1:8" s="18" customFormat="1" ht="16.5" customHeight="1" x14ac:dyDescent="0.25">
      <c r="A183" s="12">
        <v>45950</v>
      </c>
      <c r="B183" s="12" t="s">
        <v>218</v>
      </c>
      <c r="C183" s="27" t="s">
        <v>219</v>
      </c>
      <c r="D183" s="16" t="s">
        <v>220</v>
      </c>
      <c r="E183" s="16" t="s">
        <v>221</v>
      </c>
      <c r="F183" s="16" t="s">
        <v>14</v>
      </c>
      <c r="G183" s="17">
        <v>3000</v>
      </c>
      <c r="H183" s="20"/>
    </row>
    <row r="184" spans="1:8" s="18" customFormat="1" ht="16.5" customHeight="1" x14ac:dyDescent="0.25">
      <c r="A184" s="12">
        <v>45950</v>
      </c>
      <c r="B184" s="12" t="s">
        <v>215</v>
      </c>
      <c r="C184" s="27" t="s">
        <v>132</v>
      </c>
      <c r="D184" s="16" t="s">
        <v>28</v>
      </c>
      <c r="E184" s="16" t="s">
        <v>328</v>
      </c>
      <c r="F184" s="16" t="s">
        <v>14</v>
      </c>
      <c r="G184" s="17">
        <v>14220</v>
      </c>
      <c r="H184" s="20"/>
    </row>
    <row r="185" spans="1:8" s="18" customFormat="1" ht="16.5" customHeight="1" x14ac:dyDescent="0.25">
      <c r="A185" s="12">
        <v>45950</v>
      </c>
      <c r="B185" s="12" t="s">
        <v>218</v>
      </c>
      <c r="C185" s="27" t="s">
        <v>184</v>
      </c>
      <c r="D185" s="16" t="s">
        <v>28</v>
      </c>
      <c r="E185" s="16" t="s">
        <v>328</v>
      </c>
      <c r="F185" s="16" t="s">
        <v>14</v>
      </c>
      <c r="G185" s="17">
        <v>11315</v>
      </c>
      <c r="H185" s="20"/>
    </row>
    <row r="186" spans="1:8" s="18" customFormat="1" ht="16.5" customHeight="1" x14ac:dyDescent="0.25">
      <c r="A186" s="12">
        <v>45950</v>
      </c>
      <c r="B186" s="12" t="s">
        <v>329</v>
      </c>
      <c r="C186" s="14" t="s">
        <v>53</v>
      </c>
      <c r="D186" s="16" t="s">
        <v>28</v>
      </c>
      <c r="E186" s="16" t="s">
        <v>328</v>
      </c>
      <c r="F186" s="16" t="s">
        <v>14</v>
      </c>
      <c r="G186" s="17">
        <v>450</v>
      </c>
      <c r="H186" s="20"/>
    </row>
    <row r="187" spans="1:8" s="18" customFormat="1" ht="16.5" customHeight="1" x14ac:dyDescent="0.25">
      <c r="A187" s="12">
        <v>45950</v>
      </c>
      <c r="B187" s="12" t="s">
        <v>329</v>
      </c>
      <c r="C187" s="27" t="s">
        <v>30</v>
      </c>
      <c r="D187" s="16" t="s">
        <v>28</v>
      </c>
      <c r="E187" s="16" t="s">
        <v>285</v>
      </c>
      <c r="F187" s="16" t="s">
        <v>14</v>
      </c>
      <c r="G187" s="17">
        <v>1650</v>
      </c>
      <c r="H187" s="20"/>
    </row>
    <row r="188" spans="1:8" s="18" customFormat="1" ht="16.5" customHeight="1" x14ac:dyDescent="0.25">
      <c r="A188" s="12">
        <v>45950</v>
      </c>
      <c r="B188" s="12" t="s">
        <v>214</v>
      </c>
      <c r="C188" s="27" t="s">
        <v>125</v>
      </c>
      <c r="D188" s="16" t="s">
        <v>28</v>
      </c>
      <c r="E188" s="16" t="s">
        <v>285</v>
      </c>
      <c r="F188" s="16" t="s">
        <v>14</v>
      </c>
      <c r="G188" s="17">
        <v>2800</v>
      </c>
      <c r="H188" s="20"/>
    </row>
    <row r="189" spans="1:8" s="18" customFormat="1" ht="16.5" customHeight="1" x14ac:dyDescent="0.25">
      <c r="A189" s="12">
        <v>45950</v>
      </c>
      <c r="B189" s="12" t="s">
        <v>214</v>
      </c>
      <c r="C189" s="27" t="s">
        <v>330</v>
      </c>
      <c r="D189" s="16" t="s">
        <v>28</v>
      </c>
      <c r="E189" s="16" t="s">
        <v>285</v>
      </c>
      <c r="F189" s="16" t="s">
        <v>14</v>
      </c>
      <c r="G189" s="17">
        <v>1575</v>
      </c>
      <c r="H189" s="20"/>
    </row>
    <row r="190" spans="1:8" s="18" customFormat="1" ht="16.5" customHeight="1" x14ac:dyDescent="0.25">
      <c r="A190" s="12">
        <v>45950</v>
      </c>
      <c r="B190" s="12" t="s">
        <v>331</v>
      </c>
      <c r="C190" s="27" t="s">
        <v>159</v>
      </c>
      <c r="D190" s="30" t="s">
        <v>332</v>
      </c>
      <c r="E190" s="16" t="s">
        <v>333</v>
      </c>
      <c r="F190" s="16" t="s">
        <v>14</v>
      </c>
      <c r="G190" s="17">
        <v>225</v>
      </c>
      <c r="H190" s="20"/>
    </row>
    <row r="191" spans="1:8" s="18" customFormat="1" ht="16.5" customHeight="1" x14ac:dyDescent="0.25">
      <c r="A191" s="12">
        <v>45951</v>
      </c>
      <c r="B191" s="12" t="s">
        <v>334</v>
      </c>
      <c r="C191" s="27" t="s">
        <v>159</v>
      </c>
      <c r="D191" s="16" t="s">
        <v>181</v>
      </c>
      <c r="E191" s="16" t="s">
        <v>335</v>
      </c>
      <c r="F191" s="16" t="s">
        <v>14</v>
      </c>
      <c r="G191" s="17">
        <v>117.45</v>
      </c>
      <c r="H191" s="20"/>
    </row>
    <row r="192" spans="1:8" s="18" customFormat="1" ht="16.5" customHeight="1" x14ac:dyDescent="0.25">
      <c r="A192" s="12">
        <v>45952</v>
      </c>
      <c r="B192" s="12" t="s">
        <v>336</v>
      </c>
      <c r="C192" s="14" t="s">
        <v>53</v>
      </c>
      <c r="D192" s="16" t="s">
        <v>337</v>
      </c>
      <c r="E192" s="16" t="s">
        <v>338</v>
      </c>
      <c r="F192" s="16" t="s">
        <v>14</v>
      </c>
      <c r="G192" s="17">
        <v>5600</v>
      </c>
      <c r="H192" s="20"/>
    </row>
    <row r="193" spans="1:8" s="18" customFormat="1" ht="16.5" customHeight="1" x14ac:dyDescent="0.25">
      <c r="A193" s="12">
        <v>45952</v>
      </c>
      <c r="B193" s="12" t="s">
        <v>336</v>
      </c>
      <c r="C193" s="14" t="s">
        <v>53</v>
      </c>
      <c r="D193" s="16" t="s">
        <v>337</v>
      </c>
      <c r="E193" s="16" t="s">
        <v>338</v>
      </c>
      <c r="F193" s="16" t="s">
        <v>14</v>
      </c>
      <c r="G193" s="17">
        <v>2400</v>
      </c>
      <c r="H193" s="20"/>
    </row>
    <row r="194" spans="1:8" s="18" customFormat="1" ht="16.5" customHeight="1" x14ac:dyDescent="0.25">
      <c r="A194" s="12">
        <v>45954</v>
      </c>
      <c r="B194" s="12" t="s">
        <v>339</v>
      </c>
      <c r="C194" s="27" t="s">
        <v>184</v>
      </c>
      <c r="D194" s="16" t="s">
        <v>211</v>
      </c>
      <c r="E194" s="16" t="s">
        <v>301</v>
      </c>
      <c r="F194" s="16" t="s">
        <v>14</v>
      </c>
      <c r="G194" s="17">
        <v>13928.57</v>
      </c>
      <c r="H194" s="20"/>
    </row>
    <row r="195" spans="1:8" s="18" customFormat="1" ht="16.5" customHeight="1" x14ac:dyDescent="0.25">
      <c r="A195" s="12">
        <v>45954</v>
      </c>
      <c r="B195" s="12" t="s">
        <v>340</v>
      </c>
      <c r="C195" s="14" t="s">
        <v>53</v>
      </c>
      <c r="D195" s="30" t="s">
        <v>341</v>
      </c>
      <c r="E195" s="16" t="s">
        <v>342</v>
      </c>
      <c r="F195" s="16" t="s">
        <v>14</v>
      </c>
      <c r="G195" s="17">
        <v>1300</v>
      </c>
      <c r="H195" s="20"/>
    </row>
    <row r="196" spans="1:8" s="18" customFormat="1" ht="16.5" customHeight="1" x14ac:dyDescent="0.25">
      <c r="A196" s="12">
        <v>45954</v>
      </c>
      <c r="B196" s="12" t="s">
        <v>343</v>
      </c>
      <c r="C196" s="27" t="s">
        <v>303</v>
      </c>
      <c r="D196" s="16" t="s">
        <v>344</v>
      </c>
      <c r="E196" s="16" t="s">
        <v>345</v>
      </c>
      <c r="F196" s="16" t="s">
        <v>14</v>
      </c>
      <c r="G196" s="17">
        <v>10995.55</v>
      </c>
      <c r="H196" s="20"/>
    </row>
    <row r="197" spans="1:8" s="18" customFormat="1" ht="16.5" customHeight="1" x14ac:dyDescent="0.25">
      <c r="A197" s="12">
        <v>45955</v>
      </c>
      <c r="B197" s="12" t="s">
        <v>346</v>
      </c>
      <c r="C197" s="27" t="s">
        <v>34</v>
      </c>
      <c r="D197" s="16" t="s">
        <v>35</v>
      </c>
      <c r="E197" s="16" t="s">
        <v>347</v>
      </c>
      <c r="F197" s="16" t="s">
        <v>14</v>
      </c>
      <c r="G197" s="17">
        <v>761.09</v>
      </c>
      <c r="H197" s="20"/>
    </row>
    <row r="198" spans="1:8" s="18" customFormat="1" ht="16.5" customHeight="1" x14ac:dyDescent="0.25">
      <c r="A198" s="12">
        <v>45955</v>
      </c>
      <c r="B198" s="12" t="s">
        <v>346</v>
      </c>
      <c r="C198" s="27" t="s">
        <v>37</v>
      </c>
      <c r="D198" s="30" t="s">
        <v>35</v>
      </c>
      <c r="E198" s="16" t="s">
        <v>347</v>
      </c>
      <c r="F198" s="16" t="s">
        <v>14</v>
      </c>
      <c r="G198" s="17">
        <v>147.58000000000001</v>
      </c>
      <c r="H198" s="20"/>
    </row>
    <row r="199" spans="1:8" s="18" customFormat="1" ht="16.5" customHeight="1" x14ac:dyDescent="0.25">
      <c r="A199" s="12">
        <v>45957</v>
      </c>
      <c r="B199" s="12" t="s">
        <v>348</v>
      </c>
      <c r="C199" s="27" t="s">
        <v>23</v>
      </c>
      <c r="D199" s="30" t="s">
        <v>229</v>
      </c>
      <c r="E199" s="16" t="s">
        <v>349</v>
      </c>
      <c r="F199" s="16" t="s">
        <v>14</v>
      </c>
      <c r="G199" s="17">
        <v>25000</v>
      </c>
      <c r="H199" s="20"/>
    </row>
    <row r="200" spans="1:8" s="18" customFormat="1" ht="16.5" customHeight="1" x14ac:dyDescent="0.25">
      <c r="A200" s="12">
        <v>45958</v>
      </c>
      <c r="B200" s="12" t="s">
        <v>350</v>
      </c>
      <c r="C200" s="27" t="s">
        <v>106</v>
      </c>
      <c r="D200" s="16" t="s">
        <v>351</v>
      </c>
      <c r="E200" s="16" t="s">
        <v>352</v>
      </c>
      <c r="F200" s="16" t="s">
        <v>14</v>
      </c>
      <c r="G200" s="17">
        <v>892.86</v>
      </c>
      <c r="H200" s="20"/>
    </row>
    <row r="201" spans="1:8" s="18" customFormat="1" ht="16.5" customHeight="1" x14ac:dyDescent="0.25">
      <c r="A201" s="12">
        <v>45958</v>
      </c>
      <c r="B201" s="12" t="s">
        <v>353</v>
      </c>
      <c r="C201" s="14" t="s">
        <v>53</v>
      </c>
      <c r="D201" s="16" t="s">
        <v>337</v>
      </c>
      <c r="E201" s="16" t="s">
        <v>354</v>
      </c>
      <c r="F201" s="16" t="s">
        <v>14</v>
      </c>
      <c r="G201" s="17">
        <v>2000</v>
      </c>
      <c r="H201" s="20"/>
    </row>
    <row r="202" spans="1:8" s="18" customFormat="1" ht="16.5" customHeight="1" x14ac:dyDescent="0.25">
      <c r="A202" s="12">
        <v>45959</v>
      </c>
      <c r="B202" s="12" t="s">
        <v>355</v>
      </c>
      <c r="C202" s="27" t="s">
        <v>34</v>
      </c>
      <c r="D202" s="16" t="s">
        <v>229</v>
      </c>
      <c r="E202" s="16" t="s">
        <v>356</v>
      </c>
      <c r="F202" s="16" t="s">
        <v>14</v>
      </c>
      <c r="G202" s="17">
        <v>128</v>
      </c>
      <c r="H202" s="20"/>
    </row>
    <row r="203" spans="1:8" s="18" customFormat="1" ht="16.5" customHeight="1" x14ac:dyDescent="0.25">
      <c r="A203" s="12">
        <v>45959</v>
      </c>
      <c r="B203" s="12" t="s">
        <v>357</v>
      </c>
      <c r="C203" s="27" t="s">
        <v>37</v>
      </c>
      <c r="D203" s="16" t="s">
        <v>358</v>
      </c>
      <c r="E203" s="16" t="s">
        <v>359</v>
      </c>
      <c r="F203" s="16" t="s">
        <v>14</v>
      </c>
      <c r="G203" s="17">
        <v>2.97</v>
      </c>
      <c r="H203" s="20"/>
    </row>
    <row r="204" spans="1:8" s="18" customFormat="1" ht="16.5" customHeight="1" x14ac:dyDescent="0.25">
      <c r="A204" s="12">
        <v>45964</v>
      </c>
      <c r="B204" s="12" t="s">
        <v>360</v>
      </c>
      <c r="C204" s="29" t="s">
        <v>16</v>
      </c>
      <c r="D204" s="16" t="s">
        <v>361</v>
      </c>
      <c r="E204" s="16" t="s">
        <v>362</v>
      </c>
      <c r="F204" s="16" t="s">
        <v>14</v>
      </c>
      <c r="G204" s="17">
        <v>1394.8</v>
      </c>
      <c r="H204" s="20"/>
    </row>
    <row r="205" spans="1:8" s="18" customFormat="1" ht="16.5" customHeight="1" x14ac:dyDescent="0.25">
      <c r="A205" s="12">
        <v>45964</v>
      </c>
      <c r="B205" s="31" t="s">
        <v>363</v>
      </c>
      <c r="C205" s="29" t="s">
        <v>16</v>
      </c>
      <c r="D205" s="16" t="s">
        <v>364</v>
      </c>
      <c r="E205" s="16" t="s">
        <v>365</v>
      </c>
      <c r="F205" s="16" t="s">
        <v>14</v>
      </c>
      <c r="G205" s="17">
        <v>1781.25</v>
      </c>
      <c r="H205" s="20"/>
    </row>
    <row r="206" spans="1:8" s="18" customFormat="1" ht="16.5" customHeight="1" x14ac:dyDescent="0.25">
      <c r="A206" s="12">
        <v>45966</v>
      </c>
      <c r="B206" s="31" t="s">
        <v>366</v>
      </c>
      <c r="C206" s="29" t="s">
        <v>303</v>
      </c>
      <c r="D206" s="16" t="s">
        <v>367</v>
      </c>
      <c r="E206" s="16" t="s">
        <v>368</v>
      </c>
      <c r="F206" s="16" t="s">
        <v>14</v>
      </c>
      <c r="G206" s="17">
        <v>64.290000000000006</v>
      </c>
      <c r="H206" s="20"/>
    </row>
    <row r="207" spans="1:8" s="18" customFormat="1" ht="16.5" customHeight="1" x14ac:dyDescent="0.25">
      <c r="A207" s="12">
        <v>45966</v>
      </c>
      <c r="B207" s="12" t="s">
        <v>369</v>
      </c>
      <c r="C207" s="27" t="s">
        <v>16</v>
      </c>
      <c r="D207" s="16" t="s">
        <v>370</v>
      </c>
      <c r="E207" s="16" t="s">
        <v>371</v>
      </c>
      <c r="F207" s="16" t="s">
        <v>14</v>
      </c>
      <c r="G207" s="17">
        <v>375</v>
      </c>
      <c r="H207" s="20"/>
    </row>
    <row r="208" spans="1:8" s="18" customFormat="1" ht="16.5" customHeight="1" x14ac:dyDescent="0.25">
      <c r="A208" s="12">
        <v>45966</v>
      </c>
      <c r="B208" s="12" t="s">
        <v>372</v>
      </c>
      <c r="C208" s="27" t="s">
        <v>16</v>
      </c>
      <c r="D208" s="16" t="s">
        <v>235</v>
      </c>
      <c r="E208" s="16" t="s">
        <v>373</v>
      </c>
      <c r="F208" s="16" t="s">
        <v>14</v>
      </c>
      <c r="G208" s="17">
        <v>200</v>
      </c>
      <c r="H208" s="20"/>
    </row>
    <row r="209" spans="1:8" s="18" customFormat="1" ht="16.5" customHeight="1" x14ac:dyDescent="0.25">
      <c r="A209" s="12">
        <v>45968</v>
      </c>
      <c r="B209" s="12" t="s">
        <v>374</v>
      </c>
      <c r="C209" s="27" t="s">
        <v>303</v>
      </c>
      <c r="D209" s="16" t="s">
        <v>375</v>
      </c>
      <c r="E209" s="16" t="s">
        <v>376</v>
      </c>
      <c r="F209" s="16" t="s">
        <v>14</v>
      </c>
      <c r="G209" s="17">
        <v>625</v>
      </c>
      <c r="H209" s="20"/>
    </row>
    <row r="210" spans="1:8" s="18" customFormat="1" ht="16.5" customHeight="1" x14ac:dyDescent="0.25">
      <c r="A210" s="12">
        <v>45969</v>
      </c>
      <c r="B210" s="12" t="s">
        <v>377</v>
      </c>
      <c r="C210" s="27" t="s">
        <v>16</v>
      </c>
      <c r="D210" s="30" t="s">
        <v>378</v>
      </c>
      <c r="E210" s="16" t="s">
        <v>379</v>
      </c>
      <c r="F210" s="16" t="s">
        <v>14</v>
      </c>
      <c r="G210" s="17">
        <v>937.5</v>
      </c>
      <c r="H210" s="20"/>
    </row>
    <row r="211" spans="1:8" s="18" customFormat="1" ht="16.5" customHeight="1" x14ac:dyDescent="0.25">
      <c r="A211" s="12">
        <v>45971</v>
      </c>
      <c r="B211" s="12" t="s">
        <v>380</v>
      </c>
      <c r="C211" s="27" t="s">
        <v>16</v>
      </c>
      <c r="D211" s="16" t="s">
        <v>381</v>
      </c>
      <c r="E211" s="16" t="s">
        <v>382</v>
      </c>
      <c r="F211" s="16" t="s">
        <v>14</v>
      </c>
      <c r="G211" s="17">
        <v>848.21</v>
      </c>
    </row>
    <row r="212" spans="1:8" s="18" customFormat="1" ht="16.5" customHeight="1" x14ac:dyDescent="0.25">
      <c r="A212" s="12">
        <v>45971</v>
      </c>
      <c r="B212" s="12" t="s">
        <v>357</v>
      </c>
      <c r="C212" s="27" t="s">
        <v>34</v>
      </c>
      <c r="D212" s="30" t="s">
        <v>358</v>
      </c>
      <c r="E212" s="16" t="s">
        <v>359</v>
      </c>
      <c r="F212" s="16" t="s">
        <v>14</v>
      </c>
      <c r="G212" s="17">
        <v>50.92</v>
      </c>
    </row>
    <row r="213" spans="1:8" s="18" customFormat="1" ht="16.5" customHeight="1" x14ac:dyDescent="0.25">
      <c r="A213" s="12">
        <v>45972</v>
      </c>
      <c r="B213" s="12" t="s">
        <v>383</v>
      </c>
      <c r="C213" s="27" t="s">
        <v>303</v>
      </c>
      <c r="D213" s="30" t="s">
        <v>181</v>
      </c>
      <c r="E213" s="16" t="s">
        <v>368</v>
      </c>
      <c r="F213" s="16" t="s">
        <v>14</v>
      </c>
      <c r="G213" s="17">
        <v>231.43</v>
      </c>
    </row>
    <row r="214" spans="1:8" s="18" customFormat="1" ht="16.5" customHeight="1" x14ac:dyDescent="0.25">
      <c r="A214" s="12">
        <v>45972</v>
      </c>
      <c r="B214" s="12" t="s">
        <v>384</v>
      </c>
      <c r="C214" s="27" t="s">
        <v>303</v>
      </c>
      <c r="D214" s="30" t="s">
        <v>385</v>
      </c>
      <c r="E214" s="16" t="s">
        <v>386</v>
      </c>
      <c r="F214" s="16" t="s">
        <v>14</v>
      </c>
      <c r="G214" s="17">
        <v>254.42</v>
      </c>
    </row>
    <row r="215" spans="1:8" s="18" customFormat="1" ht="16.5" customHeight="1" x14ac:dyDescent="0.25">
      <c r="A215" s="12">
        <v>45973</v>
      </c>
      <c r="B215" s="12" t="s">
        <v>387</v>
      </c>
      <c r="C215" s="27" t="s">
        <v>303</v>
      </c>
      <c r="D215" s="30" t="s">
        <v>304</v>
      </c>
      <c r="E215" s="16" t="s">
        <v>388</v>
      </c>
      <c r="F215" s="16" t="s">
        <v>14</v>
      </c>
      <c r="G215" s="17">
        <v>6560.93</v>
      </c>
    </row>
    <row r="216" spans="1:8" s="18" customFormat="1" ht="16.5" customHeight="1" x14ac:dyDescent="0.25">
      <c r="A216" s="12">
        <v>45976</v>
      </c>
      <c r="B216" s="12" t="s">
        <v>218</v>
      </c>
      <c r="C216" s="27" t="s">
        <v>23</v>
      </c>
      <c r="D216" s="16" t="s">
        <v>26</v>
      </c>
      <c r="E216" s="16" t="s">
        <v>129</v>
      </c>
      <c r="F216" s="16" t="s">
        <v>14</v>
      </c>
      <c r="G216" s="17">
        <v>5900</v>
      </c>
    </row>
    <row r="217" spans="1:8" s="18" customFormat="1" ht="16.5" customHeight="1" x14ac:dyDescent="0.25">
      <c r="A217" s="12">
        <v>45976</v>
      </c>
      <c r="B217" s="12" t="s">
        <v>218</v>
      </c>
      <c r="C217" s="27" t="s">
        <v>23</v>
      </c>
      <c r="D217" s="30" t="s">
        <v>24</v>
      </c>
      <c r="E217" s="16" t="s">
        <v>129</v>
      </c>
      <c r="F217" s="16" t="s">
        <v>14</v>
      </c>
      <c r="G217" s="17">
        <v>5400</v>
      </c>
    </row>
    <row r="218" spans="1:8" s="18" customFormat="1" ht="16.5" customHeight="1" x14ac:dyDescent="0.25">
      <c r="A218" s="12">
        <v>45976</v>
      </c>
      <c r="B218" s="12" t="s">
        <v>215</v>
      </c>
      <c r="C218" s="27" t="s">
        <v>27</v>
      </c>
      <c r="D218" s="16" t="s">
        <v>28</v>
      </c>
      <c r="E218" s="16" t="s">
        <v>389</v>
      </c>
      <c r="F218" s="16" t="s">
        <v>14</v>
      </c>
      <c r="G218" s="17">
        <v>8550</v>
      </c>
    </row>
    <row r="219" spans="1:8" s="18" customFormat="1" ht="16.5" customHeight="1" x14ac:dyDescent="0.25">
      <c r="A219" s="12">
        <v>45976</v>
      </c>
      <c r="B219" s="12" t="s">
        <v>218</v>
      </c>
      <c r="C219" s="27" t="s">
        <v>219</v>
      </c>
      <c r="D219" s="16" t="s">
        <v>220</v>
      </c>
      <c r="E219" s="16" t="s">
        <v>221</v>
      </c>
      <c r="F219" s="16" t="s">
        <v>14</v>
      </c>
      <c r="G219" s="17">
        <v>3100</v>
      </c>
    </row>
    <row r="220" spans="1:8" s="18" customFormat="1" ht="16.5" customHeight="1" x14ac:dyDescent="0.25">
      <c r="A220" s="12">
        <v>45976</v>
      </c>
      <c r="B220" s="12" t="s">
        <v>215</v>
      </c>
      <c r="C220" s="29" t="s">
        <v>132</v>
      </c>
      <c r="D220" s="16" t="s">
        <v>28</v>
      </c>
      <c r="E220" s="16" t="s">
        <v>389</v>
      </c>
      <c r="F220" s="16" t="s">
        <v>14</v>
      </c>
      <c r="G220" s="17">
        <v>12208</v>
      </c>
    </row>
    <row r="221" spans="1:8" s="18" customFormat="1" ht="16.5" customHeight="1" x14ac:dyDescent="0.25">
      <c r="A221" s="12">
        <v>45976</v>
      </c>
      <c r="B221" s="12" t="s">
        <v>218</v>
      </c>
      <c r="C221" s="29" t="s">
        <v>184</v>
      </c>
      <c r="D221" s="16" t="s">
        <v>28</v>
      </c>
      <c r="E221" s="16" t="s">
        <v>390</v>
      </c>
      <c r="F221" s="16" t="s">
        <v>14</v>
      </c>
      <c r="G221" s="17">
        <v>7900</v>
      </c>
    </row>
    <row r="222" spans="1:8" s="18" customFormat="1" ht="16.5" customHeight="1" x14ac:dyDescent="0.25">
      <c r="A222" s="12">
        <v>45976</v>
      </c>
      <c r="B222" s="12" t="s">
        <v>218</v>
      </c>
      <c r="C222" s="27" t="s">
        <v>106</v>
      </c>
      <c r="D222" s="16" t="s">
        <v>28</v>
      </c>
      <c r="E222" s="16" t="s">
        <v>391</v>
      </c>
      <c r="F222" s="16" t="s">
        <v>14</v>
      </c>
      <c r="G222" s="17">
        <v>4425</v>
      </c>
    </row>
    <row r="223" spans="1:8" s="18" customFormat="1" ht="16.5" customHeight="1" x14ac:dyDescent="0.25">
      <c r="A223" s="12">
        <v>45976</v>
      </c>
      <c r="B223" s="12" t="s">
        <v>329</v>
      </c>
      <c r="C223" s="27" t="s">
        <v>30</v>
      </c>
      <c r="D223" s="16" t="s">
        <v>28</v>
      </c>
      <c r="E223" s="16" t="s">
        <v>391</v>
      </c>
      <c r="F223" s="16" t="s">
        <v>14</v>
      </c>
      <c r="G223" s="17">
        <v>7725</v>
      </c>
    </row>
    <row r="224" spans="1:8" s="18" customFormat="1" ht="16.5" customHeight="1" x14ac:dyDescent="0.25">
      <c r="A224" s="12">
        <v>45976</v>
      </c>
      <c r="B224" s="12" t="s">
        <v>214</v>
      </c>
      <c r="C224" s="27" t="s">
        <v>125</v>
      </c>
      <c r="D224" s="16" t="s">
        <v>28</v>
      </c>
      <c r="E224" s="16" t="s">
        <v>392</v>
      </c>
      <c r="F224" s="16" t="s">
        <v>14</v>
      </c>
      <c r="G224" s="17">
        <v>2800</v>
      </c>
    </row>
    <row r="225" spans="1:8" s="18" customFormat="1" ht="16.5" customHeight="1" x14ac:dyDescent="0.25">
      <c r="A225" s="12">
        <v>45976</v>
      </c>
      <c r="B225" s="12" t="s">
        <v>214</v>
      </c>
      <c r="C225" s="27" t="s">
        <v>330</v>
      </c>
      <c r="D225" s="16" t="s">
        <v>28</v>
      </c>
      <c r="E225" s="16" t="s">
        <v>391</v>
      </c>
      <c r="F225" s="16" t="s">
        <v>14</v>
      </c>
      <c r="G225" s="17">
        <v>10387.5</v>
      </c>
    </row>
    <row r="226" spans="1:8" s="18" customFormat="1" ht="16.5" customHeight="1" x14ac:dyDescent="0.25">
      <c r="A226" s="12">
        <v>45977</v>
      </c>
      <c r="B226" s="12" t="s">
        <v>393</v>
      </c>
      <c r="C226" s="27" t="s">
        <v>34</v>
      </c>
      <c r="D226" s="16" t="s">
        <v>85</v>
      </c>
      <c r="E226" s="16" t="s">
        <v>394</v>
      </c>
      <c r="F226" s="16" t="s">
        <v>14</v>
      </c>
      <c r="G226" s="17">
        <v>2272.86</v>
      </c>
    </row>
    <row r="227" spans="1:8" s="18" customFormat="1" ht="16.5" customHeight="1" x14ac:dyDescent="0.25">
      <c r="A227" s="12">
        <v>45977</v>
      </c>
      <c r="B227" s="12" t="s">
        <v>393</v>
      </c>
      <c r="C227" s="27" t="s">
        <v>37</v>
      </c>
      <c r="D227" s="16" t="s">
        <v>85</v>
      </c>
      <c r="E227" s="16" t="s">
        <v>394</v>
      </c>
      <c r="F227" s="16" t="s">
        <v>14</v>
      </c>
      <c r="G227" s="17">
        <v>454.4</v>
      </c>
    </row>
    <row r="228" spans="1:8" s="18" customFormat="1" ht="16.5" customHeight="1" x14ac:dyDescent="0.25">
      <c r="A228" s="12">
        <v>45978</v>
      </c>
      <c r="B228" s="12" t="s">
        <v>395</v>
      </c>
      <c r="C228" s="27" t="s">
        <v>34</v>
      </c>
      <c r="D228" s="16" t="s">
        <v>181</v>
      </c>
      <c r="E228" s="16" t="s">
        <v>396</v>
      </c>
      <c r="F228" s="16" t="s">
        <v>14</v>
      </c>
      <c r="G228" s="17">
        <v>319.64</v>
      </c>
    </row>
    <row r="229" spans="1:8" s="18" customFormat="1" ht="16.5" customHeight="1" x14ac:dyDescent="0.25">
      <c r="A229" s="12">
        <v>45978</v>
      </c>
      <c r="B229" s="12" t="s">
        <v>397</v>
      </c>
      <c r="C229" s="27" t="s">
        <v>303</v>
      </c>
      <c r="D229" s="16" t="s">
        <v>181</v>
      </c>
      <c r="E229" s="16" t="s">
        <v>398</v>
      </c>
      <c r="F229" s="16" t="s">
        <v>14</v>
      </c>
      <c r="G229" s="17">
        <v>22.32</v>
      </c>
    </row>
    <row r="230" spans="1:8" s="18" customFormat="1" ht="16.5" customHeight="1" x14ac:dyDescent="0.25">
      <c r="A230" s="12">
        <v>45978</v>
      </c>
      <c r="B230" s="12" t="s">
        <v>397</v>
      </c>
      <c r="C230" s="27" t="s">
        <v>159</v>
      </c>
      <c r="D230" s="16" t="s">
        <v>181</v>
      </c>
      <c r="E230" s="16" t="s">
        <v>398</v>
      </c>
      <c r="F230" s="16" t="s">
        <v>14</v>
      </c>
      <c r="G230" s="17">
        <v>982.14</v>
      </c>
    </row>
    <row r="231" spans="1:8" s="18" customFormat="1" ht="16.5" customHeight="1" x14ac:dyDescent="0.25">
      <c r="A231" s="12">
        <v>45979</v>
      </c>
      <c r="B231" s="12" t="s">
        <v>399</v>
      </c>
      <c r="C231" s="27" t="s">
        <v>303</v>
      </c>
      <c r="D231" s="30" t="s">
        <v>400</v>
      </c>
      <c r="E231" s="16" t="s">
        <v>401</v>
      </c>
      <c r="F231" s="16" t="s">
        <v>14</v>
      </c>
      <c r="G231" s="17">
        <v>3535.71</v>
      </c>
    </row>
    <row r="232" spans="1:8" s="18" customFormat="1" ht="16.5" customHeight="1" x14ac:dyDescent="0.25">
      <c r="A232" s="12">
        <v>45979</v>
      </c>
      <c r="B232" s="12" t="s">
        <v>402</v>
      </c>
      <c r="C232" s="27" t="s">
        <v>303</v>
      </c>
      <c r="D232" s="16" t="s">
        <v>304</v>
      </c>
      <c r="E232" s="16" t="s">
        <v>403</v>
      </c>
      <c r="F232" s="16" t="s">
        <v>14</v>
      </c>
      <c r="G232" s="17">
        <v>309.69</v>
      </c>
    </row>
    <row r="233" spans="1:8" s="18" customFormat="1" ht="16.5" customHeight="1" x14ac:dyDescent="0.25">
      <c r="A233" s="12">
        <v>45979</v>
      </c>
      <c r="B233" s="12" t="s">
        <v>404</v>
      </c>
      <c r="C233" s="27" t="s">
        <v>99</v>
      </c>
      <c r="D233" s="16" t="s">
        <v>405</v>
      </c>
      <c r="E233" s="16" t="s">
        <v>406</v>
      </c>
      <c r="F233" s="16" t="s">
        <v>14</v>
      </c>
      <c r="G233" s="17">
        <v>1517.88</v>
      </c>
    </row>
    <row r="234" spans="1:8" s="18" customFormat="1" ht="16.5" customHeight="1" x14ac:dyDescent="0.25">
      <c r="A234" s="12">
        <v>45979</v>
      </c>
      <c r="B234" s="12" t="s">
        <v>407</v>
      </c>
      <c r="C234" s="27" t="s">
        <v>99</v>
      </c>
      <c r="D234" s="16" t="s">
        <v>142</v>
      </c>
      <c r="E234" s="16" t="s">
        <v>408</v>
      </c>
      <c r="F234" s="16" t="s">
        <v>14</v>
      </c>
      <c r="G234" s="17">
        <v>41.96</v>
      </c>
    </row>
    <row r="235" spans="1:8" s="18" customFormat="1" ht="16.5" customHeight="1" x14ac:dyDescent="0.25">
      <c r="A235" s="12">
        <v>45979</v>
      </c>
      <c r="B235" s="12" t="s">
        <v>409</v>
      </c>
      <c r="C235" s="27" t="s">
        <v>37</v>
      </c>
      <c r="D235" s="16" t="s">
        <v>410</v>
      </c>
      <c r="E235" s="16" t="s">
        <v>411</v>
      </c>
      <c r="F235" s="16" t="s">
        <v>14</v>
      </c>
      <c r="G235" s="17">
        <v>19.489999999999998</v>
      </c>
    </row>
    <row r="236" spans="1:8" s="18" customFormat="1" ht="16.5" customHeight="1" x14ac:dyDescent="0.25">
      <c r="A236" s="12">
        <v>45980</v>
      </c>
      <c r="B236" s="12" t="s">
        <v>412</v>
      </c>
      <c r="C236" s="27" t="s">
        <v>16</v>
      </c>
      <c r="D236" s="16" t="s">
        <v>413</v>
      </c>
      <c r="E236" s="16" t="s">
        <v>414</v>
      </c>
      <c r="F236" s="16" t="s">
        <v>14</v>
      </c>
      <c r="G236" s="17">
        <v>5500</v>
      </c>
    </row>
    <row r="237" spans="1:8" s="18" customFormat="1" ht="16.5" customHeight="1" x14ac:dyDescent="0.25">
      <c r="A237" s="12">
        <v>45980</v>
      </c>
      <c r="B237" s="12" t="s">
        <v>415</v>
      </c>
      <c r="C237" s="27" t="s">
        <v>159</v>
      </c>
      <c r="D237" s="16" t="s">
        <v>181</v>
      </c>
      <c r="E237" s="16" t="s">
        <v>416</v>
      </c>
      <c r="F237" s="16" t="s">
        <v>14</v>
      </c>
      <c r="G237" s="17">
        <v>1523.66</v>
      </c>
    </row>
    <row r="238" spans="1:8" s="18" customFormat="1" ht="16.5" customHeight="1" x14ac:dyDescent="0.25">
      <c r="A238" s="12">
        <v>45980</v>
      </c>
      <c r="B238" s="12" t="s">
        <v>409</v>
      </c>
      <c r="C238" s="27" t="s">
        <v>34</v>
      </c>
      <c r="D238" s="16" t="s">
        <v>410</v>
      </c>
      <c r="E238" s="16" t="s">
        <v>411</v>
      </c>
      <c r="F238" s="16" t="s">
        <v>14</v>
      </c>
      <c r="G238" s="17">
        <v>357.6</v>
      </c>
    </row>
    <row r="239" spans="1:8" s="18" customFormat="1" ht="16.5" customHeight="1" x14ac:dyDescent="0.25">
      <c r="A239" s="12">
        <v>45980</v>
      </c>
      <c r="B239" s="12" t="s">
        <v>417</v>
      </c>
      <c r="C239" s="27" t="s">
        <v>37</v>
      </c>
      <c r="D239" s="16" t="s">
        <v>47</v>
      </c>
      <c r="E239" s="16" t="s">
        <v>418</v>
      </c>
      <c r="F239" s="16" t="s">
        <v>14</v>
      </c>
      <c r="G239" s="17">
        <v>19.93</v>
      </c>
      <c r="H239" s="19"/>
    </row>
    <row r="240" spans="1:8" s="18" customFormat="1" ht="16.5" customHeight="1" x14ac:dyDescent="0.25">
      <c r="A240" s="12">
        <v>45982</v>
      </c>
      <c r="B240" s="12" t="s">
        <v>419</v>
      </c>
      <c r="C240" s="27" t="s">
        <v>303</v>
      </c>
      <c r="D240" s="16" t="s">
        <v>118</v>
      </c>
      <c r="E240" s="16" t="s">
        <v>420</v>
      </c>
      <c r="F240" s="16" t="s">
        <v>14</v>
      </c>
      <c r="G240" s="17">
        <v>2816.96</v>
      </c>
      <c r="H240" s="19"/>
    </row>
    <row r="241" spans="1:8" s="18" customFormat="1" ht="16.5" customHeight="1" x14ac:dyDescent="0.25">
      <c r="A241" s="12">
        <v>45985</v>
      </c>
      <c r="B241" s="12" t="s">
        <v>421</v>
      </c>
      <c r="C241" s="27" t="s">
        <v>34</v>
      </c>
      <c r="D241" s="16" t="s">
        <v>35</v>
      </c>
      <c r="E241" s="16" t="s">
        <v>422</v>
      </c>
      <c r="F241" s="16" t="s">
        <v>14</v>
      </c>
      <c r="G241" s="17">
        <v>341.44</v>
      </c>
      <c r="H241" s="19"/>
    </row>
    <row r="242" spans="1:8" s="18" customFormat="1" ht="16.5" customHeight="1" x14ac:dyDescent="0.25">
      <c r="A242" s="12">
        <v>45985</v>
      </c>
      <c r="B242" s="12" t="s">
        <v>421</v>
      </c>
      <c r="C242" s="27" t="s">
        <v>37</v>
      </c>
      <c r="D242" s="16" t="s">
        <v>35</v>
      </c>
      <c r="E242" s="16" t="s">
        <v>422</v>
      </c>
      <c r="F242" s="16" t="s">
        <v>14</v>
      </c>
      <c r="G242" s="17">
        <v>17.59</v>
      </c>
      <c r="H242" s="19"/>
    </row>
    <row r="243" spans="1:8" s="18" customFormat="1" ht="16.5" customHeight="1" x14ac:dyDescent="0.25">
      <c r="A243" s="12">
        <v>45985</v>
      </c>
      <c r="B243" s="12" t="s">
        <v>423</v>
      </c>
      <c r="C243" s="27" t="s">
        <v>303</v>
      </c>
      <c r="D243" s="30" t="s">
        <v>118</v>
      </c>
      <c r="E243" s="16" t="s">
        <v>420</v>
      </c>
      <c r="F243" s="16" t="s">
        <v>14</v>
      </c>
      <c r="G243" s="17">
        <v>360.71</v>
      </c>
      <c r="H243" s="19"/>
    </row>
    <row r="244" spans="1:8" s="18" customFormat="1" ht="16.5" customHeight="1" x14ac:dyDescent="0.25">
      <c r="A244" s="12">
        <v>45985</v>
      </c>
      <c r="B244" s="12" t="s">
        <v>424</v>
      </c>
      <c r="C244" s="27" t="s">
        <v>16</v>
      </c>
      <c r="D244" s="16" t="s">
        <v>425</v>
      </c>
      <c r="E244" s="16" t="s">
        <v>426</v>
      </c>
      <c r="F244" s="16" t="s">
        <v>14</v>
      </c>
      <c r="G244" s="17">
        <v>89.29</v>
      </c>
    </row>
    <row r="245" spans="1:8" s="18" customFormat="1" ht="16.5" customHeight="1" x14ac:dyDescent="0.25">
      <c r="A245" s="12">
        <v>45985</v>
      </c>
      <c r="B245" s="12" t="s">
        <v>427</v>
      </c>
      <c r="C245" s="27" t="s">
        <v>16</v>
      </c>
      <c r="D245" s="30" t="s">
        <v>428</v>
      </c>
      <c r="E245" s="16" t="s">
        <v>429</v>
      </c>
      <c r="F245" s="16" t="s">
        <v>14</v>
      </c>
      <c r="G245" s="17">
        <v>133.93</v>
      </c>
    </row>
    <row r="246" spans="1:8" s="18" customFormat="1" ht="16.5" customHeight="1" x14ac:dyDescent="0.25">
      <c r="A246" s="12">
        <v>45985</v>
      </c>
      <c r="B246" s="12" t="s">
        <v>417</v>
      </c>
      <c r="C246" s="27" t="s">
        <v>34</v>
      </c>
      <c r="D246" s="16" t="s">
        <v>47</v>
      </c>
      <c r="E246" s="16" t="s">
        <v>418</v>
      </c>
      <c r="F246" s="16" t="s">
        <v>14</v>
      </c>
      <c r="G246" s="17">
        <v>373.51</v>
      </c>
      <c r="H246" s="19"/>
    </row>
    <row r="247" spans="1:8" s="18" customFormat="1" ht="16.5" customHeight="1" x14ac:dyDescent="0.25">
      <c r="A247" s="12">
        <v>45985</v>
      </c>
      <c r="B247" s="12" t="s">
        <v>430</v>
      </c>
      <c r="C247" s="27" t="s">
        <v>37</v>
      </c>
      <c r="D247" s="16" t="s">
        <v>431</v>
      </c>
      <c r="E247" s="16" t="s">
        <v>432</v>
      </c>
      <c r="F247" s="16" t="s">
        <v>14</v>
      </c>
      <c r="G247" s="17">
        <v>18.920000000000002</v>
      </c>
      <c r="H247" s="19"/>
    </row>
    <row r="248" spans="1:8" s="18" customFormat="1" ht="16.5" customHeight="1" x14ac:dyDescent="0.25">
      <c r="A248" s="12">
        <v>45986</v>
      </c>
      <c r="B248" s="12" t="s">
        <v>433</v>
      </c>
      <c r="C248" s="27" t="s">
        <v>30</v>
      </c>
      <c r="D248" s="16" t="s">
        <v>434</v>
      </c>
      <c r="E248" s="16" t="s">
        <v>435</v>
      </c>
      <c r="F248" s="16" t="s">
        <v>14</v>
      </c>
      <c r="G248" s="17">
        <v>80.36</v>
      </c>
      <c r="H248" s="19"/>
    </row>
    <row r="249" spans="1:8" s="18" customFormat="1" ht="16.5" customHeight="1" x14ac:dyDescent="0.25">
      <c r="A249" s="33">
        <v>45987</v>
      </c>
      <c r="B249" s="34" t="s">
        <v>436</v>
      </c>
      <c r="C249" s="27" t="s">
        <v>23</v>
      </c>
      <c r="D249" s="35" t="s">
        <v>229</v>
      </c>
      <c r="E249" s="36" t="s">
        <v>437</v>
      </c>
      <c r="F249" s="16" t="s">
        <v>14</v>
      </c>
      <c r="G249" s="37">
        <v>25000</v>
      </c>
    </row>
    <row r="250" spans="1:8" s="18" customFormat="1" ht="16.5" customHeight="1" x14ac:dyDescent="0.25">
      <c r="A250" s="12">
        <v>45989</v>
      </c>
      <c r="B250" s="12" t="s">
        <v>438</v>
      </c>
      <c r="C250" s="14" t="s">
        <v>53</v>
      </c>
      <c r="D250" s="16" t="s">
        <v>439</v>
      </c>
      <c r="E250" s="16" t="s">
        <v>440</v>
      </c>
      <c r="F250" s="16" t="s">
        <v>14</v>
      </c>
      <c r="G250" s="17">
        <v>1000</v>
      </c>
    </row>
    <row r="251" spans="1:8" s="18" customFormat="1" ht="16.5" customHeight="1" x14ac:dyDescent="0.25">
      <c r="A251" s="12">
        <v>45989</v>
      </c>
      <c r="B251" s="12" t="s">
        <v>441</v>
      </c>
      <c r="C251" s="27" t="s">
        <v>303</v>
      </c>
      <c r="D251" s="16" t="s">
        <v>442</v>
      </c>
      <c r="E251" s="16" t="s">
        <v>443</v>
      </c>
      <c r="F251" s="16" t="s">
        <v>14</v>
      </c>
      <c r="G251" s="17">
        <v>900</v>
      </c>
    </row>
    <row r="252" spans="1:8" s="18" customFormat="1" ht="16.5" customHeight="1" x14ac:dyDescent="0.25">
      <c r="A252" s="12">
        <v>45989</v>
      </c>
      <c r="B252" s="12" t="s">
        <v>444</v>
      </c>
      <c r="C252" s="27" t="s">
        <v>16</v>
      </c>
      <c r="D252" s="16" t="s">
        <v>113</v>
      </c>
      <c r="E252" s="16" t="s">
        <v>445</v>
      </c>
      <c r="F252" s="16" t="s">
        <v>14</v>
      </c>
      <c r="G252" s="17">
        <v>617</v>
      </c>
    </row>
    <row r="253" spans="1:8" s="18" customFormat="1" ht="16.5" customHeight="1" x14ac:dyDescent="0.25">
      <c r="A253" s="12">
        <v>45989</v>
      </c>
      <c r="B253" s="12" t="s">
        <v>446</v>
      </c>
      <c r="C253" s="27" t="s">
        <v>16</v>
      </c>
      <c r="D253" s="16" t="s">
        <v>110</v>
      </c>
      <c r="E253" s="16" t="s">
        <v>447</v>
      </c>
      <c r="F253" s="16" t="s">
        <v>14</v>
      </c>
      <c r="G253" s="17">
        <v>550</v>
      </c>
    </row>
    <row r="254" spans="1:8" s="18" customFormat="1" ht="16.5" customHeight="1" x14ac:dyDescent="0.25">
      <c r="A254" s="12">
        <v>45989</v>
      </c>
      <c r="B254" s="12" t="s">
        <v>430</v>
      </c>
      <c r="C254" s="27" t="s">
        <v>34</v>
      </c>
      <c r="D254" s="16" t="s">
        <v>431</v>
      </c>
      <c r="E254" s="16" t="s">
        <v>432</v>
      </c>
      <c r="F254" s="16" t="s">
        <v>14</v>
      </c>
      <c r="G254" s="17">
        <v>340.13</v>
      </c>
      <c r="H254" s="19"/>
    </row>
    <row r="255" spans="1:8" s="18" customFormat="1" ht="16.5" customHeight="1" x14ac:dyDescent="0.25">
      <c r="A255" s="12">
        <v>45992</v>
      </c>
      <c r="B255" s="12" t="s">
        <v>448</v>
      </c>
      <c r="C255" s="27" t="s">
        <v>303</v>
      </c>
      <c r="D255" s="16" t="s">
        <v>118</v>
      </c>
      <c r="E255" s="16" t="s">
        <v>449</v>
      </c>
      <c r="F255" s="16" t="s">
        <v>14</v>
      </c>
      <c r="G255" s="17">
        <v>89.29</v>
      </c>
      <c r="H255" s="19"/>
    </row>
    <row r="256" spans="1:8" s="18" customFormat="1" ht="16.5" customHeight="1" x14ac:dyDescent="0.25">
      <c r="A256" s="12">
        <v>45992</v>
      </c>
      <c r="B256" s="12" t="s">
        <v>450</v>
      </c>
      <c r="C256" s="29" t="s">
        <v>303</v>
      </c>
      <c r="D256" s="16" t="s">
        <v>451</v>
      </c>
      <c r="E256" s="16" t="s">
        <v>452</v>
      </c>
      <c r="F256" s="16" t="s">
        <v>14</v>
      </c>
      <c r="G256" s="17">
        <v>229.46</v>
      </c>
    </row>
    <row r="257" spans="1:8" s="18" customFormat="1" ht="16.5" customHeight="1" x14ac:dyDescent="0.25">
      <c r="A257" s="12">
        <v>45992</v>
      </c>
      <c r="B257" s="12" t="s">
        <v>453</v>
      </c>
      <c r="C257" s="29" t="s">
        <v>303</v>
      </c>
      <c r="D257" s="16" t="s">
        <v>454</v>
      </c>
      <c r="E257" s="16" t="s">
        <v>455</v>
      </c>
      <c r="F257" s="16" t="s">
        <v>14</v>
      </c>
      <c r="G257" s="17">
        <v>419.64</v>
      </c>
    </row>
    <row r="258" spans="1:8" s="18" customFormat="1" ht="16.5" customHeight="1" x14ac:dyDescent="0.25">
      <c r="A258" s="12">
        <v>45992</v>
      </c>
      <c r="B258" s="31" t="s">
        <v>456</v>
      </c>
      <c r="C258" s="29" t="s">
        <v>303</v>
      </c>
      <c r="D258" s="16" t="s">
        <v>323</v>
      </c>
      <c r="E258" s="16" t="s">
        <v>457</v>
      </c>
      <c r="F258" s="16" t="s">
        <v>14</v>
      </c>
      <c r="G258" s="17">
        <v>428.75</v>
      </c>
    </row>
    <row r="259" spans="1:8" s="18" customFormat="1" ht="16.5" customHeight="1" x14ac:dyDescent="0.25">
      <c r="A259" s="12">
        <v>45992</v>
      </c>
      <c r="B259" s="31" t="s">
        <v>458</v>
      </c>
      <c r="C259" s="29" t="s">
        <v>303</v>
      </c>
      <c r="D259" s="16" t="s">
        <v>459</v>
      </c>
      <c r="E259" s="16" t="s">
        <v>460</v>
      </c>
      <c r="F259" s="16" t="s">
        <v>14</v>
      </c>
      <c r="G259" s="17">
        <v>29.46</v>
      </c>
      <c r="H259" s="19"/>
    </row>
    <row r="260" spans="1:8" s="18" customFormat="1" ht="16.5" customHeight="1" x14ac:dyDescent="0.25">
      <c r="A260" s="12">
        <v>45992</v>
      </c>
      <c r="B260" s="12" t="s">
        <v>461</v>
      </c>
      <c r="C260" s="27" t="s">
        <v>303</v>
      </c>
      <c r="D260" s="16" t="s">
        <v>462</v>
      </c>
      <c r="E260" s="16" t="s">
        <v>463</v>
      </c>
      <c r="F260" s="16" t="s">
        <v>14</v>
      </c>
      <c r="G260" s="17">
        <v>127.68</v>
      </c>
      <c r="H260" s="19"/>
    </row>
    <row r="261" spans="1:8" s="18" customFormat="1" ht="16.5" customHeight="1" x14ac:dyDescent="0.25">
      <c r="A261" s="12">
        <v>45992</v>
      </c>
      <c r="B261" s="12" t="s">
        <v>464</v>
      </c>
      <c r="C261" s="27" t="s">
        <v>16</v>
      </c>
      <c r="D261" s="16" t="s">
        <v>465</v>
      </c>
      <c r="E261" s="16" t="s">
        <v>466</v>
      </c>
      <c r="F261" s="16" t="s">
        <v>14</v>
      </c>
      <c r="G261" s="17">
        <v>129.46</v>
      </c>
      <c r="H261" s="19"/>
    </row>
    <row r="262" spans="1:8" s="18" customFormat="1" ht="16.5" customHeight="1" x14ac:dyDescent="0.25">
      <c r="A262" s="12">
        <v>45992</v>
      </c>
      <c r="B262" s="12" t="s">
        <v>467</v>
      </c>
      <c r="C262" s="27" t="s">
        <v>16</v>
      </c>
      <c r="D262" s="16" t="s">
        <v>26</v>
      </c>
      <c r="E262" s="16" t="s">
        <v>468</v>
      </c>
      <c r="F262" s="16" t="s">
        <v>14</v>
      </c>
      <c r="G262" s="17">
        <v>300</v>
      </c>
    </row>
    <row r="263" spans="1:8" s="18" customFormat="1" ht="16.5" customHeight="1" x14ac:dyDescent="0.25">
      <c r="A263" s="12">
        <v>45992</v>
      </c>
      <c r="B263" s="12" t="s">
        <v>469</v>
      </c>
      <c r="C263" s="27" t="s">
        <v>16</v>
      </c>
      <c r="D263" s="30" t="s">
        <v>26</v>
      </c>
      <c r="E263" s="16" t="s">
        <v>470</v>
      </c>
      <c r="F263" s="16" t="s">
        <v>14</v>
      </c>
      <c r="G263" s="17">
        <v>2600</v>
      </c>
    </row>
    <row r="264" spans="1:8" s="18" customFormat="1" ht="16.5" customHeight="1" x14ac:dyDescent="0.25">
      <c r="A264" s="12">
        <v>45992</v>
      </c>
      <c r="B264" s="12" t="s">
        <v>471</v>
      </c>
      <c r="C264" s="27" t="s">
        <v>16</v>
      </c>
      <c r="D264" s="16" t="s">
        <v>364</v>
      </c>
      <c r="E264" s="16" t="s">
        <v>472</v>
      </c>
      <c r="F264" s="16" t="s">
        <v>14</v>
      </c>
      <c r="G264" s="17">
        <v>214.28</v>
      </c>
    </row>
    <row r="265" spans="1:8" s="18" customFormat="1" ht="16.5" customHeight="1" x14ac:dyDescent="0.25">
      <c r="A265" s="12">
        <v>45992</v>
      </c>
      <c r="B265" s="12" t="s">
        <v>473</v>
      </c>
      <c r="C265" s="27" t="s">
        <v>16</v>
      </c>
      <c r="D265" s="30" t="s">
        <v>118</v>
      </c>
      <c r="E265" s="16" t="s">
        <v>474</v>
      </c>
      <c r="F265" s="16" t="s">
        <v>14</v>
      </c>
      <c r="G265" s="17">
        <v>26.79</v>
      </c>
    </row>
    <row r="266" spans="1:8" s="18" customFormat="1" ht="16.5" customHeight="1" x14ac:dyDescent="0.25">
      <c r="A266" s="12">
        <v>45992</v>
      </c>
      <c r="B266" s="12" t="s">
        <v>475</v>
      </c>
      <c r="C266" s="27" t="s">
        <v>16</v>
      </c>
      <c r="D266" s="16" t="s">
        <v>110</v>
      </c>
      <c r="E266" s="16" t="s">
        <v>476</v>
      </c>
      <c r="F266" s="16" t="s">
        <v>14</v>
      </c>
      <c r="G266" s="17">
        <v>260</v>
      </c>
    </row>
    <row r="267" spans="1:8" s="18" customFormat="1" ht="16.5" customHeight="1" x14ac:dyDescent="0.25">
      <c r="A267" s="12">
        <v>45992</v>
      </c>
      <c r="B267" s="12" t="s">
        <v>477</v>
      </c>
      <c r="C267" s="27" t="s">
        <v>30</v>
      </c>
      <c r="D267" s="16" t="s">
        <v>478</v>
      </c>
      <c r="E267" s="16" t="s">
        <v>479</v>
      </c>
      <c r="F267" s="16" t="s">
        <v>14</v>
      </c>
      <c r="G267" s="17">
        <v>432.14</v>
      </c>
    </row>
    <row r="268" spans="1:8" s="18" customFormat="1" ht="16.5" customHeight="1" x14ac:dyDescent="0.25">
      <c r="A268" s="12">
        <v>45992</v>
      </c>
      <c r="B268" s="12" t="s">
        <v>480</v>
      </c>
      <c r="C268" s="27" t="s">
        <v>30</v>
      </c>
      <c r="D268" s="30" t="s">
        <v>118</v>
      </c>
      <c r="E268" s="16" t="s">
        <v>481</v>
      </c>
      <c r="F268" s="16" t="s">
        <v>14</v>
      </c>
      <c r="G268" s="17">
        <v>75.89</v>
      </c>
    </row>
    <row r="269" spans="1:8" s="18" customFormat="1" ht="16.5" customHeight="1" x14ac:dyDescent="0.25">
      <c r="A269" s="33">
        <v>45992</v>
      </c>
      <c r="B269" s="34" t="s">
        <v>482</v>
      </c>
      <c r="C269" s="27" t="s">
        <v>43</v>
      </c>
      <c r="D269" s="35" t="s">
        <v>483</v>
      </c>
      <c r="E269" s="36" t="s">
        <v>484</v>
      </c>
      <c r="F269" s="16" t="s">
        <v>14</v>
      </c>
      <c r="G269" s="37">
        <v>731.7</v>
      </c>
    </row>
    <row r="270" spans="1:8" s="18" customFormat="1" ht="16.5" customHeight="1" x14ac:dyDescent="0.25">
      <c r="A270" s="12">
        <v>45992</v>
      </c>
      <c r="B270" s="12" t="s">
        <v>485</v>
      </c>
      <c r="C270" s="27" t="s">
        <v>43</v>
      </c>
      <c r="D270" s="16" t="s">
        <v>486</v>
      </c>
      <c r="E270" s="16" t="s">
        <v>487</v>
      </c>
      <c r="F270" s="16" t="s">
        <v>14</v>
      </c>
      <c r="G270" s="17">
        <v>241.61</v>
      </c>
    </row>
    <row r="271" spans="1:8" s="18" customFormat="1" ht="16.2" customHeight="1" x14ac:dyDescent="0.25">
      <c r="A271" s="12">
        <v>45992</v>
      </c>
      <c r="B271" s="12" t="s">
        <v>488</v>
      </c>
      <c r="C271" s="27" t="s">
        <v>43</v>
      </c>
      <c r="D271" s="16" t="s">
        <v>229</v>
      </c>
      <c r="E271" s="16" t="s">
        <v>489</v>
      </c>
      <c r="F271" s="16" t="s">
        <v>14</v>
      </c>
      <c r="G271" s="17">
        <v>29322.45</v>
      </c>
    </row>
    <row r="272" spans="1:8" s="18" customFormat="1" ht="16.5" customHeight="1" x14ac:dyDescent="0.25">
      <c r="A272" s="12">
        <v>45992</v>
      </c>
      <c r="B272" s="12" t="s">
        <v>490</v>
      </c>
      <c r="C272" s="27" t="s">
        <v>43</v>
      </c>
      <c r="D272" s="16" t="s">
        <v>491</v>
      </c>
      <c r="E272" s="16" t="s">
        <v>492</v>
      </c>
      <c r="F272" s="16" t="s">
        <v>14</v>
      </c>
      <c r="G272" s="17">
        <v>2138.09</v>
      </c>
    </row>
    <row r="273" spans="1:7" s="18" customFormat="1" ht="16.5" customHeight="1" x14ac:dyDescent="0.25">
      <c r="A273" s="12">
        <v>45992</v>
      </c>
      <c r="B273" s="12" t="s">
        <v>493</v>
      </c>
      <c r="C273" s="27" t="s">
        <v>43</v>
      </c>
      <c r="D273" s="16" t="s">
        <v>494</v>
      </c>
      <c r="E273" s="16" t="s">
        <v>495</v>
      </c>
      <c r="F273" s="16" t="s">
        <v>14</v>
      </c>
      <c r="G273" s="17">
        <v>313.39</v>
      </c>
    </row>
    <row r="274" spans="1:7" s="18" customFormat="1" ht="16.5" customHeight="1" x14ac:dyDescent="0.25">
      <c r="A274" s="12">
        <v>45992</v>
      </c>
      <c r="B274" s="12" t="s">
        <v>496</v>
      </c>
      <c r="C274" s="27" t="s">
        <v>34</v>
      </c>
      <c r="D274" s="16" t="s">
        <v>47</v>
      </c>
      <c r="E274" s="16" t="s">
        <v>497</v>
      </c>
      <c r="F274" s="16" t="s">
        <v>14</v>
      </c>
      <c r="G274" s="17">
        <v>357.7</v>
      </c>
    </row>
    <row r="275" spans="1:7" s="18" customFormat="1" ht="16.5" customHeight="1" x14ac:dyDescent="0.25">
      <c r="A275" s="12">
        <v>45992</v>
      </c>
      <c r="B275" s="12" t="s">
        <v>496</v>
      </c>
      <c r="C275" s="27" t="s">
        <v>37</v>
      </c>
      <c r="D275" s="16" t="s">
        <v>47</v>
      </c>
      <c r="E275" s="16" t="s">
        <v>497</v>
      </c>
      <c r="F275" s="16" t="s">
        <v>14</v>
      </c>
      <c r="G275" s="17">
        <v>19.440000000000001</v>
      </c>
    </row>
    <row r="276" spans="1:7" s="18" customFormat="1" ht="16.5" customHeight="1" x14ac:dyDescent="0.25">
      <c r="A276" s="12">
        <v>45993</v>
      </c>
      <c r="B276" s="12" t="s">
        <v>498</v>
      </c>
      <c r="C276" s="27" t="s">
        <v>303</v>
      </c>
      <c r="D276" s="30" t="s">
        <v>375</v>
      </c>
      <c r="E276" s="16" t="s">
        <v>499</v>
      </c>
      <c r="F276" s="16" t="s">
        <v>14</v>
      </c>
      <c r="G276" s="17">
        <v>223.21</v>
      </c>
    </row>
    <row r="277" spans="1:7" s="18" customFormat="1" ht="16.5" customHeight="1" x14ac:dyDescent="0.25">
      <c r="A277" s="12">
        <v>45993</v>
      </c>
      <c r="B277" s="12" t="s">
        <v>500</v>
      </c>
      <c r="C277" s="27" t="s">
        <v>303</v>
      </c>
      <c r="D277" s="16" t="s">
        <v>501</v>
      </c>
      <c r="E277" s="16" t="s">
        <v>502</v>
      </c>
      <c r="F277" s="16" t="s">
        <v>14</v>
      </c>
      <c r="G277" s="17">
        <v>2256.25</v>
      </c>
    </row>
    <row r="278" spans="1:7" s="18" customFormat="1" ht="16.5" customHeight="1" x14ac:dyDescent="0.25">
      <c r="A278" s="12">
        <v>45993</v>
      </c>
      <c r="B278" s="12" t="s">
        <v>503</v>
      </c>
      <c r="C278" s="27" t="s">
        <v>43</v>
      </c>
      <c r="D278" s="16" t="s">
        <v>504</v>
      </c>
      <c r="E278" s="16" t="s">
        <v>484</v>
      </c>
      <c r="F278" s="16" t="s">
        <v>14</v>
      </c>
      <c r="G278" s="17">
        <v>1476.44</v>
      </c>
    </row>
    <row r="279" spans="1:7" s="18" customFormat="1" ht="16.5" customHeight="1" x14ac:dyDescent="0.25">
      <c r="A279" s="12">
        <v>45993</v>
      </c>
      <c r="B279" s="12" t="s">
        <v>505</v>
      </c>
      <c r="C279" s="29" t="s">
        <v>43</v>
      </c>
      <c r="D279" s="16" t="s">
        <v>506</v>
      </c>
      <c r="E279" s="16" t="s">
        <v>484</v>
      </c>
      <c r="F279" s="16" t="s">
        <v>14</v>
      </c>
      <c r="G279" s="17">
        <v>490.18</v>
      </c>
    </row>
    <row r="280" spans="1:7" s="18" customFormat="1" ht="13.8" x14ac:dyDescent="0.25">
      <c r="A280" s="12">
        <v>45993</v>
      </c>
      <c r="B280" s="12" t="s">
        <v>507</v>
      </c>
      <c r="C280" s="27" t="s">
        <v>43</v>
      </c>
      <c r="D280" s="16" t="s">
        <v>44</v>
      </c>
      <c r="E280" s="16" t="s">
        <v>508</v>
      </c>
      <c r="F280" s="16" t="s">
        <v>14</v>
      </c>
      <c r="G280" s="17">
        <v>42.95</v>
      </c>
    </row>
    <row r="281" spans="1:7" s="18" customFormat="1" ht="16.5" customHeight="1" x14ac:dyDescent="0.25">
      <c r="A281" s="12">
        <v>45993</v>
      </c>
      <c r="B281" s="12" t="s">
        <v>509</v>
      </c>
      <c r="C281" s="27" t="s">
        <v>57</v>
      </c>
      <c r="D281" s="16" t="s">
        <v>58</v>
      </c>
      <c r="E281" s="16" t="s">
        <v>510</v>
      </c>
      <c r="F281" s="16" t="s">
        <v>14</v>
      </c>
      <c r="G281" s="17">
        <v>428.57</v>
      </c>
    </row>
    <row r="282" spans="1:7" s="18" customFormat="1" ht="16.5" customHeight="1" x14ac:dyDescent="0.25">
      <c r="A282" s="33">
        <v>45994</v>
      </c>
      <c r="B282" s="34" t="s">
        <v>511</v>
      </c>
      <c r="C282" s="27" t="s">
        <v>303</v>
      </c>
      <c r="D282" s="35" t="s">
        <v>304</v>
      </c>
      <c r="E282" s="36" t="s">
        <v>512</v>
      </c>
      <c r="F282" s="16" t="s">
        <v>14</v>
      </c>
      <c r="G282" s="37">
        <v>618.33000000000004</v>
      </c>
    </row>
    <row r="283" spans="1:7" s="18" customFormat="1" ht="16.5" customHeight="1" x14ac:dyDescent="0.25">
      <c r="A283" s="12">
        <v>45994</v>
      </c>
      <c r="B283" s="12" t="s">
        <v>513</v>
      </c>
      <c r="C283" s="27" t="s">
        <v>99</v>
      </c>
      <c r="D283" s="16" t="s">
        <v>44</v>
      </c>
      <c r="E283" s="16" t="s">
        <v>514</v>
      </c>
      <c r="F283" s="16" t="s">
        <v>14</v>
      </c>
      <c r="G283" s="17">
        <v>190.45</v>
      </c>
    </row>
    <row r="284" spans="1:7" s="18" customFormat="1" ht="16.5" customHeight="1" x14ac:dyDescent="0.25">
      <c r="A284" s="12">
        <v>45995</v>
      </c>
      <c r="B284" s="12" t="s">
        <v>515</v>
      </c>
      <c r="C284" s="27" t="s">
        <v>99</v>
      </c>
      <c r="D284" s="16" t="s">
        <v>145</v>
      </c>
      <c r="E284" s="16" t="s">
        <v>516</v>
      </c>
      <c r="F284" s="16" t="s">
        <v>14</v>
      </c>
      <c r="G284" s="17">
        <v>96.43</v>
      </c>
    </row>
    <row r="285" spans="1:7" s="18" customFormat="1" ht="16.5" customHeight="1" x14ac:dyDescent="0.25">
      <c r="A285" s="12">
        <v>45995</v>
      </c>
      <c r="B285" s="12" t="s">
        <v>517</v>
      </c>
      <c r="C285" s="27" t="s">
        <v>30</v>
      </c>
      <c r="D285" s="16" t="s">
        <v>235</v>
      </c>
      <c r="E285" s="16" t="s">
        <v>518</v>
      </c>
      <c r="F285" s="16" t="s">
        <v>14</v>
      </c>
      <c r="G285" s="17">
        <v>398.44</v>
      </c>
    </row>
    <row r="286" spans="1:7" s="18" customFormat="1" ht="16.5" customHeight="1" x14ac:dyDescent="0.25">
      <c r="A286" s="12">
        <v>45995</v>
      </c>
      <c r="B286" s="12" t="s">
        <v>519</v>
      </c>
      <c r="C286" s="27" t="s">
        <v>43</v>
      </c>
      <c r="D286" s="16" t="s">
        <v>520</v>
      </c>
      <c r="E286" s="16" t="s">
        <v>521</v>
      </c>
      <c r="F286" s="16" t="s">
        <v>14</v>
      </c>
      <c r="G286" s="17">
        <v>407.14</v>
      </c>
    </row>
    <row r="287" spans="1:7" s="18" customFormat="1" ht="16.5" customHeight="1" x14ac:dyDescent="0.25">
      <c r="A287" s="12">
        <v>45995</v>
      </c>
      <c r="B287" s="12" t="s">
        <v>522</v>
      </c>
      <c r="C287" s="27" t="s">
        <v>43</v>
      </c>
      <c r="D287" s="16" t="s">
        <v>523</v>
      </c>
      <c r="E287" s="16" t="s">
        <v>524</v>
      </c>
      <c r="F287" s="16" t="s">
        <v>14</v>
      </c>
      <c r="G287" s="17">
        <v>444.5</v>
      </c>
    </row>
    <row r="288" spans="1:7" s="18" customFormat="1" ht="16.5" customHeight="1" x14ac:dyDescent="0.25">
      <c r="A288" s="12">
        <v>45996</v>
      </c>
      <c r="B288" s="12" t="s">
        <v>525</v>
      </c>
      <c r="C288" s="27" t="s">
        <v>303</v>
      </c>
      <c r="D288" s="30" t="s">
        <v>326</v>
      </c>
      <c r="E288" s="16" t="s">
        <v>526</v>
      </c>
      <c r="F288" s="16" t="s">
        <v>14</v>
      </c>
      <c r="G288" s="17">
        <v>64.290000000000006</v>
      </c>
    </row>
    <row r="289" spans="1:8" s="18" customFormat="1" ht="16.5" customHeight="1" x14ac:dyDescent="0.25">
      <c r="A289" s="12">
        <v>45996</v>
      </c>
      <c r="B289" s="12" t="s">
        <v>527</v>
      </c>
      <c r="C289" s="27" t="s">
        <v>303</v>
      </c>
      <c r="D289" s="16" t="s">
        <v>326</v>
      </c>
      <c r="E289" s="16" t="s">
        <v>528</v>
      </c>
      <c r="F289" s="16" t="s">
        <v>14</v>
      </c>
      <c r="G289" s="17">
        <v>142.86000000000001</v>
      </c>
    </row>
    <row r="290" spans="1:8" s="18" customFormat="1" ht="16.5" customHeight="1" x14ac:dyDescent="0.25">
      <c r="A290" s="12">
        <v>45996</v>
      </c>
      <c r="B290" s="12" t="s">
        <v>529</v>
      </c>
      <c r="C290" s="27" t="s">
        <v>16</v>
      </c>
      <c r="D290" s="30" t="s">
        <v>530</v>
      </c>
      <c r="E290" s="16" t="s">
        <v>531</v>
      </c>
      <c r="F290" s="16" t="s">
        <v>14</v>
      </c>
      <c r="G290" s="17">
        <v>1600</v>
      </c>
    </row>
    <row r="291" spans="1:8" s="18" customFormat="1" ht="16.5" customHeight="1" x14ac:dyDescent="0.25">
      <c r="A291" s="12">
        <v>45996</v>
      </c>
      <c r="B291" s="12" t="s">
        <v>532</v>
      </c>
      <c r="C291" s="27" t="s">
        <v>43</v>
      </c>
      <c r="D291" s="30" t="s">
        <v>145</v>
      </c>
      <c r="E291" s="16" t="s">
        <v>533</v>
      </c>
      <c r="F291" s="16" t="s">
        <v>14</v>
      </c>
      <c r="G291" s="17">
        <v>154.46</v>
      </c>
    </row>
    <row r="292" spans="1:8" s="18" customFormat="1" ht="16.5" customHeight="1" x14ac:dyDescent="0.25">
      <c r="A292" s="12">
        <v>45997</v>
      </c>
      <c r="B292" s="12" t="s">
        <v>534</v>
      </c>
      <c r="C292" s="27" t="s">
        <v>43</v>
      </c>
      <c r="D292" s="16" t="s">
        <v>61</v>
      </c>
      <c r="E292" s="16" t="s">
        <v>535</v>
      </c>
      <c r="F292" s="16" t="s">
        <v>14</v>
      </c>
      <c r="G292" s="17">
        <v>50</v>
      </c>
    </row>
    <row r="293" spans="1:8" s="18" customFormat="1" ht="16.5" customHeight="1" x14ac:dyDescent="0.25">
      <c r="A293" s="12">
        <v>45997</v>
      </c>
      <c r="B293" s="12" t="s">
        <v>536</v>
      </c>
      <c r="C293" s="27" t="s">
        <v>43</v>
      </c>
      <c r="D293" s="30" t="s">
        <v>537</v>
      </c>
      <c r="E293" s="16" t="s">
        <v>484</v>
      </c>
      <c r="F293" s="16" t="s">
        <v>14</v>
      </c>
      <c r="G293" s="17">
        <v>1780.36</v>
      </c>
    </row>
    <row r="294" spans="1:8" s="18" customFormat="1" ht="16.5" customHeight="1" x14ac:dyDescent="0.25">
      <c r="A294" s="12">
        <v>45999</v>
      </c>
      <c r="B294" s="12" t="s">
        <v>538</v>
      </c>
      <c r="C294" s="27" t="s">
        <v>34</v>
      </c>
      <c r="D294" s="16" t="s">
        <v>539</v>
      </c>
      <c r="E294" s="16" t="s">
        <v>540</v>
      </c>
      <c r="F294" s="16" t="s">
        <v>14</v>
      </c>
      <c r="G294" s="17">
        <v>334.03</v>
      </c>
      <c r="H294" s="19"/>
    </row>
    <row r="295" spans="1:8" s="18" customFormat="1" ht="16.5" customHeight="1" x14ac:dyDescent="0.25">
      <c r="A295" s="12">
        <v>45999</v>
      </c>
      <c r="B295" s="12" t="s">
        <v>538</v>
      </c>
      <c r="C295" s="27" t="s">
        <v>37</v>
      </c>
      <c r="D295" s="30" t="s">
        <v>539</v>
      </c>
      <c r="E295" s="16" t="s">
        <v>540</v>
      </c>
      <c r="F295" s="16" t="s">
        <v>14</v>
      </c>
      <c r="G295" s="17">
        <v>17.89</v>
      </c>
      <c r="H295" s="19"/>
    </row>
    <row r="296" spans="1:8" s="18" customFormat="1" ht="16.5" customHeight="1" x14ac:dyDescent="0.25">
      <c r="A296" s="12">
        <v>45999</v>
      </c>
      <c r="B296" s="12" t="s">
        <v>541</v>
      </c>
      <c r="C296" s="27" t="s">
        <v>99</v>
      </c>
      <c r="D296" s="30" t="s">
        <v>542</v>
      </c>
      <c r="E296" s="16" t="s">
        <v>543</v>
      </c>
      <c r="F296" s="16" t="s">
        <v>14</v>
      </c>
      <c r="G296" s="17">
        <v>22.32</v>
      </c>
    </row>
    <row r="297" spans="1:8" s="18" customFormat="1" ht="16.5" customHeight="1" x14ac:dyDescent="0.25">
      <c r="A297" s="12">
        <v>45999</v>
      </c>
      <c r="B297" s="12" t="s">
        <v>544</v>
      </c>
      <c r="C297" s="27" t="s">
        <v>99</v>
      </c>
      <c r="D297" s="16" t="s">
        <v>142</v>
      </c>
      <c r="E297" s="16" t="s">
        <v>545</v>
      </c>
      <c r="F297" s="16" t="s">
        <v>14</v>
      </c>
      <c r="G297" s="17">
        <v>43.75</v>
      </c>
    </row>
    <row r="298" spans="1:8" s="18" customFormat="1" ht="16.5" customHeight="1" x14ac:dyDescent="0.25">
      <c r="A298" s="12">
        <v>46000</v>
      </c>
      <c r="B298" s="12" t="s">
        <v>546</v>
      </c>
      <c r="C298" s="27" t="s">
        <v>99</v>
      </c>
      <c r="D298" s="30" t="s">
        <v>44</v>
      </c>
      <c r="E298" s="16" t="s">
        <v>547</v>
      </c>
      <c r="F298" s="16" t="s">
        <v>14</v>
      </c>
      <c r="G298" s="17">
        <v>62.32</v>
      </c>
    </row>
    <row r="299" spans="1:8" s="18" customFormat="1" ht="16.5" customHeight="1" x14ac:dyDescent="0.25">
      <c r="A299" s="12">
        <v>46002</v>
      </c>
      <c r="B299" s="12" t="s">
        <v>548</v>
      </c>
      <c r="C299" s="27" t="s">
        <v>16</v>
      </c>
      <c r="D299" s="16" t="s">
        <v>413</v>
      </c>
      <c r="E299" s="16" t="s">
        <v>549</v>
      </c>
      <c r="F299" s="16" t="s">
        <v>14</v>
      </c>
      <c r="G299" s="17">
        <v>1651.79</v>
      </c>
    </row>
    <row r="300" spans="1:8" s="18" customFormat="1" ht="16.5" customHeight="1" x14ac:dyDescent="0.25">
      <c r="A300" s="12">
        <v>46004</v>
      </c>
      <c r="B300" s="12" t="s">
        <v>550</v>
      </c>
      <c r="C300" s="27" t="s">
        <v>303</v>
      </c>
      <c r="D300" s="16" t="s">
        <v>551</v>
      </c>
      <c r="E300" s="16" t="s">
        <v>552</v>
      </c>
      <c r="F300" s="16" t="s">
        <v>14</v>
      </c>
      <c r="G300" s="17">
        <v>80.36</v>
      </c>
    </row>
    <row r="301" spans="1:8" s="18" customFormat="1" ht="16.5" customHeight="1" x14ac:dyDescent="0.25">
      <c r="A301" s="12">
        <v>46005</v>
      </c>
      <c r="B301" s="12" t="s">
        <v>553</v>
      </c>
      <c r="C301" s="27" t="s">
        <v>330</v>
      </c>
      <c r="D301" s="30" t="s">
        <v>554</v>
      </c>
      <c r="E301" s="16" t="s">
        <v>555</v>
      </c>
      <c r="F301" s="16" t="s">
        <v>14</v>
      </c>
      <c r="G301" s="17">
        <v>500</v>
      </c>
    </row>
    <row r="302" spans="1:8" s="18" customFormat="1" ht="16.5" customHeight="1" x14ac:dyDescent="0.25">
      <c r="A302" s="12">
        <v>46005</v>
      </c>
      <c r="B302" s="12" t="s">
        <v>556</v>
      </c>
      <c r="C302" s="27" t="s">
        <v>16</v>
      </c>
      <c r="D302" s="16" t="s">
        <v>557</v>
      </c>
      <c r="E302" s="38" t="s">
        <v>558</v>
      </c>
      <c r="F302" s="16" t="s">
        <v>14</v>
      </c>
      <c r="G302" s="17">
        <v>1850</v>
      </c>
    </row>
    <row r="303" spans="1:8" s="18" customFormat="1" ht="16.5" customHeight="1" x14ac:dyDescent="0.25">
      <c r="A303" s="12">
        <v>46006</v>
      </c>
      <c r="B303" s="12" t="s">
        <v>218</v>
      </c>
      <c r="C303" s="27" t="s">
        <v>23</v>
      </c>
      <c r="D303" s="30" t="s">
        <v>24</v>
      </c>
      <c r="E303" s="16" t="s">
        <v>129</v>
      </c>
      <c r="F303" s="16" t="s">
        <v>14</v>
      </c>
      <c r="G303" s="17">
        <v>6600</v>
      </c>
    </row>
    <row r="304" spans="1:8" s="18" customFormat="1" ht="16.5" customHeight="1" x14ac:dyDescent="0.25">
      <c r="A304" s="12">
        <v>46006</v>
      </c>
      <c r="B304" s="12" t="s">
        <v>218</v>
      </c>
      <c r="C304" s="27" t="s">
        <v>23</v>
      </c>
      <c r="D304" s="30" t="s">
        <v>26</v>
      </c>
      <c r="E304" s="16" t="s">
        <v>129</v>
      </c>
      <c r="F304" s="16" t="s">
        <v>14</v>
      </c>
      <c r="G304" s="17">
        <v>8850</v>
      </c>
    </row>
    <row r="305" spans="1:7" s="18" customFormat="1" ht="16.5" customHeight="1" x14ac:dyDescent="0.25">
      <c r="A305" s="12">
        <v>46006</v>
      </c>
      <c r="B305" s="12" t="s">
        <v>218</v>
      </c>
      <c r="C305" s="27" t="s">
        <v>23</v>
      </c>
      <c r="D305" s="16" t="s">
        <v>559</v>
      </c>
      <c r="E305" s="16" t="s">
        <v>129</v>
      </c>
      <c r="F305" s="16" t="s">
        <v>14</v>
      </c>
      <c r="G305" s="17">
        <v>3500</v>
      </c>
    </row>
    <row r="306" spans="1:7" s="18" customFormat="1" ht="16.5" customHeight="1" x14ac:dyDescent="0.25">
      <c r="A306" s="12">
        <v>46006</v>
      </c>
      <c r="B306" s="12" t="s">
        <v>215</v>
      </c>
      <c r="C306" s="27" t="s">
        <v>27</v>
      </c>
      <c r="D306" s="30" t="s">
        <v>28</v>
      </c>
      <c r="E306" s="16" t="s">
        <v>560</v>
      </c>
      <c r="F306" s="16" t="s">
        <v>14</v>
      </c>
      <c r="G306" s="17">
        <v>8904.9599999999991</v>
      </c>
    </row>
    <row r="307" spans="1:7" s="18" customFormat="1" ht="16.5" customHeight="1" x14ac:dyDescent="0.25">
      <c r="A307" s="12">
        <v>46006</v>
      </c>
      <c r="B307" s="12" t="s">
        <v>215</v>
      </c>
      <c r="C307" s="29" t="s">
        <v>132</v>
      </c>
      <c r="D307" s="16" t="s">
        <v>28</v>
      </c>
      <c r="E307" s="16" t="s">
        <v>560</v>
      </c>
      <c r="F307" s="16" t="s">
        <v>14</v>
      </c>
      <c r="G307" s="17">
        <v>12714.82</v>
      </c>
    </row>
    <row r="308" spans="1:7" s="18" customFormat="1" ht="16.5" customHeight="1" x14ac:dyDescent="0.25">
      <c r="A308" s="12">
        <v>46006</v>
      </c>
      <c r="B308" s="12" t="s">
        <v>218</v>
      </c>
      <c r="C308" s="29" t="s">
        <v>184</v>
      </c>
      <c r="D308" s="16" t="s">
        <v>28</v>
      </c>
      <c r="E308" s="16" t="s">
        <v>560</v>
      </c>
      <c r="F308" s="16" t="s">
        <v>14</v>
      </c>
      <c r="G308" s="17">
        <v>8227.9699999999993</v>
      </c>
    </row>
    <row r="309" spans="1:7" s="18" customFormat="1" ht="16.5" customHeight="1" x14ac:dyDescent="0.25">
      <c r="A309" s="12">
        <v>46006</v>
      </c>
      <c r="B309" s="31" t="s">
        <v>218</v>
      </c>
      <c r="C309" s="29" t="s">
        <v>106</v>
      </c>
      <c r="D309" s="16" t="s">
        <v>28</v>
      </c>
      <c r="E309" s="16" t="s">
        <v>560</v>
      </c>
      <c r="F309" s="16" t="s">
        <v>14</v>
      </c>
      <c r="G309" s="17">
        <v>4608.7</v>
      </c>
    </row>
    <row r="310" spans="1:7" s="18" customFormat="1" ht="16.5" customHeight="1" x14ac:dyDescent="0.25">
      <c r="A310" s="12">
        <v>46006</v>
      </c>
      <c r="B310" s="31" t="s">
        <v>561</v>
      </c>
      <c r="C310" s="29" t="s">
        <v>30</v>
      </c>
      <c r="D310" s="16" t="s">
        <v>562</v>
      </c>
      <c r="E310" s="16" t="s">
        <v>563</v>
      </c>
      <c r="F310" s="16" t="s">
        <v>14</v>
      </c>
      <c r="G310" s="17">
        <v>8045.7</v>
      </c>
    </row>
    <row r="311" spans="1:7" s="18" customFormat="1" ht="16.5" customHeight="1" x14ac:dyDescent="0.25">
      <c r="A311" s="12">
        <v>46006</v>
      </c>
      <c r="B311" s="12" t="s">
        <v>564</v>
      </c>
      <c r="C311" s="27" t="s">
        <v>125</v>
      </c>
      <c r="D311" s="16" t="s">
        <v>128</v>
      </c>
      <c r="E311" s="16" t="s">
        <v>565</v>
      </c>
      <c r="F311" s="16" t="s">
        <v>14</v>
      </c>
      <c r="G311" s="17">
        <v>1400</v>
      </c>
    </row>
    <row r="312" spans="1:7" s="18" customFormat="1" ht="16.5" customHeight="1" x14ac:dyDescent="0.25">
      <c r="A312" s="12">
        <v>46006</v>
      </c>
      <c r="B312" s="12" t="s">
        <v>561</v>
      </c>
      <c r="C312" s="27" t="s">
        <v>125</v>
      </c>
      <c r="D312" s="16" t="s">
        <v>562</v>
      </c>
      <c r="E312" s="16" t="s">
        <v>565</v>
      </c>
      <c r="F312" s="16" t="s">
        <v>14</v>
      </c>
      <c r="G312" s="17">
        <v>1458.12</v>
      </c>
    </row>
    <row r="313" spans="1:7" s="18" customFormat="1" ht="16.5" customHeight="1" x14ac:dyDescent="0.25">
      <c r="A313" s="12">
        <v>46006</v>
      </c>
      <c r="B313" s="12" t="s">
        <v>214</v>
      </c>
      <c r="C313" s="27" t="s">
        <v>330</v>
      </c>
      <c r="D313" s="16" t="s">
        <v>28</v>
      </c>
      <c r="E313" s="16" t="s">
        <v>563</v>
      </c>
      <c r="F313" s="16" t="s">
        <v>14</v>
      </c>
      <c r="G313" s="17">
        <v>10818.73</v>
      </c>
    </row>
    <row r="314" spans="1:7" s="18" customFormat="1" ht="16.5" customHeight="1" x14ac:dyDescent="0.25">
      <c r="A314" s="12">
        <v>46006</v>
      </c>
      <c r="B314" s="12" t="s">
        <v>566</v>
      </c>
      <c r="C314" s="27" t="s">
        <v>99</v>
      </c>
      <c r="D314" s="30" t="s">
        <v>142</v>
      </c>
      <c r="E314" s="16" t="s">
        <v>543</v>
      </c>
      <c r="F314" s="16" t="s">
        <v>14</v>
      </c>
      <c r="G314" s="17">
        <v>31.25</v>
      </c>
    </row>
    <row r="315" spans="1:7" s="18" customFormat="1" ht="16.5" customHeight="1" x14ac:dyDescent="0.25">
      <c r="A315" s="12">
        <v>46007</v>
      </c>
      <c r="B315" s="12" t="s">
        <v>567</v>
      </c>
      <c r="C315" s="27" t="s">
        <v>34</v>
      </c>
      <c r="D315" s="16" t="s">
        <v>568</v>
      </c>
      <c r="E315" s="16" t="s">
        <v>569</v>
      </c>
      <c r="F315" s="16" t="s">
        <v>14</v>
      </c>
      <c r="G315" s="17">
        <v>321.01</v>
      </c>
    </row>
    <row r="316" spans="1:7" s="18" customFormat="1" ht="16.5" customHeight="1" x14ac:dyDescent="0.25">
      <c r="A316" s="12">
        <v>46007</v>
      </c>
      <c r="B316" s="12" t="s">
        <v>567</v>
      </c>
      <c r="C316" s="27" t="s">
        <v>37</v>
      </c>
      <c r="D316" s="30" t="s">
        <v>568</v>
      </c>
      <c r="E316" s="16" t="s">
        <v>569</v>
      </c>
      <c r="F316" s="16" t="s">
        <v>14</v>
      </c>
      <c r="G316" s="17">
        <v>19.47</v>
      </c>
    </row>
    <row r="317" spans="1:7" s="18" customFormat="1" ht="16.5" customHeight="1" x14ac:dyDescent="0.25">
      <c r="A317" s="12">
        <v>46007</v>
      </c>
      <c r="B317" s="12" t="s">
        <v>570</v>
      </c>
      <c r="C317" s="27" t="s">
        <v>99</v>
      </c>
      <c r="D317" s="16" t="s">
        <v>142</v>
      </c>
      <c r="E317" s="16" t="s">
        <v>571</v>
      </c>
      <c r="F317" s="16" t="s">
        <v>14</v>
      </c>
      <c r="G317" s="17">
        <v>31.25</v>
      </c>
    </row>
    <row r="318" spans="1:7" s="18" customFormat="1" ht="16.5" customHeight="1" x14ac:dyDescent="0.25">
      <c r="A318" s="12">
        <v>46008</v>
      </c>
      <c r="B318" s="12" t="s">
        <v>572</v>
      </c>
      <c r="C318" s="27" t="s">
        <v>573</v>
      </c>
      <c r="D318" s="16" t="s">
        <v>229</v>
      </c>
      <c r="E318" s="16" t="s">
        <v>574</v>
      </c>
      <c r="F318" s="16" t="s">
        <v>14</v>
      </c>
      <c r="G318" s="17">
        <v>1310</v>
      </c>
    </row>
    <row r="319" spans="1:7" s="18" customFormat="1" ht="16.5" customHeight="1" x14ac:dyDescent="0.25">
      <c r="A319" s="12">
        <v>46008</v>
      </c>
      <c r="B319" s="12" t="s">
        <v>575</v>
      </c>
      <c r="C319" s="27" t="s">
        <v>34</v>
      </c>
      <c r="D319" s="16" t="s">
        <v>85</v>
      </c>
      <c r="E319" s="16" t="s">
        <v>576</v>
      </c>
      <c r="F319" s="16" t="s">
        <v>14</v>
      </c>
      <c r="G319" s="17">
        <v>1515.24</v>
      </c>
    </row>
    <row r="320" spans="1:7" s="18" customFormat="1" ht="16.5" customHeight="1" x14ac:dyDescent="0.25">
      <c r="A320" s="12">
        <v>46008</v>
      </c>
      <c r="B320" s="12" t="s">
        <v>577</v>
      </c>
      <c r="C320" s="27" t="s">
        <v>34</v>
      </c>
      <c r="D320" s="16" t="s">
        <v>85</v>
      </c>
      <c r="E320" s="16" t="s">
        <v>578</v>
      </c>
      <c r="F320" s="16" t="s">
        <v>14</v>
      </c>
      <c r="G320" s="17">
        <v>1136.43</v>
      </c>
    </row>
    <row r="321" spans="1:7" s="18" customFormat="1" ht="16.5" customHeight="1" x14ac:dyDescent="0.25">
      <c r="A321" s="12">
        <v>46008</v>
      </c>
      <c r="B321" s="12" t="s">
        <v>575</v>
      </c>
      <c r="C321" s="27" t="s">
        <v>37</v>
      </c>
      <c r="D321" s="30" t="s">
        <v>85</v>
      </c>
      <c r="E321" s="16" t="s">
        <v>576</v>
      </c>
      <c r="F321" s="16" t="s">
        <v>14</v>
      </c>
      <c r="G321" s="17">
        <v>302.93</v>
      </c>
    </row>
    <row r="322" spans="1:7" s="18" customFormat="1" ht="16.5" customHeight="1" x14ac:dyDescent="0.25">
      <c r="A322" s="12">
        <v>46008</v>
      </c>
      <c r="B322" s="12" t="s">
        <v>577</v>
      </c>
      <c r="C322" s="27" t="s">
        <v>37</v>
      </c>
      <c r="D322" s="16" t="s">
        <v>85</v>
      </c>
      <c r="E322" s="16" t="s">
        <v>578</v>
      </c>
      <c r="F322" s="16" t="s">
        <v>14</v>
      </c>
      <c r="G322" s="17">
        <v>227.2</v>
      </c>
    </row>
    <row r="323" spans="1:7" s="18" customFormat="1" ht="16.5" customHeight="1" x14ac:dyDescent="0.25">
      <c r="A323" s="12">
        <v>46008</v>
      </c>
      <c r="B323" s="12" t="s">
        <v>579</v>
      </c>
      <c r="C323" s="27" t="s">
        <v>303</v>
      </c>
      <c r="D323" s="30" t="s">
        <v>304</v>
      </c>
      <c r="E323" s="16" t="s">
        <v>580</v>
      </c>
      <c r="F323" s="16" t="s">
        <v>14</v>
      </c>
      <c r="G323" s="17">
        <v>2556.9299999999998</v>
      </c>
    </row>
    <row r="324" spans="1:7" s="18" customFormat="1" ht="16.5" customHeight="1" x14ac:dyDescent="0.25">
      <c r="A324" s="12">
        <v>46008</v>
      </c>
      <c r="B324" s="12" t="s">
        <v>581</v>
      </c>
      <c r="C324" s="27" t="s">
        <v>573</v>
      </c>
      <c r="D324" s="30" t="s">
        <v>229</v>
      </c>
      <c r="E324" s="16" t="s">
        <v>582</v>
      </c>
      <c r="F324" s="16" t="s">
        <v>14</v>
      </c>
      <c r="G324" s="17">
        <v>2200</v>
      </c>
    </row>
    <row r="325" spans="1:7" s="18" customFormat="1" ht="16.5" customHeight="1" x14ac:dyDescent="0.25">
      <c r="A325" s="12">
        <v>46008</v>
      </c>
      <c r="B325" s="12" t="s">
        <v>583</v>
      </c>
      <c r="C325" s="27" t="s">
        <v>573</v>
      </c>
      <c r="D325" s="16" t="s">
        <v>229</v>
      </c>
      <c r="E325" s="16" t="s">
        <v>584</v>
      </c>
      <c r="F325" s="16" t="s">
        <v>14</v>
      </c>
      <c r="G325" s="17">
        <v>3400</v>
      </c>
    </row>
    <row r="326" spans="1:7" s="18" customFormat="1" ht="16.5" customHeight="1" x14ac:dyDescent="0.25">
      <c r="A326" s="12">
        <v>46008</v>
      </c>
      <c r="B326" s="12" t="s">
        <v>585</v>
      </c>
      <c r="C326" s="27" t="s">
        <v>573</v>
      </c>
      <c r="D326" s="30" t="s">
        <v>229</v>
      </c>
      <c r="E326" s="16" t="s">
        <v>586</v>
      </c>
      <c r="F326" s="16" t="s">
        <v>14</v>
      </c>
      <c r="G326" s="17">
        <v>6375</v>
      </c>
    </row>
    <row r="327" spans="1:7" s="18" customFormat="1" ht="16.5" customHeight="1" x14ac:dyDescent="0.25">
      <c r="A327" s="12">
        <v>46008</v>
      </c>
      <c r="B327" s="12" t="s">
        <v>587</v>
      </c>
      <c r="C327" s="27" t="s">
        <v>303</v>
      </c>
      <c r="D327" s="16" t="s">
        <v>229</v>
      </c>
      <c r="E327" s="16" t="s">
        <v>588</v>
      </c>
      <c r="F327" s="16" t="s">
        <v>14</v>
      </c>
      <c r="G327" s="17">
        <v>260</v>
      </c>
    </row>
    <row r="328" spans="1:7" s="18" customFormat="1" ht="16.5" customHeight="1" x14ac:dyDescent="0.25">
      <c r="A328" s="12">
        <v>46008</v>
      </c>
      <c r="B328" s="12" t="s">
        <v>589</v>
      </c>
      <c r="C328" s="27" t="s">
        <v>34</v>
      </c>
      <c r="D328" s="16" t="s">
        <v>47</v>
      </c>
      <c r="E328" s="16" t="s">
        <v>590</v>
      </c>
      <c r="F328" s="16" t="s">
        <v>14</v>
      </c>
      <c r="G328" s="17">
        <v>254.71</v>
      </c>
    </row>
    <row r="329" spans="1:7" s="18" customFormat="1" ht="16.5" customHeight="1" x14ac:dyDescent="0.25">
      <c r="A329" s="12">
        <v>46008</v>
      </c>
      <c r="B329" s="12" t="s">
        <v>589</v>
      </c>
      <c r="C329" s="27" t="s">
        <v>37</v>
      </c>
      <c r="D329" s="16" t="s">
        <v>47</v>
      </c>
      <c r="E329" s="16" t="s">
        <v>590</v>
      </c>
      <c r="F329" s="16" t="s">
        <v>14</v>
      </c>
      <c r="G329" s="17">
        <v>14.72</v>
      </c>
    </row>
    <row r="330" spans="1:7" s="18" customFormat="1" ht="16.5" customHeight="1" x14ac:dyDescent="0.25">
      <c r="A330" s="12">
        <v>46009</v>
      </c>
      <c r="B330" s="12" t="s">
        <v>591</v>
      </c>
      <c r="C330" s="27" t="s">
        <v>303</v>
      </c>
      <c r="D330" s="16" t="s">
        <v>454</v>
      </c>
      <c r="E330" s="16" t="s">
        <v>592</v>
      </c>
      <c r="F330" s="16" t="s">
        <v>14</v>
      </c>
      <c r="G330" s="17">
        <v>187.5</v>
      </c>
    </row>
    <row r="331" spans="1:7" s="18" customFormat="1" ht="16.5" customHeight="1" x14ac:dyDescent="0.25">
      <c r="A331" s="12">
        <v>46009</v>
      </c>
      <c r="B331" s="12" t="s">
        <v>593</v>
      </c>
      <c r="C331" s="27" t="s">
        <v>16</v>
      </c>
      <c r="D331" s="30" t="s">
        <v>113</v>
      </c>
      <c r="E331" s="16" t="s">
        <v>594</v>
      </c>
      <c r="F331" s="16" t="s">
        <v>14</v>
      </c>
      <c r="G331" s="17">
        <v>75</v>
      </c>
    </row>
    <row r="332" spans="1:7" s="18" customFormat="1" ht="16.5" customHeight="1" x14ac:dyDescent="0.25">
      <c r="A332" s="12">
        <v>46009</v>
      </c>
      <c r="B332" s="12" t="s">
        <v>595</v>
      </c>
      <c r="C332" s="27" t="s">
        <v>43</v>
      </c>
      <c r="D332" s="16" t="s">
        <v>229</v>
      </c>
      <c r="E332" s="16" t="s">
        <v>596</v>
      </c>
      <c r="F332" s="16" t="s">
        <v>14</v>
      </c>
      <c r="G332" s="17">
        <v>700</v>
      </c>
    </row>
    <row r="333" spans="1:7" s="18" customFormat="1" ht="16.5" customHeight="1" x14ac:dyDescent="0.25">
      <c r="A333" s="12">
        <v>46009</v>
      </c>
      <c r="B333" s="12" t="s">
        <v>597</v>
      </c>
      <c r="C333" s="27" t="s">
        <v>43</v>
      </c>
      <c r="D333" s="16" t="s">
        <v>229</v>
      </c>
      <c r="E333" s="16" t="s">
        <v>598</v>
      </c>
      <c r="F333" s="16" t="s">
        <v>14</v>
      </c>
      <c r="G333" s="17">
        <v>2285.14</v>
      </c>
    </row>
    <row r="334" spans="1:7" s="18" customFormat="1" ht="16.5" customHeight="1" x14ac:dyDescent="0.25">
      <c r="A334" s="12">
        <v>46010</v>
      </c>
      <c r="B334" s="12" t="s">
        <v>599</v>
      </c>
      <c r="C334" s="27" t="s">
        <v>99</v>
      </c>
      <c r="D334" s="30" t="s">
        <v>600</v>
      </c>
      <c r="E334" s="16" t="s">
        <v>601</v>
      </c>
      <c r="F334" s="16" t="s">
        <v>14</v>
      </c>
      <c r="G334" s="17">
        <v>350</v>
      </c>
    </row>
    <row r="335" spans="1:7" s="18" customFormat="1" ht="16.5" customHeight="1" x14ac:dyDescent="0.25">
      <c r="A335" s="12">
        <v>46013</v>
      </c>
      <c r="B335" s="12" t="s">
        <v>602</v>
      </c>
      <c r="C335" s="27" t="s">
        <v>23</v>
      </c>
      <c r="D335" s="16" t="s">
        <v>229</v>
      </c>
      <c r="E335" s="16" t="s">
        <v>603</v>
      </c>
      <c r="F335" s="16" t="s">
        <v>14</v>
      </c>
      <c r="G335" s="17">
        <v>25000</v>
      </c>
    </row>
    <row r="336" spans="1:7" s="18" customFormat="1" ht="16.5" customHeight="1" x14ac:dyDescent="0.25">
      <c r="A336" s="12">
        <v>46013</v>
      </c>
      <c r="B336" s="12" t="s">
        <v>604</v>
      </c>
      <c r="C336" s="27" t="s">
        <v>34</v>
      </c>
      <c r="D336" s="16" t="s">
        <v>568</v>
      </c>
      <c r="E336" s="16" t="s">
        <v>605</v>
      </c>
      <c r="F336" s="16" t="s">
        <v>14</v>
      </c>
      <c r="G336" s="17">
        <v>285.95999999999998</v>
      </c>
    </row>
    <row r="337" spans="1:8" s="18" customFormat="1" ht="16.5" customHeight="1" x14ac:dyDescent="0.25">
      <c r="A337" s="12">
        <v>46013</v>
      </c>
      <c r="B337" s="12" t="s">
        <v>604</v>
      </c>
      <c r="C337" s="27" t="s">
        <v>37</v>
      </c>
      <c r="D337" s="16" t="s">
        <v>568</v>
      </c>
      <c r="E337" s="16" t="s">
        <v>605</v>
      </c>
      <c r="F337" s="16" t="s">
        <v>14</v>
      </c>
      <c r="G337" s="17">
        <v>16.53</v>
      </c>
    </row>
    <row r="338" spans="1:8" s="18" customFormat="1" ht="16.5" customHeight="1" x14ac:dyDescent="0.25">
      <c r="A338" s="12">
        <v>46013</v>
      </c>
      <c r="B338" s="12" t="s">
        <v>606</v>
      </c>
      <c r="C338" s="14" t="s">
        <v>53</v>
      </c>
      <c r="D338" s="16" t="s">
        <v>442</v>
      </c>
      <c r="E338" s="16" t="s">
        <v>607</v>
      </c>
      <c r="F338" s="16" t="s">
        <v>14</v>
      </c>
      <c r="G338" s="17">
        <v>1000</v>
      </c>
    </row>
    <row r="339" spans="1:8" s="18" customFormat="1" ht="16.5" customHeight="1" x14ac:dyDescent="0.25">
      <c r="A339" s="12">
        <v>46013</v>
      </c>
      <c r="B339" s="12" t="s">
        <v>608</v>
      </c>
      <c r="C339" s="27" t="s">
        <v>303</v>
      </c>
      <c r="D339" s="16" t="s">
        <v>181</v>
      </c>
      <c r="E339" s="16" t="s">
        <v>609</v>
      </c>
      <c r="F339" s="16" t="s">
        <v>14</v>
      </c>
      <c r="G339" s="17">
        <v>428.57</v>
      </c>
    </row>
    <row r="340" spans="1:8" s="18" customFormat="1" ht="16.5" customHeight="1" x14ac:dyDescent="0.25">
      <c r="A340" s="12">
        <v>46013</v>
      </c>
      <c r="B340" s="12" t="s">
        <v>610</v>
      </c>
      <c r="C340" s="27" t="s">
        <v>99</v>
      </c>
      <c r="D340" s="16" t="s">
        <v>44</v>
      </c>
      <c r="E340" s="16" t="s">
        <v>611</v>
      </c>
      <c r="F340" s="16" t="s">
        <v>14</v>
      </c>
      <c r="G340" s="17">
        <v>717.42</v>
      </c>
    </row>
    <row r="341" spans="1:8" s="18" customFormat="1" ht="16.5" customHeight="1" x14ac:dyDescent="0.25">
      <c r="A341" s="12">
        <v>46013</v>
      </c>
      <c r="B341" s="12" t="s">
        <v>612</v>
      </c>
      <c r="C341" s="27" t="s">
        <v>303</v>
      </c>
      <c r="D341" s="16" t="s">
        <v>613</v>
      </c>
      <c r="E341" s="16" t="s">
        <v>614</v>
      </c>
      <c r="F341" s="16" t="s">
        <v>14</v>
      </c>
      <c r="G341" s="17">
        <v>662.7</v>
      </c>
    </row>
    <row r="342" spans="1:8" s="18" customFormat="1" ht="16.5" customHeight="1" x14ac:dyDescent="0.25">
      <c r="A342" s="12">
        <v>46014</v>
      </c>
      <c r="B342" s="12" t="s">
        <v>615</v>
      </c>
      <c r="C342" s="27" t="s">
        <v>125</v>
      </c>
      <c r="D342" s="30" t="s">
        <v>616</v>
      </c>
      <c r="E342" s="16" t="s">
        <v>617</v>
      </c>
      <c r="F342" s="16" t="s">
        <v>14</v>
      </c>
      <c r="G342" s="17">
        <v>17600</v>
      </c>
      <c r="H342" s="39"/>
    </row>
    <row r="343" spans="1:8" s="18" customFormat="1" ht="16.5" customHeight="1" x14ac:dyDescent="0.25">
      <c r="A343" s="12">
        <v>46020</v>
      </c>
      <c r="B343" s="12" t="s">
        <v>618</v>
      </c>
      <c r="C343" s="27" t="s">
        <v>34</v>
      </c>
      <c r="D343" s="30" t="s">
        <v>47</v>
      </c>
      <c r="E343" s="16" t="s">
        <v>619</v>
      </c>
      <c r="F343" s="16" t="s">
        <v>14</v>
      </c>
      <c r="G343" s="17">
        <v>84.809999999999988</v>
      </c>
      <c r="H343" s="39"/>
    </row>
    <row r="344" spans="1:8" s="18" customFormat="1" ht="16.5" customHeight="1" x14ac:dyDescent="0.25">
      <c r="A344" s="12">
        <v>46020</v>
      </c>
      <c r="B344" s="12" t="s">
        <v>618</v>
      </c>
      <c r="C344" s="27" t="s">
        <v>37</v>
      </c>
      <c r="D344" s="30" t="s">
        <v>47</v>
      </c>
      <c r="E344" s="16" t="s">
        <v>619</v>
      </c>
      <c r="F344" s="16" t="s">
        <v>14</v>
      </c>
      <c r="G344" s="17">
        <v>5.01</v>
      </c>
      <c r="H344" s="20"/>
    </row>
    <row r="345" spans="1:8" s="18" customFormat="1" ht="16.5" customHeight="1" x14ac:dyDescent="0.25">
      <c r="A345" s="12">
        <v>46020</v>
      </c>
      <c r="B345" s="12" t="s">
        <v>620</v>
      </c>
      <c r="C345" s="27" t="s">
        <v>99</v>
      </c>
      <c r="D345" s="16" t="s">
        <v>142</v>
      </c>
      <c r="E345" s="16" t="s">
        <v>571</v>
      </c>
      <c r="F345" s="16" t="s">
        <v>14</v>
      </c>
      <c r="G345" s="17">
        <v>49.11</v>
      </c>
      <c r="H345" s="20"/>
    </row>
    <row r="346" spans="1:8" s="18" customFormat="1" ht="16.5" customHeight="1" x14ac:dyDescent="0.25">
      <c r="A346" s="12">
        <v>46021</v>
      </c>
      <c r="B346" s="12" t="s">
        <v>621</v>
      </c>
      <c r="C346" s="27" t="s">
        <v>16</v>
      </c>
      <c r="D346" s="16" t="s">
        <v>557</v>
      </c>
      <c r="E346" s="16" t="s">
        <v>622</v>
      </c>
      <c r="F346" s="16" t="s">
        <v>14</v>
      </c>
      <c r="G346" s="17">
        <v>1200</v>
      </c>
      <c r="H346" s="20"/>
    </row>
    <row r="347" spans="1:8" s="18" customFormat="1" ht="16.5" customHeight="1" x14ac:dyDescent="0.25">
      <c r="A347" s="12">
        <v>46022</v>
      </c>
      <c r="B347" s="12" t="s">
        <v>623</v>
      </c>
      <c r="C347" s="27" t="s">
        <v>57</v>
      </c>
      <c r="D347" s="16" t="s">
        <v>624</v>
      </c>
      <c r="E347" s="16" t="s">
        <v>625</v>
      </c>
      <c r="F347" s="16" t="s">
        <v>14</v>
      </c>
      <c r="G347" s="17">
        <v>780</v>
      </c>
      <c r="H347" s="20"/>
    </row>
    <row r="348" spans="1:8" s="18" customFormat="1" ht="16.5" customHeight="1" x14ac:dyDescent="0.25">
      <c r="A348" s="12">
        <v>46023</v>
      </c>
      <c r="B348" s="12" t="s">
        <v>626</v>
      </c>
      <c r="C348" s="27" t="s">
        <v>174</v>
      </c>
      <c r="D348" s="16" t="s">
        <v>175</v>
      </c>
      <c r="E348" s="16" t="s">
        <v>627</v>
      </c>
      <c r="F348" s="16" t="s">
        <v>14</v>
      </c>
      <c r="G348" s="17">
        <v>32410.07</v>
      </c>
      <c r="H348" s="20"/>
    </row>
    <row r="349" spans="1:8" s="18" customFormat="1" ht="16.5" customHeight="1" x14ac:dyDescent="0.25">
      <c r="A349" s="12">
        <v>46028</v>
      </c>
      <c r="B349" s="12" t="s">
        <v>628</v>
      </c>
      <c r="C349" s="29" t="s">
        <v>303</v>
      </c>
      <c r="D349" s="16" t="s">
        <v>629</v>
      </c>
      <c r="E349" s="16" t="s">
        <v>630</v>
      </c>
      <c r="F349" s="16" t="s">
        <v>14</v>
      </c>
      <c r="G349" s="40">
        <v>835.18</v>
      </c>
      <c r="H349" s="20"/>
    </row>
    <row r="350" spans="1:8" x14ac:dyDescent="0.25">
      <c r="A350" s="12">
        <v>46029</v>
      </c>
      <c r="B350" s="12" t="s">
        <v>631</v>
      </c>
      <c r="C350" s="27" t="s">
        <v>99</v>
      </c>
      <c r="D350" s="16" t="s">
        <v>142</v>
      </c>
      <c r="E350" s="16" t="s">
        <v>632</v>
      </c>
      <c r="F350" s="16" t="s">
        <v>14</v>
      </c>
      <c r="G350" s="17">
        <v>70.540000000000006</v>
      </c>
    </row>
    <row r="351" spans="1:8" x14ac:dyDescent="0.25">
      <c r="A351" s="12">
        <v>46029</v>
      </c>
      <c r="B351" s="12" t="s">
        <v>633</v>
      </c>
      <c r="C351" s="27" t="s">
        <v>99</v>
      </c>
      <c r="D351" s="16" t="s">
        <v>142</v>
      </c>
      <c r="E351" s="16" t="s">
        <v>634</v>
      </c>
      <c r="F351" s="16" t="s">
        <v>14</v>
      </c>
      <c r="G351" s="17">
        <v>34.82</v>
      </c>
    </row>
    <row r="352" spans="1:8" x14ac:dyDescent="0.25">
      <c r="A352" s="12">
        <v>46030</v>
      </c>
      <c r="B352" s="12" t="s">
        <v>635</v>
      </c>
      <c r="C352" s="29" t="s">
        <v>34</v>
      </c>
      <c r="D352" s="16" t="s">
        <v>85</v>
      </c>
      <c r="E352" s="16" t="s">
        <v>636</v>
      </c>
      <c r="F352" s="16" t="s">
        <v>14</v>
      </c>
      <c r="G352" s="17">
        <v>1126.6300000000001</v>
      </c>
    </row>
    <row r="353" spans="1:7" x14ac:dyDescent="0.25">
      <c r="A353" s="12">
        <v>46030</v>
      </c>
      <c r="B353" s="12" t="s">
        <v>635</v>
      </c>
      <c r="C353" s="29" t="s">
        <v>37</v>
      </c>
      <c r="D353" s="16" t="s">
        <v>85</v>
      </c>
      <c r="E353" s="16" t="s">
        <v>636</v>
      </c>
      <c r="F353" s="16" t="s">
        <v>14</v>
      </c>
      <c r="G353" s="17">
        <v>238.18</v>
      </c>
    </row>
    <row r="354" spans="1:7" x14ac:dyDescent="0.25">
      <c r="A354" s="12">
        <v>46031</v>
      </c>
      <c r="B354" s="12" t="s">
        <v>637</v>
      </c>
      <c r="C354" s="29" t="s">
        <v>39</v>
      </c>
      <c r="D354" s="16" t="s">
        <v>24</v>
      </c>
      <c r="E354" s="16" t="s">
        <v>638</v>
      </c>
      <c r="F354" s="16" t="s">
        <v>14</v>
      </c>
      <c r="G354" s="17">
        <v>1250</v>
      </c>
    </row>
    <row r="355" spans="1:7" x14ac:dyDescent="0.25">
      <c r="A355" s="12">
        <v>46031</v>
      </c>
      <c r="B355" s="12" t="s">
        <v>639</v>
      </c>
      <c r="C355" s="29" t="s">
        <v>272</v>
      </c>
      <c r="D355" s="16" t="s">
        <v>640</v>
      </c>
      <c r="E355" s="16" t="s">
        <v>641</v>
      </c>
      <c r="F355" s="16" t="s">
        <v>14</v>
      </c>
      <c r="G355" s="17">
        <v>2180</v>
      </c>
    </row>
    <row r="356" spans="1:7" x14ac:dyDescent="0.25">
      <c r="A356" s="12">
        <v>46034</v>
      </c>
      <c r="B356" s="12" t="s">
        <v>642</v>
      </c>
      <c r="C356" s="29" t="s">
        <v>34</v>
      </c>
      <c r="D356" s="16" t="s">
        <v>47</v>
      </c>
      <c r="E356" s="16" t="s">
        <v>643</v>
      </c>
      <c r="F356" s="16" t="s">
        <v>14</v>
      </c>
      <c r="G356" s="17">
        <v>202.02</v>
      </c>
    </row>
    <row r="357" spans="1:7" x14ac:dyDescent="0.25">
      <c r="A357" s="12">
        <v>46034</v>
      </c>
      <c r="B357" s="12" t="s">
        <v>642</v>
      </c>
      <c r="C357" s="29" t="s">
        <v>37</v>
      </c>
      <c r="D357" s="16" t="s">
        <v>47</v>
      </c>
      <c r="E357" s="16" t="s">
        <v>643</v>
      </c>
      <c r="F357" s="16" t="s">
        <v>14</v>
      </c>
      <c r="G357" s="17">
        <v>11.77</v>
      </c>
    </row>
    <row r="358" spans="1:7" x14ac:dyDescent="0.25">
      <c r="A358" s="12">
        <v>46034</v>
      </c>
      <c r="B358" s="12" t="s">
        <v>644</v>
      </c>
      <c r="C358" s="27" t="s">
        <v>99</v>
      </c>
      <c r="D358" s="16" t="s">
        <v>142</v>
      </c>
      <c r="E358" s="16" t="s">
        <v>645</v>
      </c>
      <c r="F358" s="16" t="s">
        <v>14</v>
      </c>
      <c r="G358" s="17">
        <v>34.82</v>
      </c>
    </row>
    <row r="359" spans="1:7" s="18" customFormat="1" ht="16.5" customHeight="1" x14ac:dyDescent="0.25">
      <c r="A359" s="12">
        <v>46034</v>
      </c>
      <c r="B359" s="12" t="s">
        <v>646</v>
      </c>
      <c r="C359" s="27" t="s">
        <v>99</v>
      </c>
      <c r="D359" s="16" t="s">
        <v>145</v>
      </c>
      <c r="E359" s="16" t="s">
        <v>647</v>
      </c>
      <c r="F359" s="16" t="s">
        <v>14</v>
      </c>
      <c r="G359" s="17">
        <v>28.57</v>
      </c>
    </row>
    <row r="360" spans="1:7" s="18" customFormat="1" ht="16.5" customHeight="1" x14ac:dyDescent="0.25">
      <c r="A360" s="12">
        <v>46036</v>
      </c>
      <c r="B360" s="12" t="s">
        <v>648</v>
      </c>
      <c r="C360" s="29" t="s">
        <v>303</v>
      </c>
      <c r="D360" s="16" t="s">
        <v>649</v>
      </c>
      <c r="E360" s="41" t="s">
        <v>650</v>
      </c>
      <c r="F360" s="16" t="s">
        <v>14</v>
      </c>
      <c r="G360" s="17">
        <v>312.5</v>
      </c>
    </row>
    <row r="361" spans="1:7" s="18" customFormat="1" ht="16.5" customHeight="1" x14ac:dyDescent="0.25">
      <c r="A361" s="12">
        <v>46037</v>
      </c>
      <c r="B361" s="12" t="s">
        <v>651</v>
      </c>
      <c r="C361" s="29" t="s">
        <v>23</v>
      </c>
      <c r="D361" s="16" t="s">
        <v>24</v>
      </c>
      <c r="E361" s="16" t="s">
        <v>652</v>
      </c>
      <c r="F361" s="16" t="s">
        <v>14</v>
      </c>
      <c r="G361" s="17">
        <v>7600</v>
      </c>
    </row>
    <row r="362" spans="1:7" s="18" customFormat="1" ht="16.5" customHeight="1" x14ac:dyDescent="0.25">
      <c r="A362" s="12">
        <v>46037</v>
      </c>
      <c r="B362" s="12" t="s">
        <v>651</v>
      </c>
      <c r="C362" s="29" t="s">
        <v>23</v>
      </c>
      <c r="D362" s="16" t="s">
        <v>653</v>
      </c>
      <c r="E362" s="16" t="s">
        <v>652</v>
      </c>
      <c r="F362" s="16" t="s">
        <v>14</v>
      </c>
      <c r="G362" s="17">
        <v>2025</v>
      </c>
    </row>
    <row r="363" spans="1:7" s="18" customFormat="1" ht="16.5" customHeight="1" x14ac:dyDescent="0.25">
      <c r="A363" s="12">
        <v>46037</v>
      </c>
      <c r="B363" s="12" t="s">
        <v>651</v>
      </c>
      <c r="C363" s="29" t="s">
        <v>23</v>
      </c>
      <c r="D363" s="16" t="s">
        <v>654</v>
      </c>
      <c r="E363" s="16" t="s">
        <v>652</v>
      </c>
      <c r="F363" s="16" t="s">
        <v>14</v>
      </c>
      <c r="G363" s="17">
        <v>2025</v>
      </c>
    </row>
    <row r="364" spans="1:7" s="18" customFormat="1" ht="16.5" customHeight="1" x14ac:dyDescent="0.25">
      <c r="A364" s="12">
        <v>46037</v>
      </c>
      <c r="B364" s="12" t="s">
        <v>651</v>
      </c>
      <c r="C364" s="29" t="s">
        <v>27</v>
      </c>
      <c r="D364" s="16" t="s">
        <v>332</v>
      </c>
      <c r="E364" s="16" t="s">
        <v>652</v>
      </c>
      <c r="F364" s="16" t="s">
        <v>14</v>
      </c>
      <c r="G364" s="17">
        <v>11100</v>
      </c>
    </row>
    <row r="365" spans="1:7" s="18" customFormat="1" ht="16.5" customHeight="1" x14ac:dyDescent="0.25">
      <c r="A365" s="12">
        <v>46037</v>
      </c>
      <c r="B365" s="12" t="s">
        <v>651</v>
      </c>
      <c r="C365" s="29" t="s">
        <v>219</v>
      </c>
      <c r="D365" s="16" t="s">
        <v>332</v>
      </c>
      <c r="E365" s="16" t="s">
        <v>652</v>
      </c>
      <c r="F365" s="16" t="s">
        <v>14</v>
      </c>
      <c r="G365" s="17">
        <v>6350</v>
      </c>
    </row>
    <row r="366" spans="1:7" s="18" customFormat="1" ht="16.5" customHeight="1" x14ac:dyDescent="0.25">
      <c r="A366" s="12">
        <v>46037</v>
      </c>
      <c r="B366" s="12" t="s">
        <v>651</v>
      </c>
      <c r="C366" s="29" t="s">
        <v>132</v>
      </c>
      <c r="D366" s="16" t="s">
        <v>332</v>
      </c>
      <c r="E366" s="16" t="s">
        <v>652</v>
      </c>
      <c r="F366" s="16" t="s">
        <v>14</v>
      </c>
      <c r="G366" s="17">
        <v>225</v>
      </c>
    </row>
    <row r="367" spans="1:7" s="18" customFormat="1" ht="16.5" customHeight="1" x14ac:dyDescent="0.25">
      <c r="A367" s="12">
        <v>46037</v>
      </c>
      <c r="B367" s="12" t="s">
        <v>651</v>
      </c>
      <c r="C367" s="29" t="s">
        <v>30</v>
      </c>
      <c r="D367" s="16" t="s">
        <v>126</v>
      </c>
      <c r="E367" s="16" t="s">
        <v>652</v>
      </c>
      <c r="F367" s="16" t="s">
        <v>14</v>
      </c>
      <c r="G367" s="17">
        <v>4310</v>
      </c>
    </row>
    <row r="368" spans="1:7" s="18" customFormat="1" ht="16.5" customHeight="1" x14ac:dyDescent="0.25">
      <c r="A368" s="12">
        <v>46037</v>
      </c>
      <c r="B368" s="12" t="s">
        <v>651</v>
      </c>
      <c r="C368" s="29" t="s">
        <v>30</v>
      </c>
      <c r="D368" s="16" t="s">
        <v>123</v>
      </c>
      <c r="E368" s="16" t="s">
        <v>652</v>
      </c>
      <c r="F368" s="16" t="s">
        <v>14</v>
      </c>
      <c r="G368" s="17">
        <v>3150</v>
      </c>
    </row>
    <row r="369" spans="1:7" s="18" customFormat="1" ht="16.5" customHeight="1" x14ac:dyDescent="0.25">
      <c r="A369" s="12">
        <v>46037</v>
      </c>
      <c r="B369" s="12" t="s">
        <v>651</v>
      </c>
      <c r="C369" s="29" t="s">
        <v>125</v>
      </c>
      <c r="D369" s="16" t="s">
        <v>128</v>
      </c>
      <c r="E369" s="16" t="s">
        <v>652</v>
      </c>
      <c r="F369" s="16" t="s">
        <v>14</v>
      </c>
      <c r="G369" s="17">
        <v>1400</v>
      </c>
    </row>
    <row r="370" spans="1:7" s="18" customFormat="1" ht="16.5" customHeight="1" x14ac:dyDescent="0.25">
      <c r="A370" s="12">
        <v>46037</v>
      </c>
      <c r="B370" s="12" t="s">
        <v>651</v>
      </c>
      <c r="C370" s="29" t="s">
        <v>125</v>
      </c>
      <c r="D370" s="16" t="s">
        <v>126</v>
      </c>
      <c r="E370" s="16" t="s">
        <v>652</v>
      </c>
      <c r="F370" s="16" t="s">
        <v>14</v>
      </c>
      <c r="G370" s="17">
        <v>1400</v>
      </c>
    </row>
    <row r="371" spans="1:7" s="18" customFormat="1" ht="16.5" customHeight="1" x14ac:dyDescent="0.25">
      <c r="A371" s="12">
        <v>46037</v>
      </c>
      <c r="B371" s="12" t="s">
        <v>651</v>
      </c>
      <c r="C371" s="29" t="s">
        <v>125</v>
      </c>
      <c r="D371" s="16" t="s">
        <v>655</v>
      </c>
      <c r="E371" s="16" t="s">
        <v>652</v>
      </c>
      <c r="F371" s="16" t="s">
        <v>14</v>
      </c>
      <c r="G371" s="17">
        <v>300</v>
      </c>
    </row>
    <row r="372" spans="1:7" s="18" customFormat="1" ht="16.5" customHeight="1" x14ac:dyDescent="0.25">
      <c r="A372" s="12">
        <v>46037</v>
      </c>
      <c r="B372" s="12" t="s">
        <v>651</v>
      </c>
      <c r="C372" s="27" t="s">
        <v>330</v>
      </c>
      <c r="D372" s="16" t="s">
        <v>332</v>
      </c>
      <c r="E372" s="16" t="s">
        <v>652</v>
      </c>
      <c r="F372" s="16" t="s">
        <v>14</v>
      </c>
      <c r="G372" s="17">
        <v>85716.47</v>
      </c>
    </row>
    <row r="373" spans="1:7" s="18" customFormat="1" ht="16.5" customHeight="1" x14ac:dyDescent="0.25">
      <c r="A373" s="12">
        <v>46038</v>
      </c>
      <c r="B373" s="12" t="s">
        <v>656</v>
      </c>
      <c r="C373" s="29" t="s">
        <v>23</v>
      </c>
      <c r="D373" s="16" t="s">
        <v>26</v>
      </c>
      <c r="E373" s="16" t="s">
        <v>657</v>
      </c>
      <c r="F373" s="16" t="s">
        <v>14</v>
      </c>
      <c r="G373" s="17">
        <v>9631.2800000000007</v>
      </c>
    </row>
    <row r="374" spans="1:7" s="18" customFormat="1" ht="16.5" customHeight="1" x14ac:dyDescent="0.25">
      <c r="A374" s="12">
        <v>46038</v>
      </c>
      <c r="B374" s="12" t="s">
        <v>658</v>
      </c>
      <c r="C374" s="27" t="s">
        <v>159</v>
      </c>
      <c r="D374" s="16" t="s">
        <v>629</v>
      </c>
      <c r="E374" s="16" t="s">
        <v>659</v>
      </c>
      <c r="F374" s="16" t="s">
        <v>14</v>
      </c>
      <c r="G374" s="17">
        <v>1020.97</v>
      </c>
    </row>
    <row r="375" spans="1:7" s="18" customFormat="1" ht="16.5" customHeight="1" x14ac:dyDescent="0.25">
      <c r="A375" s="12">
        <v>46041</v>
      </c>
      <c r="B375" s="12" t="s">
        <v>660</v>
      </c>
      <c r="C375" s="29" t="s">
        <v>303</v>
      </c>
      <c r="D375" s="16" t="s">
        <v>304</v>
      </c>
      <c r="E375" s="16" t="s">
        <v>630</v>
      </c>
      <c r="F375" s="16" t="s">
        <v>14</v>
      </c>
      <c r="G375" s="17">
        <v>1869.72</v>
      </c>
    </row>
    <row r="376" spans="1:7" s="18" customFormat="1" ht="16.5" customHeight="1" x14ac:dyDescent="0.25">
      <c r="A376" s="12">
        <v>46041</v>
      </c>
      <c r="B376" s="12" t="s">
        <v>661</v>
      </c>
      <c r="C376" s="27" t="s">
        <v>99</v>
      </c>
      <c r="D376" s="16" t="s">
        <v>44</v>
      </c>
      <c r="E376" s="16" t="s">
        <v>662</v>
      </c>
      <c r="F376" s="16" t="s">
        <v>14</v>
      </c>
      <c r="G376" s="17">
        <v>735.77</v>
      </c>
    </row>
    <row r="377" spans="1:7" s="18" customFormat="1" ht="16.5" customHeight="1" x14ac:dyDescent="0.25">
      <c r="A377" s="12">
        <v>46041</v>
      </c>
      <c r="B377" s="12" t="s">
        <v>663</v>
      </c>
      <c r="C377" s="27" t="s">
        <v>99</v>
      </c>
      <c r="D377" s="16" t="s">
        <v>142</v>
      </c>
      <c r="E377" s="16" t="s">
        <v>664</v>
      </c>
      <c r="F377" s="16" t="s">
        <v>14</v>
      </c>
      <c r="G377" s="17">
        <v>34.82</v>
      </c>
    </row>
    <row r="378" spans="1:7" s="18" customFormat="1" ht="16.5" customHeight="1" x14ac:dyDescent="0.25">
      <c r="A378" s="12">
        <v>46043</v>
      </c>
      <c r="B378" s="12" t="s">
        <v>665</v>
      </c>
      <c r="C378" s="29" t="s">
        <v>573</v>
      </c>
      <c r="D378" s="16" t="s">
        <v>405</v>
      </c>
      <c r="E378" s="16" t="s">
        <v>666</v>
      </c>
      <c r="F378" s="16" t="s">
        <v>14</v>
      </c>
      <c r="G378" s="17">
        <v>1116.07</v>
      </c>
    </row>
    <row r="379" spans="1:7" s="18" customFormat="1" ht="16.5" customHeight="1" x14ac:dyDescent="0.25">
      <c r="A379" s="12">
        <v>46043</v>
      </c>
      <c r="B379" s="12" t="s">
        <v>667</v>
      </c>
      <c r="C379" s="27" t="s">
        <v>159</v>
      </c>
      <c r="D379" s="16" t="s">
        <v>629</v>
      </c>
      <c r="E379" s="16" t="s">
        <v>668</v>
      </c>
      <c r="F379" s="16" t="s">
        <v>14</v>
      </c>
      <c r="G379" s="17">
        <v>113.39</v>
      </c>
    </row>
    <row r="380" spans="1:7" s="18" customFormat="1" ht="16.5" customHeight="1" x14ac:dyDescent="0.25">
      <c r="A380" s="12">
        <v>46043</v>
      </c>
      <c r="B380" s="12" t="s">
        <v>667</v>
      </c>
      <c r="C380" s="27" t="s">
        <v>159</v>
      </c>
      <c r="D380" s="16" t="s">
        <v>629</v>
      </c>
      <c r="E380" s="16" t="s">
        <v>668</v>
      </c>
      <c r="F380" s="16" t="s">
        <v>14</v>
      </c>
      <c r="G380" s="17">
        <v>275.18</v>
      </c>
    </row>
    <row r="381" spans="1:7" s="18" customFormat="1" ht="16.5" customHeight="1" x14ac:dyDescent="0.25">
      <c r="A381" s="12">
        <v>46044</v>
      </c>
      <c r="B381" s="12" t="s">
        <v>669</v>
      </c>
      <c r="C381" s="29" t="s">
        <v>670</v>
      </c>
      <c r="D381" s="16" t="s">
        <v>40</v>
      </c>
      <c r="E381" s="16" t="s">
        <v>671</v>
      </c>
      <c r="F381" s="16" t="s">
        <v>14</v>
      </c>
      <c r="G381" s="17">
        <v>500</v>
      </c>
    </row>
    <row r="382" spans="1:7" s="18" customFormat="1" ht="16.5" customHeight="1" x14ac:dyDescent="0.25">
      <c r="A382" s="12">
        <v>46045</v>
      </c>
      <c r="B382" s="12" t="s">
        <v>672</v>
      </c>
      <c r="C382" s="29" t="s">
        <v>23</v>
      </c>
      <c r="D382" s="16" t="s">
        <v>229</v>
      </c>
      <c r="E382" s="16" t="s">
        <v>673</v>
      </c>
      <c r="F382" s="16" t="s">
        <v>14</v>
      </c>
      <c r="G382" s="17">
        <v>10000</v>
      </c>
    </row>
    <row r="383" spans="1:7" s="18" customFormat="1" ht="16.5" customHeight="1" x14ac:dyDescent="0.25">
      <c r="A383" s="12">
        <v>46045</v>
      </c>
      <c r="B383" s="12" t="s">
        <v>674</v>
      </c>
      <c r="C383" s="29" t="s">
        <v>34</v>
      </c>
      <c r="D383" s="16" t="s">
        <v>85</v>
      </c>
      <c r="E383" s="16" t="s">
        <v>675</v>
      </c>
      <c r="F383" s="16" t="s">
        <v>14</v>
      </c>
      <c r="G383" s="17">
        <v>147.22999999999999</v>
      </c>
    </row>
    <row r="384" spans="1:7" s="18" customFormat="1" ht="16.5" customHeight="1" x14ac:dyDescent="0.25">
      <c r="A384" s="12">
        <v>46045</v>
      </c>
      <c r="B384" s="12" t="s">
        <v>676</v>
      </c>
      <c r="C384" s="29" t="s">
        <v>34</v>
      </c>
      <c r="D384" s="16" t="s">
        <v>85</v>
      </c>
      <c r="E384" s="16" t="s">
        <v>677</v>
      </c>
      <c r="F384" s="16" t="s">
        <v>14</v>
      </c>
      <c r="G384" s="17">
        <v>999.88</v>
      </c>
    </row>
    <row r="385" spans="1:7" s="18" customFormat="1" ht="16.5" customHeight="1" x14ac:dyDescent="0.25">
      <c r="A385" s="12">
        <v>46045</v>
      </c>
      <c r="B385" s="12" t="s">
        <v>674</v>
      </c>
      <c r="C385" s="29" t="s">
        <v>37</v>
      </c>
      <c r="D385" s="16" t="s">
        <v>85</v>
      </c>
      <c r="E385" s="16" t="s">
        <v>675</v>
      </c>
      <c r="F385" s="16" t="s">
        <v>14</v>
      </c>
      <c r="G385" s="17">
        <v>8.1</v>
      </c>
    </row>
    <row r="386" spans="1:7" s="18" customFormat="1" ht="16.5" customHeight="1" x14ac:dyDescent="0.25">
      <c r="A386" s="12">
        <v>46045</v>
      </c>
      <c r="B386" s="12" t="s">
        <v>676</v>
      </c>
      <c r="C386" s="29" t="s">
        <v>37</v>
      </c>
      <c r="D386" s="16" t="s">
        <v>85</v>
      </c>
      <c r="E386" s="16" t="s">
        <v>677</v>
      </c>
      <c r="F386" s="16" t="s">
        <v>14</v>
      </c>
      <c r="G386" s="17">
        <v>207.13</v>
      </c>
    </row>
    <row r="387" spans="1:7" s="18" customFormat="1" ht="16.5" customHeight="1" x14ac:dyDescent="0.25">
      <c r="A387" s="12">
        <v>46045</v>
      </c>
      <c r="B387" s="12" t="s">
        <v>678</v>
      </c>
      <c r="C387" s="29" t="s">
        <v>303</v>
      </c>
      <c r="D387" s="16" t="s">
        <v>85</v>
      </c>
      <c r="E387" s="16" t="s">
        <v>679</v>
      </c>
      <c r="F387" s="16" t="s">
        <v>14</v>
      </c>
      <c r="G387" s="17">
        <v>106.25</v>
      </c>
    </row>
    <row r="388" spans="1:7" s="18" customFormat="1" ht="16.5" customHeight="1" x14ac:dyDescent="0.25">
      <c r="A388" s="12">
        <v>46045</v>
      </c>
      <c r="B388" s="12" t="s">
        <v>680</v>
      </c>
      <c r="C388" s="29" t="s">
        <v>573</v>
      </c>
      <c r="D388" s="16" t="s">
        <v>681</v>
      </c>
      <c r="E388" s="16" t="s">
        <v>682</v>
      </c>
      <c r="F388" s="16" t="s">
        <v>14</v>
      </c>
      <c r="G388" s="17">
        <v>971</v>
      </c>
    </row>
    <row r="389" spans="1:7" s="18" customFormat="1" ht="16.5" customHeight="1" x14ac:dyDescent="0.25">
      <c r="A389" s="12">
        <v>46047</v>
      </c>
      <c r="B389" s="12" t="s">
        <v>683</v>
      </c>
      <c r="C389" s="27" t="s">
        <v>99</v>
      </c>
      <c r="D389" s="16" t="s">
        <v>684</v>
      </c>
      <c r="E389" s="16" t="s">
        <v>685</v>
      </c>
      <c r="F389" s="16" t="s">
        <v>14</v>
      </c>
      <c r="G389" s="17">
        <v>188.3</v>
      </c>
    </row>
    <row r="390" spans="1:7" s="18" customFormat="1" ht="16.5" customHeight="1" x14ac:dyDescent="0.25">
      <c r="A390" s="12">
        <v>46048</v>
      </c>
      <c r="B390" s="12" t="s">
        <v>686</v>
      </c>
      <c r="C390" s="27" t="s">
        <v>99</v>
      </c>
      <c r="D390" s="16" t="s">
        <v>142</v>
      </c>
      <c r="E390" s="16" t="s">
        <v>687</v>
      </c>
      <c r="F390" s="16" t="s">
        <v>14</v>
      </c>
      <c r="G390" s="17">
        <v>31.25</v>
      </c>
    </row>
    <row r="391" spans="1:7" s="18" customFormat="1" ht="16.5" customHeight="1" x14ac:dyDescent="0.25">
      <c r="A391" s="12">
        <v>46048</v>
      </c>
      <c r="B391" s="12" t="s">
        <v>688</v>
      </c>
      <c r="C391" s="27" t="s">
        <v>99</v>
      </c>
      <c r="D391" s="16" t="s">
        <v>44</v>
      </c>
      <c r="E391" s="38" t="s">
        <v>689</v>
      </c>
      <c r="F391" s="16" t="s">
        <v>14</v>
      </c>
      <c r="G391" s="17">
        <v>549.66999999999996</v>
      </c>
    </row>
    <row r="392" spans="1:7" s="18" customFormat="1" ht="16.5" customHeight="1" x14ac:dyDescent="0.25">
      <c r="A392" s="12">
        <v>46050</v>
      </c>
      <c r="B392" s="12" t="s">
        <v>690</v>
      </c>
      <c r="C392" s="29" t="s">
        <v>39</v>
      </c>
      <c r="D392" s="16" t="s">
        <v>681</v>
      </c>
      <c r="E392" s="16" t="s">
        <v>691</v>
      </c>
      <c r="F392" s="16" t="s">
        <v>14</v>
      </c>
      <c r="G392" s="17">
        <v>60</v>
      </c>
    </row>
    <row r="393" spans="1:7" s="18" customFormat="1" ht="16.5" customHeight="1" x14ac:dyDescent="0.25">
      <c r="A393" s="12">
        <v>46050</v>
      </c>
      <c r="B393" s="12" t="s">
        <v>692</v>
      </c>
      <c r="C393" s="29" t="s">
        <v>670</v>
      </c>
      <c r="D393" s="16" t="s">
        <v>681</v>
      </c>
      <c r="E393" s="16" t="s">
        <v>693</v>
      </c>
      <c r="F393" s="16" t="s">
        <v>14</v>
      </c>
      <c r="G393" s="17">
        <v>3150</v>
      </c>
    </row>
    <row r="394" spans="1:7" s="18" customFormat="1" ht="16.5" customHeight="1" x14ac:dyDescent="0.25">
      <c r="A394" s="12">
        <v>46050</v>
      </c>
      <c r="B394" s="12" t="s">
        <v>694</v>
      </c>
      <c r="C394" s="27" t="s">
        <v>159</v>
      </c>
      <c r="D394" s="16" t="s">
        <v>681</v>
      </c>
      <c r="E394" s="16" t="s">
        <v>695</v>
      </c>
      <c r="F394" s="16" t="s">
        <v>14</v>
      </c>
      <c r="G394" s="17">
        <v>50</v>
      </c>
    </row>
    <row r="395" spans="1:7" s="18" customFormat="1" ht="16.5" customHeight="1" x14ac:dyDescent="0.25">
      <c r="A395" s="12">
        <v>46051</v>
      </c>
      <c r="B395" s="12" t="s">
        <v>696</v>
      </c>
      <c r="C395" s="29" t="s">
        <v>303</v>
      </c>
      <c r="D395" s="16" t="s">
        <v>697</v>
      </c>
      <c r="E395" s="16" t="s">
        <v>698</v>
      </c>
      <c r="F395" s="16" t="s">
        <v>14</v>
      </c>
      <c r="G395" s="17">
        <v>205.36</v>
      </c>
    </row>
    <row r="396" spans="1:7" s="18" customFormat="1" ht="16.5" customHeight="1" x14ac:dyDescent="0.25">
      <c r="A396" s="12">
        <v>46051</v>
      </c>
      <c r="B396" s="12" t="s">
        <v>699</v>
      </c>
      <c r="C396" s="27" t="s">
        <v>99</v>
      </c>
      <c r="D396" s="16" t="s">
        <v>442</v>
      </c>
      <c r="E396" s="16" t="s">
        <v>700</v>
      </c>
      <c r="F396" s="16" t="s">
        <v>14</v>
      </c>
      <c r="G396" s="17">
        <v>4800</v>
      </c>
    </row>
    <row r="397" spans="1:7" s="18" customFormat="1" ht="16.5" customHeight="1" x14ac:dyDescent="0.25">
      <c r="A397" s="12">
        <v>46052</v>
      </c>
      <c r="B397" s="12" t="s">
        <v>701</v>
      </c>
      <c r="C397" s="29" t="s">
        <v>23</v>
      </c>
      <c r="D397" s="16" t="s">
        <v>681</v>
      </c>
      <c r="E397" s="16" t="s">
        <v>702</v>
      </c>
      <c r="F397" s="16" t="s">
        <v>14</v>
      </c>
      <c r="G397" s="17">
        <v>8000</v>
      </c>
    </row>
    <row r="398" spans="1:7" s="18" customFormat="1" ht="16.5" customHeight="1" x14ac:dyDescent="0.25">
      <c r="A398" s="12">
        <v>46053</v>
      </c>
      <c r="B398" s="12" t="s">
        <v>703</v>
      </c>
      <c r="C398" s="27" t="s">
        <v>573</v>
      </c>
      <c r="D398" s="16" t="s">
        <v>681</v>
      </c>
      <c r="E398" s="16" t="s">
        <v>704</v>
      </c>
      <c r="F398" s="16" t="s">
        <v>14</v>
      </c>
      <c r="G398" s="17">
        <v>1050</v>
      </c>
    </row>
    <row r="399" spans="1:7" s="18" customFormat="1" ht="16.5" customHeight="1" x14ac:dyDescent="0.25">
      <c r="A399" s="12">
        <v>46054</v>
      </c>
      <c r="B399" s="12" t="s">
        <v>705</v>
      </c>
      <c r="C399" s="27" t="s">
        <v>330</v>
      </c>
      <c r="D399" s="42" t="s">
        <v>706</v>
      </c>
      <c r="E399" s="16" t="s">
        <v>707</v>
      </c>
      <c r="F399" s="16" t="s">
        <v>14</v>
      </c>
      <c r="G399" s="17">
        <v>1251.53</v>
      </c>
    </row>
    <row r="400" spans="1:7" s="18" customFormat="1" ht="16.5" customHeight="1" x14ac:dyDescent="0.25">
      <c r="A400" s="12">
        <v>46055</v>
      </c>
      <c r="B400" s="12" t="s">
        <v>708</v>
      </c>
      <c r="C400" s="27" t="s">
        <v>39</v>
      </c>
      <c r="D400" s="16" t="s">
        <v>709</v>
      </c>
      <c r="E400" s="16" t="s">
        <v>710</v>
      </c>
      <c r="F400" s="16" t="s">
        <v>14</v>
      </c>
      <c r="G400" s="17">
        <v>1517.87</v>
      </c>
    </row>
    <row r="401" spans="1:7" s="18" customFormat="1" ht="16.5" customHeight="1" x14ac:dyDescent="0.25">
      <c r="A401" s="12">
        <v>46055</v>
      </c>
      <c r="B401" s="12" t="s">
        <v>711</v>
      </c>
      <c r="C401" s="27" t="s">
        <v>670</v>
      </c>
      <c r="D401" s="16" t="s">
        <v>712</v>
      </c>
      <c r="E401" s="16" t="s">
        <v>713</v>
      </c>
      <c r="F401" s="16" t="s">
        <v>14</v>
      </c>
      <c r="G401" s="17">
        <v>1341.96</v>
      </c>
    </row>
    <row r="402" spans="1:7" s="18" customFormat="1" ht="16.5" customHeight="1" x14ac:dyDescent="0.25">
      <c r="A402" s="12">
        <v>46055</v>
      </c>
      <c r="B402" s="12" t="s">
        <v>714</v>
      </c>
      <c r="C402" s="27" t="s">
        <v>670</v>
      </c>
      <c r="D402" s="16" t="s">
        <v>715</v>
      </c>
      <c r="E402" s="16" t="s">
        <v>716</v>
      </c>
      <c r="F402" s="16" t="s">
        <v>14</v>
      </c>
      <c r="G402" s="17">
        <v>43.21</v>
      </c>
    </row>
    <row r="403" spans="1:7" s="18" customFormat="1" ht="16.5" customHeight="1" x14ac:dyDescent="0.25">
      <c r="A403" s="12">
        <v>46055</v>
      </c>
      <c r="B403" s="12" t="s">
        <v>717</v>
      </c>
      <c r="C403" s="27" t="s">
        <v>99</v>
      </c>
      <c r="D403" s="16" t="s">
        <v>718</v>
      </c>
      <c r="E403" s="16" t="s">
        <v>719</v>
      </c>
      <c r="F403" s="16" t="s">
        <v>14</v>
      </c>
      <c r="G403" s="17">
        <v>105.36</v>
      </c>
    </row>
    <row r="404" spans="1:7" s="18" customFormat="1" ht="16.5" customHeight="1" x14ac:dyDescent="0.25">
      <c r="A404" s="12">
        <v>46055</v>
      </c>
      <c r="B404" s="12" t="s">
        <v>720</v>
      </c>
      <c r="C404" s="27" t="s">
        <v>99</v>
      </c>
      <c r="D404" s="16" t="s">
        <v>44</v>
      </c>
      <c r="E404" s="16" t="s">
        <v>721</v>
      </c>
      <c r="F404" s="16" t="s">
        <v>14</v>
      </c>
      <c r="G404" s="17">
        <v>123.55</v>
      </c>
    </row>
    <row r="405" spans="1:7" s="18" customFormat="1" ht="16.5" customHeight="1" x14ac:dyDescent="0.25">
      <c r="A405" s="12">
        <v>46056</v>
      </c>
      <c r="B405" s="12" t="s">
        <v>722</v>
      </c>
      <c r="C405" s="29" t="s">
        <v>303</v>
      </c>
      <c r="D405" s="16" t="s">
        <v>304</v>
      </c>
      <c r="E405" s="16" t="s">
        <v>723</v>
      </c>
      <c r="F405" s="16" t="s">
        <v>14</v>
      </c>
      <c r="G405" s="17">
        <v>327.38</v>
      </c>
    </row>
    <row r="406" spans="1:7" s="18" customFormat="1" ht="16.5" customHeight="1" x14ac:dyDescent="0.25">
      <c r="A406" s="12">
        <v>46058</v>
      </c>
      <c r="B406" s="12" t="s">
        <v>724</v>
      </c>
      <c r="C406" s="14" t="s">
        <v>53</v>
      </c>
      <c r="D406" s="16" t="s">
        <v>337</v>
      </c>
      <c r="E406" s="16" t="s">
        <v>725</v>
      </c>
      <c r="F406" s="16" t="s">
        <v>14</v>
      </c>
      <c r="G406" s="17">
        <v>3303.57</v>
      </c>
    </row>
    <row r="407" spans="1:7" s="18" customFormat="1" ht="16.5" customHeight="1" x14ac:dyDescent="0.25">
      <c r="A407" s="12">
        <v>46061</v>
      </c>
      <c r="B407" s="12" t="s">
        <v>726</v>
      </c>
      <c r="C407" s="27" t="s">
        <v>39</v>
      </c>
      <c r="D407" s="16" t="s">
        <v>181</v>
      </c>
      <c r="E407" s="16" t="s">
        <v>727</v>
      </c>
      <c r="F407" s="16" t="s">
        <v>14</v>
      </c>
      <c r="G407" s="17">
        <v>111.61</v>
      </c>
    </row>
    <row r="408" spans="1:7" s="18" customFormat="1" ht="16.5" customHeight="1" x14ac:dyDescent="0.25">
      <c r="A408" s="12">
        <v>46062</v>
      </c>
      <c r="B408" s="12" t="s">
        <v>728</v>
      </c>
      <c r="C408" s="27" t="s">
        <v>99</v>
      </c>
      <c r="D408" s="16" t="s">
        <v>44</v>
      </c>
      <c r="E408" s="16" t="s">
        <v>729</v>
      </c>
      <c r="F408" s="16" t="s">
        <v>14</v>
      </c>
      <c r="G408" s="17">
        <v>522.57000000000005</v>
      </c>
    </row>
    <row r="409" spans="1:7" s="18" customFormat="1" ht="16.5" customHeight="1" x14ac:dyDescent="0.25">
      <c r="A409" s="12">
        <v>46062</v>
      </c>
      <c r="B409" s="12" t="s">
        <v>730</v>
      </c>
      <c r="C409" s="27" t="s">
        <v>159</v>
      </c>
      <c r="D409" s="16" t="s">
        <v>681</v>
      </c>
      <c r="E409" s="16" t="s">
        <v>731</v>
      </c>
      <c r="F409" s="16" t="s">
        <v>14</v>
      </c>
      <c r="G409" s="17">
        <v>65</v>
      </c>
    </row>
    <row r="410" spans="1:7" s="18" customFormat="1" ht="16.5" customHeight="1" x14ac:dyDescent="0.25">
      <c r="A410" s="12">
        <v>46063</v>
      </c>
      <c r="B410" s="12" t="s">
        <v>732</v>
      </c>
      <c r="C410" s="27" t="s">
        <v>330</v>
      </c>
      <c r="D410" s="16" t="s">
        <v>733</v>
      </c>
      <c r="E410" s="16" t="s">
        <v>734</v>
      </c>
      <c r="F410" s="16" t="s">
        <v>14</v>
      </c>
      <c r="G410" s="17">
        <v>79619.75</v>
      </c>
    </row>
    <row r="411" spans="1:7" s="18" customFormat="1" ht="16.5" customHeight="1" x14ac:dyDescent="0.25">
      <c r="A411" s="12">
        <v>46066</v>
      </c>
      <c r="B411" s="12" t="s">
        <v>735</v>
      </c>
      <c r="C411" s="29" t="s">
        <v>23</v>
      </c>
      <c r="D411" s="16" t="s">
        <v>681</v>
      </c>
      <c r="E411" s="16" t="s">
        <v>736</v>
      </c>
      <c r="F411" s="16" t="s">
        <v>14</v>
      </c>
      <c r="G411" s="17">
        <v>15000</v>
      </c>
    </row>
    <row r="412" spans="1:7" s="18" customFormat="1" ht="16.5" customHeight="1" x14ac:dyDescent="0.25">
      <c r="A412" s="12">
        <v>46067</v>
      </c>
      <c r="B412" s="12" t="s">
        <v>737</v>
      </c>
      <c r="C412" s="29" t="s">
        <v>23</v>
      </c>
      <c r="D412" s="16" t="s">
        <v>332</v>
      </c>
      <c r="E412" s="16" t="s">
        <v>738</v>
      </c>
      <c r="F412" s="16" t="s">
        <v>14</v>
      </c>
      <c r="G412" s="17">
        <v>9900</v>
      </c>
    </row>
    <row r="413" spans="1:7" s="18" customFormat="1" ht="16.5" customHeight="1" x14ac:dyDescent="0.25">
      <c r="A413" s="12">
        <v>46067</v>
      </c>
      <c r="B413" s="12" t="s">
        <v>737</v>
      </c>
      <c r="C413" s="29" t="s">
        <v>27</v>
      </c>
      <c r="D413" s="16" t="s">
        <v>332</v>
      </c>
      <c r="E413" s="16" t="s">
        <v>738</v>
      </c>
      <c r="F413" s="16" t="s">
        <v>14</v>
      </c>
      <c r="G413" s="17">
        <v>1350</v>
      </c>
    </row>
    <row r="414" spans="1:7" s="18" customFormat="1" ht="16.5" customHeight="1" x14ac:dyDescent="0.25">
      <c r="A414" s="12">
        <v>46067</v>
      </c>
      <c r="B414" s="12" t="s">
        <v>737</v>
      </c>
      <c r="C414" s="29" t="s">
        <v>219</v>
      </c>
      <c r="D414" s="16" t="s">
        <v>332</v>
      </c>
      <c r="E414" s="16" t="s">
        <v>738</v>
      </c>
      <c r="F414" s="16" t="s">
        <v>14</v>
      </c>
      <c r="G414" s="17">
        <v>12258.75</v>
      </c>
    </row>
    <row r="415" spans="1:7" s="18" customFormat="1" ht="16.5" customHeight="1" x14ac:dyDescent="0.25">
      <c r="A415" s="12">
        <v>46067</v>
      </c>
      <c r="B415" s="12" t="s">
        <v>737</v>
      </c>
      <c r="C415" s="29" t="s">
        <v>132</v>
      </c>
      <c r="D415" s="16" t="s">
        <v>332</v>
      </c>
      <c r="E415" s="16" t="s">
        <v>738</v>
      </c>
      <c r="F415" s="16" t="s">
        <v>14</v>
      </c>
      <c r="G415" s="17">
        <v>1725.5</v>
      </c>
    </row>
    <row r="416" spans="1:7" s="18" customFormat="1" ht="16.5" customHeight="1" x14ac:dyDescent="0.25">
      <c r="A416" s="12">
        <v>46067</v>
      </c>
      <c r="B416" s="12" t="s">
        <v>737</v>
      </c>
      <c r="C416" s="29" t="s">
        <v>30</v>
      </c>
      <c r="D416" s="16" t="s">
        <v>332</v>
      </c>
      <c r="E416" s="16" t="s">
        <v>738</v>
      </c>
      <c r="F416" s="16" t="s">
        <v>14</v>
      </c>
      <c r="G416" s="17">
        <v>7698.75</v>
      </c>
    </row>
    <row r="417" spans="1:8" s="18" customFormat="1" ht="16.5" customHeight="1" x14ac:dyDescent="0.25">
      <c r="A417" s="12">
        <v>46067</v>
      </c>
      <c r="B417" s="12" t="s">
        <v>737</v>
      </c>
      <c r="C417" s="43" t="s">
        <v>125</v>
      </c>
      <c r="D417" s="16" t="s">
        <v>332</v>
      </c>
      <c r="E417" s="16" t="s">
        <v>738</v>
      </c>
      <c r="F417" s="16" t="s">
        <v>14</v>
      </c>
      <c r="G417" s="17">
        <v>2800</v>
      </c>
    </row>
    <row r="418" spans="1:8" s="18" customFormat="1" ht="16.5" customHeight="1" x14ac:dyDescent="0.25">
      <c r="A418" s="12">
        <v>46067</v>
      </c>
      <c r="B418" s="12" t="s">
        <v>737</v>
      </c>
      <c r="C418" s="27" t="s">
        <v>330</v>
      </c>
      <c r="D418" s="16" t="s">
        <v>332</v>
      </c>
      <c r="E418" s="16" t="s">
        <v>738</v>
      </c>
      <c r="F418" s="16" t="s">
        <v>14</v>
      </c>
      <c r="G418" s="17">
        <v>43750.55</v>
      </c>
    </row>
    <row r="419" spans="1:8" s="18" customFormat="1" ht="16.5" customHeight="1" x14ac:dyDescent="0.25">
      <c r="A419" s="12">
        <v>46068</v>
      </c>
      <c r="B419" s="12" t="s">
        <v>739</v>
      </c>
      <c r="C419" s="27" t="s">
        <v>43</v>
      </c>
      <c r="D419" s="16" t="s">
        <v>175</v>
      </c>
      <c r="E419" s="16" t="s">
        <v>740</v>
      </c>
      <c r="F419" s="16" t="s">
        <v>14</v>
      </c>
      <c r="G419" s="17">
        <v>7872.83</v>
      </c>
    </row>
    <row r="420" spans="1:8" s="18" customFormat="1" ht="16.5" customHeight="1" x14ac:dyDescent="0.25">
      <c r="A420" s="12">
        <v>46069</v>
      </c>
      <c r="B420" s="12" t="s">
        <v>741</v>
      </c>
      <c r="C420" s="29" t="s">
        <v>34</v>
      </c>
      <c r="D420" s="16" t="s">
        <v>742</v>
      </c>
      <c r="E420" s="16" t="s">
        <v>743</v>
      </c>
      <c r="F420" s="16" t="s">
        <v>14</v>
      </c>
      <c r="G420" s="17">
        <v>242.62</v>
      </c>
    </row>
    <row r="421" spans="1:8" s="18" customFormat="1" ht="16.5" customHeight="1" x14ac:dyDescent="0.25">
      <c r="A421" s="12">
        <v>46069</v>
      </c>
      <c r="B421" s="12" t="s">
        <v>744</v>
      </c>
      <c r="C421" s="29" t="s">
        <v>34</v>
      </c>
      <c r="D421" s="16" t="s">
        <v>745</v>
      </c>
      <c r="E421" s="16" t="s">
        <v>746</v>
      </c>
      <c r="F421" s="16" t="s">
        <v>14</v>
      </c>
      <c r="G421" s="17">
        <v>298.14</v>
      </c>
    </row>
    <row r="422" spans="1:8" s="18" customFormat="1" ht="16.5" customHeight="1" x14ac:dyDescent="0.25">
      <c r="A422" s="12">
        <v>46069</v>
      </c>
      <c r="B422" s="12" t="s">
        <v>741</v>
      </c>
      <c r="C422" s="29" t="s">
        <v>37</v>
      </c>
      <c r="D422" s="16" t="s">
        <v>742</v>
      </c>
      <c r="E422" s="16" t="s">
        <v>743</v>
      </c>
      <c r="F422" s="16" t="s">
        <v>14</v>
      </c>
      <c r="G422" s="17">
        <v>13.28</v>
      </c>
      <c r="H422" s="19"/>
    </row>
    <row r="423" spans="1:8" s="18" customFormat="1" ht="16.2" customHeight="1" x14ac:dyDescent="0.25">
      <c r="A423" s="12">
        <v>46069</v>
      </c>
      <c r="B423" s="12" t="s">
        <v>744</v>
      </c>
      <c r="C423" s="29" t="s">
        <v>37</v>
      </c>
      <c r="D423" s="16" t="s">
        <v>745</v>
      </c>
      <c r="E423" s="16" t="s">
        <v>746</v>
      </c>
      <c r="F423" s="16" t="s">
        <v>14</v>
      </c>
      <c r="G423" s="17">
        <v>16.079999999999998</v>
      </c>
    </row>
    <row r="424" spans="1:8" s="18" customFormat="1" ht="16.2" customHeight="1" x14ac:dyDescent="0.25">
      <c r="A424" s="12">
        <v>46069</v>
      </c>
      <c r="B424" s="12" t="s">
        <v>747</v>
      </c>
      <c r="C424" s="27" t="s">
        <v>39</v>
      </c>
      <c r="D424" s="16" t="s">
        <v>748</v>
      </c>
      <c r="E424" s="16" t="s">
        <v>749</v>
      </c>
      <c r="F424" s="16" t="s">
        <v>14</v>
      </c>
      <c r="G424" s="17">
        <v>156.25</v>
      </c>
    </row>
    <row r="425" spans="1:8" s="18" customFormat="1" ht="16.2" customHeight="1" x14ac:dyDescent="0.25">
      <c r="A425" s="12">
        <v>46069</v>
      </c>
      <c r="B425" s="12" t="s">
        <v>750</v>
      </c>
      <c r="C425" s="27" t="s">
        <v>39</v>
      </c>
      <c r="D425" s="16" t="s">
        <v>712</v>
      </c>
      <c r="E425" s="16" t="s">
        <v>751</v>
      </c>
      <c r="F425" s="16" t="s">
        <v>14</v>
      </c>
      <c r="G425" s="17">
        <v>26.79</v>
      </c>
    </row>
    <row r="426" spans="1:8" s="18" customFormat="1" ht="16.2" customHeight="1" x14ac:dyDescent="0.25">
      <c r="A426" s="12">
        <v>46069</v>
      </c>
      <c r="B426" s="12" t="s">
        <v>752</v>
      </c>
      <c r="C426" s="27" t="s">
        <v>99</v>
      </c>
      <c r="D426" s="16" t="s">
        <v>44</v>
      </c>
      <c r="E426" s="16" t="s">
        <v>753</v>
      </c>
      <c r="F426" s="16" t="s">
        <v>14</v>
      </c>
      <c r="G426" s="17">
        <v>312.10000000000002</v>
      </c>
    </row>
    <row r="427" spans="1:8" s="18" customFormat="1" ht="16.2" customHeight="1" x14ac:dyDescent="0.25">
      <c r="A427" s="12">
        <v>46071</v>
      </c>
      <c r="B427" s="12" t="s">
        <v>754</v>
      </c>
      <c r="C427" s="29" t="s">
        <v>34</v>
      </c>
      <c r="D427" s="16" t="s">
        <v>47</v>
      </c>
      <c r="E427" s="16" t="s">
        <v>755</v>
      </c>
      <c r="F427" s="16" t="s">
        <v>14</v>
      </c>
      <c r="G427" s="17">
        <v>255.37</v>
      </c>
    </row>
    <row r="428" spans="1:8" s="18" customFormat="1" ht="16.2" customHeight="1" x14ac:dyDescent="0.25">
      <c r="A428" s="12">
        <v>46071</v>
      </c>
      <c r="B428" s="12" t="s">
        <v>754</v>
      </c>
      <c r="C428" s="29" t="s">
        <v>37</v>
      </c>
      <c r="D428" s="16" t="s">
        <v>47</v>
      </c>
      <c r="E428" s="16" t="s">
        <v>755</v>
      </c>
      <c r="F428" s="16" t="s">
        <v>14</v>
      </c>
      <c r="G428" s="17">
        <v>13.99</v>
      </c>
    </row>
    <row r="429" spans="1:8" s="18" customFormat="1" ht="16.2" customHeight="1" x14ac:dyDescent="0.25">
      <c r="A429" s="12">
        <v>46071</v>
      </c>
      <c r="B429" s="12" t="s">
        <v>756</v>
      </c>
      <c r="C429" s="27" t="s">
        <v>99</v>
      </c>
      <c r="D429" s="16" t="s">
        <v>757</v>
      </c>
      <c r="E429" s="16" t="s">
        <v>758</v>
      </c>
      <c r="F429" s="16" t="s">
        <v>14</v>
      </c>
      <c r="G429" s="17">
        <v>66.959999999999994</v>
      </c>
    </row>
    <row r="430" spans="1:8" s="18" customFormat="1" ht="16.2" customHeight="1" x14ac:dyDescent="0.25">
      <c r="A430" s="12">
        <v>46072</v>
      </c>
      <c r="B430" s="12" t="s">
        <v>759</v>
      </c>
      <c r="C430" s="29" t="s">
        <v>34</v>
      </c>
      <c r="D430" s="16" t="s">
        <v>85</v>
      </c>
      <c r="E430" s="16" t="s">
        <v>760</v>
      </c>
      <c r="F430" s="16" t="s">
        <v>14</v>
      </c>
      <c r="G430" s="17">
        <v>260.93</v>
      </c>
    </row>
    <row r="431" spans="1:8" s="18" customFormat="1" ht="16.2" customHeight="1" x14ac:dyDescent="0.25">
      <c r="A431" s="12">
        <v>46072</v>
      </c>
      <c r="B431" s="12" t="s">
        <v>761</v>
      </c>
      <c r="C431" s="22" t="s">
        <v>34</v>
      </c>
      <c r="D431" s="16" t="s">
        <v>85</v>
      </c>
      <c r="E431" s="16" t="s">
        <v>762</v>
      </c>
      <c r="F431" s="16" t="s">
        <v>14</v>
      </c>
      <c r="G431" s="17">
        <v>985.86</v>
      </c>
    </row>
    <row r="432" spans="1:8" s="18" customFormat="1" ht="16.2" customHeight="1" x14ac:dyDescent="0.25">
      <c r="A432" s="12">
        <v>46072</v>
      </c>
      <c r="B432" s="12" t="s">
        <v>759</v>
      </c>
      <c r="C432" s="29" t="s">
        <v>37</v>
      </c>
      <c r="D432" s="16" t="s">
        <v>85</v>
      </c>
      <c r="E432" s="16" t="s">
        <v>760</v>
      </c>
      <c r="F432" s="16" t="s">
        <v>14</v>
      </c>
      <c r="G432" s="17">
        <v>51.76</v>
      </c>
    </row>
    <row r="433" spans="1:8" s="18" customFormat="1" ht="16.2" customHeight="1" x14ac:dyDescent="0.25">
      <c r="A433" s="12">
        <v>46072</v>
      </c>
      <c r="B433" s="12" t="s">
        <v>761</v>
      </c>
      <c r="C433" s="29" t="s">
        <v>37</v>
      </c>
      <c r="D433" s="16" t="s">
        <v>85</v>
      </c>
      <c r="E433" s="16" t="s">
        <v>762</v>
      </c>
      <c r="F433" s="16" t="s">
        <v>14</v>
      </c>
      <c r="G433" s="17">
        <v>51.84</v>
      </c>
    </row>
    <row r="434" spans="1:8" s="18" customFormat="1" ht="16.2" customHeight="1" x14ac:dyDescent="0.25">
      <c r="A434" s="12">
        <v>46073</v>
      </c>
      <c r="B434" s="12" t="s">
        <v>763</v>
      </c>
      <c r="C434" s="27" t="s">
        <v>11</v>
      </c>
      <c r="D434" s="16" t="s">
        <v>764</v>
      </c>
      <c r="E434" s="16" t="s">
        <v>765</v>
      </c>
      <c r="F434" s="16" t="s">
        <v>14</v>
      </c>
      <c r="G434" s="17">
        <f>111919.64*0</f>
        <v>0</v>
      </c>
    </row>
    <row r="435" spans="1:8" s="18" customFormat="1" ht="16.2" customHeight="1" x14ac:dyDescent="0.25">
      <c r="A435" s="12">
        <v>46073</v>
      </c>
      <c r="B435" s="12" t="s">
        <v>766</v>
      </c>
      <c r="C435" s="14" t="s">
        <v>53</v>
      </c>
      <c r="D435" s="16" t="s">
        <v>337</v>
      </c>
      <c r="E435" s="16" t="s">
        <v>767</v>
      </c>
      <c r="F435" s="16" t="s">
        <v>14</v>
      </c>
      <c r="G435" s="17">
        <v>3571.43</v>
      </c>
    </row>
    <row r="436" spans="1:8" s="18" customFormat="1" ht="16.2" customHeight="1" x14ac:dyDescent="0.25">
      <c r="A436" s="12">
        <v>46073</v>
      </c>
      <c r="B436" s="12" t="s">
        <v>768</v>
      </c>
      <c r="C436" s="27" t="s">
        <v>43</v>
      </c>
      <c r="D436" s="16" t="s">
        <v>769</v>
      </c>
      <c r="E436" s="16" t="s">
        <v>770</v>
      </c>
      <c r="F436" s="16" t="s">
        <v>14</v>
      </c>
      <c r="G436" s="17">
        <v>200.89</v>
      </c>
    </row>
    <row r="437" spans="1:8" s="18" customFormat="1" ht="16.2" customHeight="1" x14ac:dyDescent="0.25">
      <c r="A437" s="12">
        <v>46075</v>
      </c>
      <c r="B437" s="12" t="s">
        <v>771</v>
      </c>
      <c r="C437" s="27" t="s">
        <v>43</v>
      </c>
      <c r="D437" s="16" t="s">
        <v>44</v>
      </c>
      <c r="E437" s="16" t="s">
        <v>772</v>
      </c>
      <c r="F437" s="16" t="s">
        <v>14</v>
      </c>
      <c r="G437" s="17">
        <v>743.17</v>
      </c>
    </row>
    <row r="438" spans="1:8" s="18" customFormat="1" ht="16.2" customHeight="1" x14ac:dyDescent="0.25">
      <c r="A438" s="12">
        <v>46076</v>
      </c>
      <c r="B438" s="12" t="s">
        <v>773</v>
      </c>
      <c r="C438" s="27" t="s">
        <v>670</v>
      </c>
      <c r="D438" s="16" t="s">
        <v>40</v>
      </c>
      <c r="E438" s="16" t="s">
        <v>774</v>
      </c>
      <c r="F438" s="16" t="s">
        <v>14</v>
      </c>
      <c r="G438" s="17">
        <v>640</v>
      </c>
    </row>
    <row r="439" spans="1:8" s="18" customFormat="1" ht="16.2" customHeight="1" x14ac:dyDescent="0.25">
      <c r="A439" s="12">
        <v>46076</v>
      </c>
      <c r="B439" s="12" t="s">
        <v>775</v>
      </c>
      <c r="C439" s="27" t="s">
        <v>43</v>
      </c>
      <c r="D439" s="16" t="s">
        <v>776</v>
      </c>
      <c r="E439" s="16" t="s">
        <v>777</v>
      </c>
      <c r="F439" s="16" t="s">
        <v>14</v>
      </c>
      <c r="G439" s="17">
        <v>539.20000000000005</v>
      </c>
      <c r="H439" s="19"/>
    </row>
    <row r="440" spans="1:8" s="18" customFormat="1" ht="16.2" customHeight="1" x14ac:dyDescent="0.25">
      <c r="A440" s="12">
        <v>46076</v>
      </c>
      <c r="B440" s="12" t="s">
        <v>778</v>
      </c>
      <c r="C440" s="27" t="s">
        <v>99</v>
      </c>
      <c r="D440" s="16" t="s">
        <v>44</v>
      </c>
      <c r="E440" s="16" t="s">
        <v>779</v>
      </c>
      <c r="F440" s="16" t="s">
        <v>14</v>
      </c>
      <c r="G440" s="17">
        <v>472.46</v>
      </c>
      <c r="H440" s="19"/>
    </row>
    <row r="441" spans="1:8" s="18" customFormat="1" ht="16.2" customHeight="1" x14ac:dyDescent="0.25">
      <c r="A441" s="12">
        <v>46076</v>
      </c>
      <c r="B441" s="12" t="s">
        <v>780</v>
      </c>
      <c r="C441" s="27" t="s">
        <v>781</v>
      </c>
      <c r="D441" s="16" t="s">
        <v>782</v>
      </c>
      <c r="E441" s="16" t="s">
        <v>783</v>
      </c>
      <c r="F441" s="16" t="s">
        <v>14</v>
      </c>
      <c r="G441" s="17">
        <v>401.79</v>
      </c>
    </row>
    <row r="442" spans="1:8" s="18" customFormat="1" ht="16.2" customHeight="1" x14ac:dyDescent="0.25">
      <c r="A442" s="12">
        <v>46078</v>
      </c>
      <c r="B442" s="12" t="s">
        <v>784</v>
      </c>
      <c r="C442" s="29" t="s">
        <v>23</v>
      </c>
      <c r="D442" s="16" t="s">
        <v>229</v>
      </c>
      <c r="E442" s="16" t="s">
        <v>673</v>
      </c>
      <c r="F442" s="16" t="s">
        <v>14</v>
      </c>
      <c r="G442" s="17">
        <v>10000</v>
      </c>
      <c r="H442" s="19"/>
    </row>
    <row r="443" spans="1:8" s="18" customFormat="1" ht="16.2" customHeight="1" x14ac:dyDescent="0.25">
      <c r="A443" s="12">
        <v>46078</v>
      </c>
      <c r="B443" s="12" t="s">
        <v>785</v>
      </c>
      <c r="C443" s="29" t="s">
        <v>34</v>
      </c>
      <c r="D443" s="16" t="s">
        <v>47</v>
      </c>
      <c r="E443" s="16" t="s">
        <v>786</v>
      </c>
      <c r="F443" s="16" t="s">
        <v>14</v>
      </c>
      <c r="G443" s="17">
        <v>255.93</v>
      </c>
    </row>
    <row r="444" spans="1:8" s="18" customFormat="1" ht="16.2" customHeight="1" x14ac:dyDescent="0.25">
      <c r="A444" s="12">
        <v>46078</v>
      </c>
      <c r="B444" s="12" t="s">
        <v>785</v>
      </c>
      <c r="C444" s="29" t="s">
        <v>37</v>
      </c>
      <c r="D444" s="16" t="s">
        <v>47</v>
      </c>
      <c r="E444" s="16" t="s">
        <v>786</v>
      </c>
      <c r="F444" s="16" t="s">
        <v>14</v>
      </c>
      <c r="G444" s="17">
        <v>51.84</v>
      </c>
    </row>
    <row r="445" spans="1:8" s="18" customFormat="1" ht="16.2" customHeight="1" x14ac:dyDescent="0.25">
      <c r="A445" s="12">
        <v>46078</v>
      </c>
      <c r="B445" s="12" t="s">
        <v>787</v>
      </c>
      <c r="C445" s="27" t="s">
        <v>99</v>
      </c>
      <c r="D445" s="16" t="s">
        <v>145</v>
      </c>
      <c r="E445" s="16" t="s">
        <v>788</v>
      </c>
      <c r="F445" s="16" t="s">
        <v>14</v>
      </c>
      <c r="G445" s="17">
        <v>230.36</v>
      </c>
    </row>
    <row r="446" spans="1:8" s="18" customFormat="1" ht="16.2" customHeight="1" x14ac:dyDescent="0.25">
      <c r="A446" s="12">
        <v>46079</v>
      </c>
      <c r="B446" s="12" t="s">
        <v>789</v>
      </c>
      <c r="C446" s="27" t="s">
        <v>16</v>
      </c>
      <c r="D446" s="16" t="s">
        <v>790</v>
      </c>
      <c r="E446" s="16" t="s">
        <v>791</v>
      </c>
      <c r="F446" s="16" t="s">
        <v>14</v>
      </c>
      <c r="G446" s="17">
        <v>967.93</v>
      </c>
    </row>
    <row r="447" spans="1:8" s="18" customFormat="1" ht="16.2" customHeight="1" x14ac:dyDescent="0.25">
      <c r="A447" s="12">
        <v>46079</v>
      </c>
      <c r="B447" s="12" t="s">
        <v>792</v>
      </c>
      <c r="C447" s="27" t="s">
        <v>43</v>
      </c>
      <c r="D447" s="16" t="s">
        <v>793</v>
      </c>
      <c r="E447" s="16" t="s">
        <v>794</v>
      </c>
      <c r="F447" s="16" t="s">
        <v>14</v>
      </c>
      <c r="G447" s="17">
        <v>535.71</v>
      </c>
    </row>
    <row r="448" spans="1:8" s="18" customFormat="1" ht="16.2" customHeight="1" x14ac:dyDescent="0.25">
      <c r="A448" s="12">
        <v>46079</v>
      </c>
      <c r="B448" s="12" t="s">
        <v>795</v>
      </c>
      <c r="C448" s="27" t="s">
        <v>43</v>
      </c>
      <c r="D448" s="16" t="s">
        <v>793</v>
      </c>
      <c r="E448" s="16" t="s">
        <v>796</v>
      </c>
      <c r="F448" s="16" t="s">
        <v>14</v>
      </c>
      <c r="G448" s="17">
        <v>251.43</v>
      </c>
    </row>
    <row r="449" spans="1:8" s="18" customFormat="1" ht="16.2" customHeight="1" x14ac:dyDescent="0.25">
      <c r="A449" s="12">
        <v>46079</v>
      </c>
      <c r="B449" s="12" t="s">
        <v>797</v>
      </c>
      <c r="C449" s="27" t="s">
        <v>43</v>
      </c>
      <c r="D449" s="16" t="s">
        <v>145</v>
      </c>
      <c r="E449" s="16" t="s">
        <v>798</v>
      </c>
      <c r="F449" s="16" t="s">
        <v>14</v>
      </c>
      <c r="G449" s="17">
        <v>109.82</v>
      </c>
    </row>
    <row r="450" spans="1:8" s="18" customFormat="1" ht="16.2" customHeight="1" x14ac:dyDescent="0.25">
      <c r="A450" s="12">
        <v>46080</v>
      </c>
      <c r="B450" s="12" t="s">
        <v>799</v>
      </c>
      <c r="C450" s="29" t="s">
        <v>34</v>
      </c>
      <c r="D450" s="16" t="s">
        <v>800</v>
      </c>
      <c r="E450" s="16" t="s">
        <v>801</v>
      </c>
      <c r="F450" s="16" t="s">
        <v>14</v>
      </c>
      <c r="G450" s="17">
        <v>443.97</v>
      </c>
      <c r="H450" s="19"/>
    </row>
    <row r="451" spans="1:8" s="18" customFormat="1" ht="16.2" customHeight="1" x14ac:dyDescent="0.25">
      <c r="A451" s="12">
        <v>46080</v>
      </c>
      <c r="B451" s="12" t="s">
        <v>799</v>
      </c>
      <c r="C451" s="29" t="s">
        <v>37</v>
      </c>
      <c r="D451" s="16" t="s">
        <v>800</v>
      </c>
      <c r="E451" s="16" t="s">
        <v>801</v>
      </c>
      <c r="F451" s="16" t="s">
        <v>14</v>
      </c>
      <c r="G451" s="17">
        <v>22.77</v>
      </c>
      <c r="H451" s="19"/>
    </row>
    <row r="452" spans="1:8" s="18" customFormat="1" ht="16.2" customHeight="1" x14ac:dyDescent="0.25">
      <c r="A452" s="12">
        <v>46080</v>
      </c>
      <c r="B452" s="12" t="s">
        <v>802</v>
      </c>
      <c r="C452" s="27" t="s">
        <v>43</v>
      </c>
      <c r="D452" s="16" t="s">
        <v>803</v>
      </c>
      <c r="E452" s="16" t="s">
        <v>804</v>
      </c>
      <c r="F452" s="16" t="s">
        <v>14</v>
      </c>
      <c r="G452" s="17">
        <v>850</v>
      </c>
      <c r="H452" s="19"/>
    </row>
    <row r="453" spans="1:8" s="18" customFormat="1" ht="16.2" customHeight="1" x14ac:dyDescent="0.25">
      <c r="A453" s="12">
        <v>46081</v>
      </c>
      <c r="B453" s="12" t="s">
        <v>805</v>
      </c>
      <c r="C453" s="27" t="s">
        <v>43</v>
      </c>
      <c r="D453" s="16" t="s">
        <v>142</v>
      </c>
      <c r="E453" s="16" t="s">
        <v>806</v>
      </c>
      <c r="F453" s="16" t="s">
        <v>14</v>
      </c>
      <c r="G453" s="17">
        <v>59.82</v>
      </c>
    </row>
    <row r="454" spans="1:8" s="18" customFormat="1" ht="16.2" customHeight="1" x14ac:dyDescent="0.25">
      <c r="A454" s="12">
        <v>46081</v>
      </c>
      <c r="B454" s="12" t="s">
        <v>807</v>
      </c>
      <c r="C454" s="27" t="s">
        <v>43</v>
      </c>
      <c r="D454" s="16" t="s">
        <v>142</v>
      </c>
      <c r="E454" s="16" t="s">
        <v>804</v>
      </c>
      <c r="F454" s="16" t="s">
        <v>14</v>
      </c>
      <c r="G454" s="17">
        <v>64.290000000000006</v>
      </c>
    </row>
    <row r="455" spans="1:8" s="18" customFormat="1" ht="16.2" customHeight="1" x14ac:dyDescent="0.25">
      <c r="A455" s="12">
        <v>46081</v>
      </c>
      <c r="B455" s="12" t="s">
        <v>808</v>
      </c>
      <c r="C455" s="27" t="s">
        <v>43</v>
      </c>
      <c r="D455" s="16" t="s">
        <v>229</v>
      </c>
      <c r="E455" s="16" t="s">
        <v>809</v>
      </c>
      <c r="F455" s="16" t="s">
        <v>14</v>
      </c>
      <c r="G455" s="17">
        <v>567</v>
      </c>
      <c r="H455" s="19"/>
    </row>
    <row r="456" spans="1:8" s="18" customFormat="1" ht="16.2" customHeight="1" x14ac:dyDescent="0.25">
      <c r="A456" s="12">
        <v>46081</v>
      </c>
      <c r="B456" s="12" t="s">
        <v>810</v>
      </c>
      <c r="C456" s="27" t="s">
        <v>43</v>
      </c>
      <c r="D456" s="16" t="s">
        <v>811</v>
      </c>
      <c r="E456" s="16" t="s">
        <v>812</v>
      </c>
      <c r="F456" s="16" t="s">
        <v>14</v>
      </c>
      <c r="G456" s="17">
        <v>726.77</v>
      </c>
      <c r="H456" s="19"/>
    </row>
    <row r="457" spans="1:8" s="18" customFormat="1" ht="16.2" customHeight="1" x14ac:dyDescent="0.25">
      <c r="A457" s="12">
        <v>46082</v>
      </c>
      <c r="B457" s="12" t="s">
        <v>813</v>
      </c>
      <c r="C457" s="29" t="s">
        <v>99</v>
      </c>
      <c r="D457" s="16" t="s">
        <v>145</v>
      </c>
      <c r="E457" s="16" t="s">
        <v>814</v>
      </c>
      <c r="F457" s="16" t="s">
        <v>14</v>
      </c>
      <c r="G457" s="17">
        <v>116.07</v>
      </c>
      <c r="H457" s="19"/>
    </row>
    <row r="458" spans="1:8" s="18" customFormat="1" ht="16.2" customHeight="1" x14ac:dyDescent="0.25">
      <c r="A458" s="12">
        <v>46082</v>
      </c>
      <c r="B458" s="12" t="s">
        <v>815</v>
      </c>
      <c r="C458" s="29" t="s">
        <v>30</v>
      </c>
      <c r="D458" s="16" t="s">
        <v>613</v>
      </c>
      <c r="E458" s="16" t="s">
        <v>816</v>
      </c>
      <c r="F458" s="16" t="s">
        <v>817</v>
      </c>
      <c r="G458" s="17">
        <v>70762.7</v>
      </c>
      <c r="H458" s="19"/>
    </row>
    <row r="459" spans="1:8" s="18" customFormat="1" ht="16.2" customHeight="1" x14ac:dyDescent="0.25">
      <c r="A459" s="12">
        <v>46083</v>
      </c>
      <c r="B459" s="12" t="s">
        <v>818</v>
      </c>
      <c r="C459" s="29" t="s">
        <v>34</v>
      </c>
      <c r="D459" s="38" t="s">
        <v>745</v>
      </c>
      <c r="E459" s="16" t="s">
        <v>819</v>
      </c>
      <c r="F459" s="16" t="s">
        <v>14</v>
      </c>
      <c r="G459" s="17">
        <v>324.81</v>
      </c>
      <c r="H459" s="19"/>
    </row>
    <row r="460" spans="1:8" s="18" customFormat="1" ht="16.2" customHeight="1" x14ac:dyDescent="0.25">
      <c r="A460" s="12">
        <v>46083</v>
      </c>
      <c r="B460" s="12" t="s">
        <v>818</v>
      </c>
      <c r="C460" s="29" t="s">
        <v>37</v>
      </c>
      <c r="D460" s="16" t="s">
        <v>745</v>
      </c>
      <c r="E460" s="16" t="s">
        <v>820</v>
      </c>
      <c r="F460" s="16" t="s">
        <v>14</v>
      </c>
      <c r="G460" s="17">
        <v>16.420000000000002</v>
      </c>
      <c r="H460" s="19"/>
    </row>
    <row r="461" spans="1:8" s="18" customFormat="1" ht="16.2" customHeight="1" x14ac:dyDescent="0.25">
      <c r="A461" s="12">
        <v>46083</v>
      </c>
      <c r="B461" s="12" t="s">
        <v>821</v>
      </c>
      <c r="C461" s="29" t="s">
        <v>34</v>
      </c>
      <c r="D461" s="16" t="s">
        <v>822</v>
      </c>
      <c r="E461" s="16" t="s">
        <v>820</v>
      </c>
      <c r="F461" s="16" t="s">
        <v>14</v>
      </c>
      <c r="G461" s="17">
        <v>320.16000000000003</v>
      </c>
    </row>
    <row r="462" spans="1:8" s="18" customFormat="1" ht="16.2" customHeight="1" x14ac:dyDescent="0.25">
      <c r="A462" s="12">
        <v>46083</v>
      </c>
      <c r="B462" s="12" t="s">
        <v>823</v>
      </c>
      <c r="C462" s="29" t="s">
        <v>99</v>
      </c>
      <c r="D462" s="16" t="s">
        <v>44</v>
      </c>
      <c r="E462" s="16" t="s">
        <v>824</v>
      </c>
      <c r="F462" s="16" t="s">
        <v>14</v>
      </c>
      <c r="G462" s="17">
        <v>750.34</v>
      </c>
    </row>
    <row r="463" spans="1:8" s="18" customFormat="1" ht="16.2" customHeight="1" x14ac:dyDescent="0.25">
      <c r="A463" s="12">
        <v>46084</v>
      </c>
      <c r="B463" s="12" t="s">
        <v>825</v>
      </c>
      <c r="C463" s="29" t="s">
        <v>99</v>
      </c>
      <c r="D463" s="16" t="s">
        <v>44</v>
      </c>
      <c r="E463" s="16" t="s">
        <v>826</v>
      </c>
      <c r="F463" s="16" t="s">
        <v>14</v>
      </c>
      <c r="G463" s="17">
        <v>121.74</v>
      </c>
    </row>
    <row r="464" spans="1:8" s="18" customFormat="1" ht="16.2" customHeight="1" x14ac:dyDescent="0.25">
      <c r="A464" s="12">
        <v>46083</v>
      </c>
      <c r="B464" s="12" t="s">
        <v>827</v>
      </c>
      <c r="C464" s="29" t="s">
        <v>99</v>
      </c>
      <c r="D464" s="16" t="s">
        <v>44</v>
      </c>
      <c r="E464" s="16" t="s">
        <v>828</v>
      </c>
      <c r="F464" s="16" t="s">
        <v>14</v>
      </c>
      <c r="G464" s="17">
        <v>267.01</v>
      </c>
    </row>
    <row r="465" spans="1:7" s="18" customFormat="1" ht="16.2" customHeight="1" x14ac:dyDescent="0.25">
      <c r="A465" s="12">
        <v>46084</v>
      </c>
      <c r="B465" s="12" t="s">
        <v>829</v>
      </c>
      <c r="C465" s="29" t="s">
        <v>99</v>
      </c>
      <c r="D465" s="16" t="s">
        <v>769</v>
      </c>
      <c r="E465" s="16" t="s">
        <v>826</v>
      </c>
      <c r="F465" s="16" t="s">
        <v>14</v>
      </c>
      <c r="G465" s="17">
        <v>111.61</v>
      </c>
    </row>
    <row r="466" spans="1:7" s="18" customFormat="1" ht="16.2" customHeight="1" x14ac:dyDescent="0.25">
      <c r="A466" s="12">
        <v>46085</v>
      </c>
      <c r="B466" s="12" t="s">
        <v>830</v>
      </c>
      <c r="C466" s="29" t="s">
        <v>174</v>
      </c>
      <c r="D466" s="16" t="s">
        <v>175</v>
      </c>
      <c r="E466" s="16" t="s">
        <v>831</v>
      </c>
      <c r="F466" s="16" t="s">
        <v>14</v>
      </c>
      <c r="G466" s="17">
        <v>35491.31</v>
      </c>
    </row>
    <row r="467" spans="1:7" s="18" customFormat="1" ht="16.2" customHeight="1" x14ac:dyDescent="0.25">
      <c r="A467" s="12">
        <v>46086</v>
      </c>
      <c r="B467" s="12" t="s">
        <v>832</v>
      </c>
      <c r="C467" s="29" t="s">
        <v>34</v>
      </c>
      <c r="D467" s="16" t="s">
        <v>745</v>
      </c>
      <c r="E467" s="16" t="s">
        <v>833</v>
      </c>
      <c r="F467" s="16" t="s">
        <v>14</v>
      </c>
      <c r="G467" s="17">
        <v>348.93</v>
      </c>
    </row>
    <row r="468" spans="1:7" s="18" customFormat="1" ht="16.2" customHeight="1" x14ac:dyDescent="0.25">
      <c r="A468" s="12">
        <v>46086</v>
      </c>
      <c r="B468" s="12" t="s">
        <v>832</v>
      </c>
      <c r="C468" s="29" t="s">
        <v>37</v>
      </c>
      <c r="D468" s="16" t="s">
        <v>745</v>
      </c>
      <c r="E468" s="16" t="s">
        <v>819</v>
      </c>
      <c r="F468" s="16" t="s">
        <v>14</v>
      </c>
      <c r="G468" s="17">
        <v>16.600000000000001</v>
      </c>
    </row>
    <row r="469" spans="1:7" s="18" customFormat="1" ht="16.2" customHeight="1" x14ac:dyDescent="0.25">
      <c r="A469" s="12">
        <v>46086</v>
      </c>
      <c r="B469" s="12" t="s">
        <v>834</v>
      </c>
      <c r="C469" s="29" t="s">
        <v>99</v>
      </c>
      <c r="D469" s="16" t="s">
        <v>835</v>
      </c>
      <c r="E469" s="16" t="s">
        <v>836</v>
      </c>
      <c r="F469" s="16" t="s">
        <v>14</v>
      </c>
      <c r="G469" s="17">
        <v>111.61</v>
      </c>
    </row>
    <row r="470" spans="1:7" s="18" customFormat="1" ht="16.2" customHeight="1" x14ac:dyDescent="0.25">
      <c r="A470" s="12">
        <v>46090</v>
      </c>
      <c r="B470" s="12" t="s">
        <v>837</v>
      </c>
      <c r="C470" s="29" t="s">
        <v>781</v>
      </c>
      <c r="D470" s="16" t="s">
        <v>838</v>
      </c>
      <c r="E470" s="16" t="s">
        <v>839</v>
      </c>
      <c r="F470" s="16" t="s">
        <v>14</v>
      </c>
      <c r="G470" s="17">
        <v>918.75</v>
      </c>
    </row>
    <row r="471" spans="1:7" s="18" customFormat="1" ht="16.2" customHeight="1" x14ac:dyDescent="0.25">
      <c r="A471" s="12">
        <v>46090</v>
      </c>
      <c r="B471" s="12" t="s">
        <v>840</v>
      </c>
      <c r="C471" s="29" t="s">
        <v>781</v>
      </c>
      <c r="D471" s="16" t="s">
        <v>838</v>
      </c>
      <c r="E471" s="16" t="s">
        <v>839</v>
      </c>
      <c r="F471" s="16" t="s">
        <v>14</v>
      </c>
      <c r="G471" s="17">
        <v>1004.06</v>
      </c>
    </row>
    <row r="472" spans="1:7" s="18" customFormat="1" ht="16.2" customHeight="1" x14ac:dyDescent="0.25">
      <c r="A472" s="12">
        <v>46091</v>
      </c>
      <c r="B472" s="44" t="s">
        <v>841</v>
      </c>
      <c r="C472" s="29" t="s">
        <v>23</v>
      </c>
      <c r="D472" s="16" t="s">
        <v>681</v>
      </c>
      <c r="E472" s="16" t="s">
        <v>842</v>
      </c>
      <c r="F472" s="16" t="s">
        <v>14</v>
      </c>
      <c r="G472" s="17">
        <v>15000</v>
      </c>
    </row>
    <row r="473" spans="1:7" s="18" customFormat="1" ht="16.2" customHeight="1" x14ac:dyDescent="0.25">
      <c r="A473" s="12">
        <v>46092</v>
      </c>
      <c r="B473" s="12" t="s">
        <v>843</v>
      </c>
      <c r="C473" s="29" t="s">
        <v>99</v>
      </c>
      <c r="D473" s="16" t="s">
        <v>44</v>
      </c>
      <c r="E473" s="16" t="s">
        <v>844</v>
      </c>
      <c r="F473" s="16" t="s">
        <v>14</v>
      </c>
      <c r="G473" s="17">
        <v>385.91</v>
      </c>
    </row>
    <row r="474" spans="1:7" s="18" customFormat="1" ht="16.2" customHeight="1" x14ac:dyDescent="0.25">
      <c r="A474" s="12">
        <v>46092</v>
      </c>
      <c r="B474" s="12" t="s">
        <v>845</v>
      </c>
      <c r="C474" s="29" t="s">
        <v>781</v>
      </c>
      <c r="D474" s="16" t="s">
        <v>782</v>
      </c>
      <c r="E474" s="16" t="s">
        <v>783</v>
      </c>
      <c r="F474" s="16" t="s">
        <v>14</v>
      </c>
      <c r="G474" s="17">
        <v>401.79</v>
      </c>
    </row>
    <row r="475" spans="1:7" s="18" customFormat="1" ht="16.2" customHeight="1" x14ac:dyDescent="0.25">
      <c r="A475" s="12">
        <v>46095</v>
      </c>
      <c r="B475" s="44" t="s">
        <v>846</v>
      </c>
      <c r="C475" s="29" t="s">
        <v>23</v>
      </c>
      <c r="D475" s="16" t="s">
        <v>24</v>
      </c>
      <c r="E475" s="16" t="s">
        <v>847</v>
      </c>
      <c r="F475" s="16" t="s">
        <v>14</v>
      </c>
      <c r="G475" s="17">
        <v>5400</v>
      </c>
    </row>
    <row r="476" spans="1:7" s="18" customFormat="1" ht="16.2" customHeight="1" x14ac:dyDescent="0.25">
      <c r="A476" s="12">
        <v>46095</v>
      </c>
      <c r="B476" s="44" t="s">
        <v>846</v>
      </c>
      <c r="C476" s="29" t="s">
        <v>23</v>
      </c>
      <c r="D476" s="16" t="s">
        <v>653</v>
      </c>
      <c r="E476" s="16" t="s">
        <v>847</v>
      </c>
      <c r="F476" s="16" t="s">
        <v>14</v>
      </c>
      <c r="G476" s="17">
        <v>2250</v>
      </c>
    </row>
    <row r="477" spans="1:7" s="18" customFormat="1" ht="16.2" customHeight="1" x14ac:dyDescent="0.25">
      <c r="A477" s="12">
        <v>46095</v>
      </c>
      <c r="B477" s="44" t="s">
        <v>846</v>
      </c>
      <c r="C477" s="29" t="s">
        <v>23</v>
      </c>
      <c r="D477" s="16" t="s">
        <v>654</v>
      </c>
      <c r="E477" s="16" t="s">
        <v>847</v>
      </c>
      <c r="F477" s="16" t="s">
        <v>14</v>
      </c>
      <c r="G477" s="17">
        <v>2250</v>
      </c>
    </row>
    <row r="478" spans="1:7" s="18" customFormat="1" ht="16.2" customHeight="1" x14ac:dyDescent="0.25">
      <c r="A478" s="12">
        <v>46095</v>
      </c>
      <c r="B478" s="12" t="s">
        <v>846</v>
      </c>
      <c r="C478" s="29" t="s">
        <v>219</v>
      </c>
      <c r="D478" s="16" t="s">
        <v>332</v>
      </c>
      <c r="E478" s="16" t="s">
        <v>847</v>
      </c>
      <c r="F478" s="16" t="s">
        <v>817</v>
      </c>
      <c r="G478" s="17">
        <v>2500</v>
      </c>
    </row>
    <row r="479" spans="1:7" s="18" customFormat="1" ht="16.2" customHeight="1" x14ac:dyDescent="0.25">
      <c r="A479" s="12">
        <v>46095</v>
      </c>
      <c r="B479" s="12" t="s">
        <v>846</v>
      </c>
      <c r="C479" s="29" t="s">
        <v>132</v>
      </c>
      <c r="D479" s="16" t="s">
        <v>332</v>
      </c>
      <c r="E479" s="16" t="s">
        <v>847</v>
      </c>
      <c r="F479" s="16" t="s">
        <v>817</v>
      </c>
      <c r="G479" s="17">
        <v>4293.8</v>
      </c>
    </row>
    <row r="480" spans="1:7" s="18" customFormat="1" ht="16.2" customHeight="1" x14ac:dyDescent="0.25">
      <c r="A480" s="12">
        <v>46095</v>
      </c>
      <c r="B480" s="12" t="s">
        <v>846</v>
      </c>
      <c r="C480" s="29" t="s">
        <v>30</v>
      </c>
      <c r="D480" s="16" t="s">
        <v>332</v>
      </c>
      <c r="E480" s="16" t="s">
        <v>847</v>
      </c>
      <c r="F480" s="16" t="s">
        <v>14</v>
      </c>
      <c r="G480" s="17">
        <v>12540</v>
      </c>
    </row>
    <row r="481" spans="1:7" s="18" customFormat="1" ht="16.2" customHeight="1" x14ac:dyDescent="0.25">
      <c r="A481" s="12">
        <v>46112</v>
      </c>
      <c r="B481" s="45">
        <v>31032026</v>
      </c>
      <c r="C481" s="29" t="s">
        <v>330</v>
      </c>
      <c r="D481" s="16" t="s">
        <v>848</v>
      </c>
      <c r="E481" s="16" t="s">
        <v>849</v>
      </c>
      <c r="F481" s="16" t="s">
        <v>14</v>
      </c>
      <c r="G481" s="17">
        <v>7816.96</v>
      </c>
    </row>
    <row r="482" spans="1:7" s="18" customFormat="1" ht="16.2" customHeight="1" x14ac:dyDescent="0.25">
      <c r="A482" s="12">
        <v>46095</v>
      </c>
      <c r="B482" s="12" t="s">
        <v>846</v>
      </c>
      <c r="C482" s="29" t="s">
        <v>330</v>
      </c>
      <c r="D482" s="16" t="s">
        <v>332</v>
      </c>
      <c r="E482" s="16" t="s">
        <v>847</v>
      </c>
      <c r="F482" s="16" t="s">
        <v>14</v>
      </c>
      <c r="G482" s="17">
        <v>39387.25</v>
      </c>
    </row>
    <row r="483" spans="1:7" s="18" customFormat="1" ht="16.2" customHeight="1" x14ac:dyDescent="0.25">
      <c r="A483" s="12">
        <v>46097</v>
      </c>
      <c r="B483" s="12" t="s">
        <v>850</v>
      </c>
      <c r="C483" s="29" t="s">
        <v>34</v>
      </c>
      <c r="D483" s="16" t="s">
        <v>85</v>
      </c>
      <c r="E483" s="16" t="s">
        <v>851</v>
      </c>
      <c r="F483" s="16" t="s">
        <v>14</v>
      </c>
      <c r="G483" s="17">
        <v>390.43</v>
      </c>
    </row>
    <row r="484" spans="1:7" s="18" customFormat="1" ht="16.2" customHeight="1" x14ac:dyDescent="0.25">
      <c r="A484" s="12">
        <v>46097</v>
      </c>
      <c r="B484" s="12" t="s">
        <v>852</v>
      </c>
      <c r="C484" s="29" t="s">
        <v>34</v>
      </c>
      <c r="D484" s="16" t="s">
        <v>85</v>
      </c>
      <c r="E484" s="16" t="s">
        <v>853</v>
      </c>
      <c r="F484" s="16" t="s">
        <v>14</v>
      </c>
      <c r="G484" s="17">
        <v>860.41</v>
      </c>
    </row>
    <row r="485" spans="1:7" s="18" customFormat="1" ht="16.2" customHeight="1" x14ac:dyDescent="0.25">
      <c r="A485" s="12">
        <v>46097</v>
      </c>
      <c r="B485" s="12" t="s">
        <v>850</v>
      </c>
      <c r="C485" s="29" t="s">
        <v>37</v>
      </c>
      <c r="D485" s="16" t="s">
        <v>85</v>
      </c>
      <c r="E485" s="16" t="s">
        <v>833</v>
      </c>
      <c r="F485" s="16" t="s">
        <v>14</v>
      </c>
      <c r="G485" s="17">
        <v>17.23</v>
      </c>
    </row>
    <row r="486" spans="1:7" s="18" customFormat="1" ht="16.2" customHeight="1" x14ac:dyDescent="0.25">
      <c r="A486" s="12">
        <v>46097</v>
      </c>
      <c r="B486" s="12" t="s">
        <v>852</v>
      </c>
      <c r="C486" s="29" t="s">
        <v>37</v>
      </c>
      <c r="D486" s="16" t="s">
        <v>85</v>
      </c>
      <c r="E486" s="16" t="s">
        <v>851</v>
      </c>
      <c r="F486" s="16" t="s">
        <v>14</v>
      </c>
      <c r="G486" s="17">
        <v>62.72</v>
      </c>
    </row>
    <row r="487" spans="1:7" s="18" customFormat="1" ht="16.2" customHeight="1" x14ac:dyDescent="0.25">
      <c r="A487" s="12">
        <v>46097</v>
      </c>
      <c r="B487" s="12" t="s">
        <v>854</v>
      </c>
      <c r="C487" s="29" t="s">
        <v>670</v>
      </c>
      <c r="D487" s="16" t="s">
        <v>709</v>
      </c>
      <c r="E487" s="16" t="s">
        <v>855</v>
      </c>
      <c r="F487" s="16" t="s">
        <v>14</v>
      </c>
      <c r="G487" s="17">
        <v>1026.8</v>
      </c>
    </row>
    <row r="488" spans="1:7" s="18" customFormat="1" ht="16.2" customHeight="1" x14ac:dyDescent="0.25">
      <c r="A488" s="12">
        <v>46100</v>
      </c>
      <c r="B488" s="12" t="s">
        <v>856</v>
      </c>
      <c r="C488" s="14" t="s">
        <v>53</v>
      </c>
      <c r="D488" s="16" t="s">
        <v>337</v>
      </c>
      <c r="E488" s="16" t="s">
        <v>857</v>
      </c>
      <c r="F488" s="16" t="s">
        <v>14</v>
      </c>
      <c r="G488" s="17">
        <v>3964.29</v>
      </c>
    </row>
    <row r="489" spans="1:7" s="18" customFormat="1" ht="16.2" customHeight="1" x14ac:dyDescent="0.25">
      <c r="A489" s="12">
        <v>46104</v>
      </c>
      <c r="B489" s="12" t="s">
        <v>858</v>
      </c>
      <c r="C489" s="29" t="s">
        <v>670</v>
      </c>
      <c r="D489" s="16" t="s">
        <v>640</v>
      </c>
      <c r="E489" s="16" t="s">
        <v>859</v>
      </c>
      <c r="F489" s="16" t="s">
        <v>14</v>
      </c>
      <c r="G489" s="17">
        <v>840</v>
      </c>
    </row>
    <row r="490" spans="1:7" s="18" customFormat="1" ht="16.2" customHeight="1" x14ac:dyDescent="0.25">
      <c r="A490" s="12">
        <v>46107</v>
      </c>
      <c r="B490" s="12" t="s">
        <v>860</v>
      </c>
      <c r="C490" s="29" t="s">
        <v>34</v>
      </c>
      <c r="D490" s="16" t="s">
        <v>85</v>
      </c>
      <c r="E490" s="16" t="s">
        <v>861</v>
      </c>
      <c r="F490" s="16" t="s">
        <v>14</v>
      </c>
      <c r="G490" s="17">
        <v>361.61</v>
      </c>
    </row>
    <row r="491" spans="1:7" s="18" customFormat="1" ht="16.2" customHeight="1" x14ac:dyDescent="0.25">
      <c r="A491" s="12">
        <v>46107</v>
      </c>
      <c r="B491" s="12" t="s">
        <v>862</v>
      </c>
      <c r="C491" s="29" t="s">
        <v>34</v>
      </c>
      <c r="D491" s="16" t="s">
        <v>85</v>
      </c>
      <c r="E491" s="16" t="s">
        <v>863</v>
      </c>
      <c r="F491" s="16" t="s">
        <v>14</v>
      </c>
      <c r="G491" s="17">
        <v>788.54</v>
      </c>
    </row>
    <row r="492" spans="1:7" s="18" customFormat="1" ht="16.2" customHeight="1" x14ac:dyDescent="0.25">
      <c r="A492" s="12">
        <v>46107</v>
      </c>
      <c r="B492" s="12" t="s">
        <v>864</v>
      </c>
      <c r="C492" s="29" t="s">
        <v>34</v>
      </c>
      <c r="D492" s="16" t="s">
        <v>85</v>
      </c>
      <c r="E492" s="16" t="s">
        <v>865</v>
      </c>
      <c r="F492" s="16" t="s">
        <v>14</v>
      </c>
      <c r="G492" s="17">
        <v>192.86</v>
      </c>
    </row>
    <row r="493" spans="1:7" s="18" customFormat="1" ht="16.2" customHeight="1" x14ac:dyDescent="0.25">
      <c r="A493" s="12">
        <v>46107</v>
      </c>
      <c r="B493" s="12" t="s">
        <v>860</v>
      </c>
      <c r="C493" s="29" t="s">
        <v>37</v>
      </c>
      <c r="D493" s="16" t="s">
        <v>85</v>
      </c>
      <c r="E493" s="16" t="s">
        <v>853</v>
      </c>
      <c r="F493" s="16" t="s">
        <v>14</v>
      </c>
      <c r="G493" s="17">
        <v>36.340000000000003</v>
      </c>
    </row>
    <row r="494" spans="1:7" s="18" customFormat="1" ht="16.2" customHeight="1" x14ac:dyDescent="0.25">
      <c r="A494" s="12">
        <v>46107</v>
      </c>
      <c r="B494" s="12" t="s">
        <v>862</v>
      </c>
      <c r="C494" s="29" t="s">
        <v>37</v>
      </c>
      <c r="D494" s="16" t="s">
        <v>85</v>
      </c>
      <c r="E494" s="16" t="s">
        <v>861</v>
      </c>
      <c r="F494" s="16" t="s">
        <v>14</v>
      </c>
      <c r="G494" s="17">
        <v>13</v>
      </c>
    </row>
    <row r="495" spans="1:7" s="18" customFormat="1" ht="16.2" customHeight="1" x14ac:dyDescent="0.25">
      <c r="A495" s="12">
        <v>46107</v>
      </c>
      <c r="B495" s="12" t="s">
        <v>864</v>
      </c>
      <c r="C495" s="29" t="s">
        <v>37</v>
      </c>
      <c r="D495" s="16" t="s">
        <v>85</v>
      </c>
      <c r="E495" s="16" t="s">
        <v>863</v>
      </c>
      <c r="F495" s="16" t="s">
        <v>14</v>
      </c>
      <c r="G495" s="17">
        <v>116.84</v>
      </c>
    </row>
    <row r="496" spans="1:7" s="18" customFormat="1" ht="16.2" customHeight="1" x14ac:dyDescent="0.25">
      <c r="A496" s="12">
        <v>46108</v>
      </c>
      <c r="B496" s="44" t="s">
        <v>866</v>
      </c>
      <c r="C496" s="29" t="s">
        <v>23</v>
      </c>
      <c r="D496" s="16" t="s">
        <v>229</v>
      </c>
      <c r="E496" s="16" t="s">
        <v>867</v>
      </c>
      <c r="F496" s="16" t="s">
        <v>14</v>
      </c>
      <c r="G496" s="17">
        <v>10000</v>
      </c>
    </row>
    <row r="497" spans="1:15" s="18" customFormat="1" ht="16.2" customHeight="1" x14ac:dyDescent="0.25">
      <c r="A497" s="12">
        <v>46108</v>
      </c>
      <c r="B497" s="44" t="s">
        <v>868</v>
      </c>
      <c r="C497" s="29" t="s">
        <v>23</v>
      </c>
      <c r="D497" s="16" t="s">
        <v>681</v>
      </c>
      <c r="E497" s="16" t="s">
        <v>869</v>
      </c>
      <c r="F497" s="16" t="s">
        <v>14</v>
      </c>
      <c r="G497" s="17">
        <v>3459</v>
      </c>
      <c r="I497" s="37">
        <v>20000</v>
      </c>
    </row>
    <row r="498" spans="1:15" s="18" customFormat="1" ht="16.2" customHeight="1" x14ac:dyDescent="0.25">
      <c r="A498" s="12">
        <v>46112</v>
      </c>
      <c r="B498" s="45">
        <v>31042026</v>
      </c>
      <c r="C498" s="43" t="s">
        <v>125</v>
      </c>
      <c r="D498" s="16" t="s">
        <v>870</v>
      </c>
      <c r="E498" s="16" t="s">
        <v>871</v>
      </c>
      <c r="F498" s="16" t="s">
        <v>14</v>
      </c>
      <c r="G498" s="17">
        <v>32910</v>
      </c>
      <c r="I498" s="37">
        <v>20000</v>
      </c>
    </row>
    <row r="499" spans="1:15" s="18" customFormat="1" ht="16.2" customHeight="1" x14ac:dyDescent="0.25">
      <c r="A499" s="12">
        <v>46112</v>
      </c>
      <c r="B499" s="12" t="s">
        <v>872</v>
      </c>
      <c r="C499" s="12" t="s">
        <v>872</v>
      </c>
      <c r="D499" s="27" t="s">
        <v>873</v>
      </c>
      <c r="E499" s="16" t="s">
        <v>874</v>
      </c>
      <c r="F499" s="16" t="s">
        <v>14</v>
      </c>
      <c r="G499" s="46">
        <v>30320.25</v>
      </c>
      <c r="I499" s="37"/>
    </row>
    <row r="500" spans="1:15" s="18" customFormat="1" ht="16.2" customHeight="1" x14ac:dyDescent="0.25">
      <c r="A500" s="12">
        <v>46112</v>
      </c>
      <c r="B500" s="12" t="s">
        <v>872</v>
      </c>
      <c r="C500" s="12" t="s">
        <v>872</v>
      </c>
      <c r="D500" s="27" t="s">
        <v>875</v>
      </c>
      <c r="E500" s="16" t="s">
        <v>876</v>
      </c>
      <c r="F500" s="16" t="s">
        <v>817</v>
      </c>
      <c r="G500" s="46">
        <v>6703.75</v>
      </c>
      <c r="I500" s="37">
        <v>20000</v>
      </c>
    </row>
    <row r="501" spans="1:15" s="18" customFormat="1" ht="16.2" customHeight="1" x14ac:dyDescent="0.25">
      <c r="A501" s="12"/>
      <c r="B501" s="12"/>
      <c r="C501" s="27"/>
      <c r="D501" s="16"/>
      <c r="E501" s="16"/>
      <c r="F501" s="16"/>
      <c r="G501" s="46"/>
      <c r="I501" s="37">
        <v>10762.7</v>
      </c>
    </row>
    <row r="502" spans="1:15" s="18" customFormat="1" ht="16.2" customHeight="1" x14ac:dyDescent="0.25">
      <c r="A502" s="47"/>
      <c r="B502" s="47"/>
      <c r="C502" s="48"/>
      <c r="D502" s="38"/>
      <c r="E502" s="38"/>
      <c r="F502" s="38"/>
      <c r="G502" s="49"/>
    </row>
    <row r="503" spans="1:15" s="18" customFormat="1" ht="16.2" customHeight="1" x14ac:dyDescent="0.25">
      <c r="A503" s="47"/>
      <c r="B503" s="47"/>
      <c r="C503" s="48"/>
      <c r="D503" s="38"/>
      <c r="E503" s="38"/>
      <c r="F503" s="38"/>
      <c r="G503" s="49"/>
    </row>
    <row r="504" spans="1:15" s="18" customFormat="1" ht="16.5" customHeight="1" thickBot="1" x14ac:dyDescent="0.35">
      <c r="A504" s="50"/>
      <c r="B504" s="50"/>
      <c r="C504" s="50"/>
      <c r="D504" s="50"/>
      <c r="E504" s="51" t="s">
        <v>877</v>
      </c>
      <c r="F504" s="51"/>
      <c r="G504" s="52">
        <f>SUM(G7:G501)</f>
        <v>2232443.2000000002</v>
      </c>
    </row>
    <row r="505" spans="1:15" s="51" customFormat="1" ht="16.2" thickTop="1" x14ac:dyDescent="0.3">
      <c r="A505" s="47"/>
      <c r="B505" s="47"/>
      <c r="C505" s="53"/>
      <c r="D505" s="54"/>
      <c r="E505" s="38"/>
      <c r="F505" s="38"/>
      <c r="G505" s="55"/>
      <c r="H505" s="56">
        <f>4423888.19-G505</f>
        <v>4423888.1900000004</v>
      </c>
      <c r="I505" s="57">
        <f>+H505*2</f>
        <v>8847776.3800000008</v>
      </c>
      <c r="J505" s="57"/>
    </row>
    <row r="506" spans="1:15" x14ac:dyDescent="0.25">
      <c r="A506" s="47"/>
      <c r="B506" s="47"/>
      <c r="C506" s="53"/>
      <c r="D506" s="54"/>
      <c r="E506" s="38"/>
      <c r="F506" s="38"/>
    </row>
    <row r="508" spans="1:15" x14ac:dyDescent="0.25">
      <c r="E508" s="9" t="s">
        <v>6</v>
      </c>
      <c r="F508" s="9" t="s">
        <v>14</v>
      </c>
      <c r="G508" s="9" t="s">
        <v>817</v>
      </c>
      <c r="L508" s="58"/>
      <c r="M508" s="58"/>
      <c r="N508" s="58"/>
      <c r="O508" s="58"/>
    </row>
    <row r="509" spans="1:15" x14ac:dyDescent="0.25">
      <c r="E509" s="59" t="s">
        <v>23</v>
      </c>
      <c r="F509" s="60">
        <f t="shared" ref="F509:F536" si="0">SUMIFS($G$7:$G$501,$C$7:$C$501,E509,$F$7:$F$501,$F$508)</f>
        <v>411317.23000000004</v>
      </c>
      <c r="G509" s="60">
        <f t="shared" ref="G509:G536" si="1">SUMIFS($G$7:$G$501,$C$7:$C$501,E509,$F$7:$F$501,$G$508)</f>
        <v>0</v>
      </c>
      <c r="H509" s="61"/>
      <c r="I509" s="62"/>
      <c r="J509" s="62"/>
      <c r="L509" s="58"/>
      <c r="M509" s="58"/>
      <c r="N509" s="58"/>
      <c r="O509" s="58"/>
    </row>
    <row r="510" spans="1:15" x14ac:dyDescent="0.25">
      <c r="E510" s="59" t="s">
        <v>27</v>
      </c>
      <c r="F510" s="60">
        <f t="shared" si="0"/>
        <v>182271.96</v>
      </c>
      <c r="G510" s="60">
        <f t="shared" si="1"/>
        <v>0</v>
      </c>
      <c r="H510" s="61"/>
      <c r="I510" s="62"/>
      <c r="J510" s="62"/>
      <c r="K510" s="58"/>
      <c r="L510" s="58"/>
      <c r="M510" s="58"/>
      <c r="N510" s="58"/>
      <c r="O510" s="58"/>
    </row>
    <row r="511" spans="1:15" x14ac:dyDescent="0.25">
      <c r="E511" s="59" t="s">
        <v>219</v>
      </c>
      <c r="F511" s="60">
        <f t="shared" si="0"/>
        <v>29773.75</v>
      </c>
      <c r="G511" s="60">
        <f t="shared" si="1"/>
        <v>2500</v>
      </c>
      <c r="H511" s="61"/>
      <c r="I511" s="62"/>
      <c r="J511" s="62"/>
      <c r="K511" s="58"/>
      <c r="L511" s="58"/>
      <c r="M511" s="58"/>
      <c r="N511" s="58"/>
      <c r="O511" s="58"/>
    </row>
    <row r="512" spans="1:15" x14ac:dyDescent="0.25">
      <c r="E512" s="59" t="s">
        <v>132</v>
      </c>
      <c r="F512" s="60">
        <f t="shared" si="0"/>
        <v>69640.320000000007</v>
      </c>
      <c r="G512" s="60">
        <f t="shared" si="1"/>
        <v>4293.8</v>
      </c>
      <c r="H512" s="61"/>
      <c r="I512" s="62"/>
      <c r="J512" s="62"/>
      <c r="K512" s="58"/>
      <c r="L512" s="58"/>
      <c r="M512" s="58"/>
      <c r="N512" s="58"/>
      <c r="O512" s="58"/>
    </row>
    <row r="513" spans="5:15" x14ac:dyDescent="0.25">
      <c r="E513" s="59" t="s">
        <v>11</v>
      </c>
      <c r="F513" s="60">
        <f>SUMIFS($G$7:$G$501,$C$7:$C$501,E513,$F$7:$F$501,$F$508)</f>
        <v>0</v>
      </c>
      <c r="G513" s="60">
        <f t="shared" si="1"/>
        <v>0</v>
      </c>
      <c r="H513" s="61"/>
      <c r="I513" s="62"/>
      <c r="J513" s="62"/>
      <c r="K513" s="58"/>
      <c r="L513" s="58"/>
      <c r="M513" s="58"/>
      <c r="N513" s="58"/>
      <c r="O513" s="58"/>
    </row>
    <row r="514" spans="5:15" x14ac:dyDescent="0.25">
      <c r="E514" s="59" t="s">
        <v>184</v>
      </c>
      <c r="F514" s="60">
        <f t="shared" si="0"/>
        <v>348577.98</v>
      </c>
      <c r="G514" s="60">
        <f t="shared" si="1"/>
        <v>0</v>
      </c>
      <c r="H514" s="61"/>
      <c r="I514" s="62"/>
      <c r="J514" s="62"/>
      <c r="K514" s="58"/>
      <c r="L514" s="58"/>
      <c r="M514" s="58"/>
      <c r="N514" s="58"/>
      <c r="O514" s="58"/>
    </row>
    <row r="515" spans="5:15" x14ac:dyDescent="0.25">
      <c r="E515" s="59" t="s">
        <v>106</v>
      </c>
      <c r="F515" s="60">
        <f t="shared" si="0"/>
        <v>131859.59000000003</v>
      </c>
      <c r="G515" s="60">
        <f t="shared" si="1"/>
        <v>0</v>
      </c>
      <c r="H515" s="61"/>
      <c r="I515" s="62"/>
      <c r="J515" s="62"/>
      <c r="K515" s="58"/>
      <c r="L515" s="58"/>
      <c r="M515" s="58"/>
      <c r="N515" s="58"/>
      <c r="O515" s="58"/>
    </row>
    <row r="516" spans="5:15" x14ac:dyDescent="0.25">
      <c r="E516" s="59" t="s">
        <v>34</v>
      </c>
      <c r="F516" s="60">
        <f t="shared" si="0"/>
        <v>32818.729999999996</v>
      </c>
      <c r="G516" s="60">
        <f t="shared" si="1"/>
        <v>0</v>
      </c>
      <c r="H516" s="61"/>
      <c r="I516" s="62"/>
      <c r="J516" s="62"/>
      <c r="K516" s="58"/>
      <c r="L516" s="58"/>
      <c r="M516" s="58"/>
      <c r="N516" s="58"/>
      <c r="O516" s="58"/>
    </row>
    <row r="517" spans="5:15" x14ac:dyDescent="0.25">
      <c r="E517" s="59" t="s">
        <v>37</v>
      </c>
      <c r="F517" s="60">
        <f t="shared" si="0"/>
        <v>4646.34</v>
      </c>
      <c r="G517" s="60">
        <f t="shared" si="1"/>
        <v>0</v>
      </c>
      <c r="H517" s="61"/>
      <c r="I517" s="62"/>
      <c r="J517" s="62"/>
      <c r="K517" s="58"/>
      <c r="L517" s="58"/>
      <c r="M517" s="58"/>
      <c r="N517" s="58"/>
      <c r="O517" s="58"/>
    </row>
    <row r="518" spans="5:15" x14ac:dyDescent="0.25">
      <c r="E518" s="59" t="s">
        <v>53</v>
      </c>
      <c r="F518" s="60">
        <f t="shared" si="0"/>
        <v>75244.579999999987</v>
      </c>
      <c r="G518" s="60">
        <f t="shared" si="1"/>
        <v>0</v>
      </c>
      <c r="H518" s="61"/>
      <c r="I518" s="62"/>
      <c r="J518" s="62"/>
      <c r="K518" s="58"/>
      <c r="L518" s="58"/>
      <c r="M518" s="58"/>
      <c r="N518" s="58"/>
      <c r="O518" s="58"/>
    </row>
    <row r="519" spans="5:15" x14ac:dyDescent="0.25">
      <c r="E519" s="59" t="s">
        <v>30</v>
      </c>
      <c r="F519" s="60">
        <f t="shared" si="0"/>
        <v>65361.15</v>
      </c>
      <c r="G519" s="60">
        <f t="shared" si="1"/>
        <v>70762.7</v>
      </c>
      <c r="H519" s="61"/>
      <c r="I519" s="62"/>
      <c r="J519" s="62"/>
      <c r="K519" s="58"/>
      <c r="L519" s="58"/>
      <c r="M519" s="58"/>
      <c r="N519" s="58"/>
      <c r="O519" s="58"/>
    </row>
    <row r="520" spans="5:15" x14ac:dyDescent="0.25">
      <c r="E520" s="59" t="s">
        <v>16</v>
      </c>
      <c r="F520" s="60">
        <f t="shared" si="0"/>
        <v>33883.120000000003</v>
      </c>
      <c r="G520" s="60">
        <f t="shared" si="1"/>
        <v>0</v>
      </c>
      <c r="H520" s="61"/>
      <c r="I520" s="62"/>
      <c r="J520" s="62"/>
      <c r="K520" s="58"/>
      <c r="L520" s="58"/>
      <c r="M520" s="58"/>
      <c r="N520" s="58"/>
      <c r="O520" s="58"/>
    </row>
    <row r="521" spans="5:15" x14ac:dyDescent="0.25">
      <c r="E521" s="59" t="s">
        <v>125</v>
      </c>
      <c r="F521" s="60">
        <f t="shared" si="0"/>
        <v>73268.12</v>
      </c>
      <c r="G521" s="60">
        <f t="shared" si="1"/>
        <v>0</v>
      </c>
      <c r="H521" s="61"/>
      <c r="I521" s="62"/>
      <c r="J521" s="62"/>
      <c r="K521" s="58"/>
      <c r="L521" s="58"/>
      <c r="M521" s="58"/>
      <c r="N521" s="58"/>
      <c r="O521" s="58"/>
    </row>
    <row r="522" spans="5:15" x14ac:dyDescent="0.25">
      <c r="E522" s="59" t="s">
        <v>39</v>
      </c>
      <c r="F522" s="60">
        <f t="shared" si="0"/>
        <v>4284.13</v>
      </c>
      <c r="G522" s="60">
        <f t="shared" si="1"/>
        <v>0</v>
      </c>
      <c r="H522" s="61"/>
      <c r="I522" s="62"/>
      <c r="J522" s="62"/>
      <c r="K522" s="58"/>
      <c r="L522" s="58"/>
      <c r="M522" s="58"/>
      <c r="N522" s="58"/>
      <c r="O522" s="58"/>
    </row>
    <row r="523" spans="5:15" x14ac:dyDescent="0.25">
      <c r="E523" s="59" t="s">
        <v>878</v>
      </c>
      <c r="F523" s="60">
        <f t="shared" si="0"/>
        <v>0</v>
      </c>
      <c r="G523" s="60">
        <f t="shared" si="1"/>
        <v>0</v>
      </c>
      <c r="H523" s="61"/>
      <c r="J523" s="62"/>
      <c r="K523" s="58"/>
      <c r="L523" s="58"/>
      <c r="M523" s="58"/>
      <c r="N523" s="58"/>
      <c r="O523" s="58"/>
    </row>
    <row r="524" spans="5:15" x14ac:dyDescent="0.25">
      <c r="E524" s="59" t="s">
        <v>670</v>
      </c>
      <c r="F524" s="60">
        <f t="shared" si="0"/>
        <v>7541.97</v>
      </c>
      <c r="G524" s="60">
        <f t="shared" si="1"/>
        <v>0</v>
      </c>
      <c r="H524" s="61"/>
      <c r="I524" s="62"/>
      <c r="J524" s="62"/>
      <c r="K524" s="58"/>
      <c r="L524" s="58"/>
      <c r="M524" s="58"/>
      <c r="N524" s="58"/>
      <c r="O524" s="58"/>
    </row>
    <row r="525" spans="5:15" x14ac:dyDescent="0.25">
      <c r="E525" s="59" t="s">
        <v>57</v>
      </c>
      <c r="F525" s="60">
        <f t="shared" si="0"/>
        <v>1211.25</v>
      </c>
      <c r="G525" s="60">
        <f t="shared" si="1"/>
        <v>0</v>
      </c>
      <c r="H525" s="61"/>
      <c r="I525" s="62"/>
      <c r="J525" s="62"/>
      <c r="K525" s="58"/>
      <c r="L525" s="58"/>
      <c r="M525" s="58"/>
      <c r="N525" s="58"/>
      <c r="O525" s="58"/>
    </row>
    <row r="526" spans="5:15" x14ac:dyDescent="0.25">
      <c r="E526" s="59" t="s">
        <v>330</v>
      </c>
      <c r="F526" s="60">
        <f t="shared" si="0"/>
        <v>280823.74</v>
      </c>
      <c r="G526" s="60">
        <f t="shared" si="1"/>
        <v>0</v>
      </c>
      <c r="H526" s="61"/>
      <c r="I526" s="62"/>
      <c r="J526" s="62"/>
      <c r="K526" s="58"/>
      <c r="L526" s="58"/>
      <c r="M526" s="58"/>
      <c r="N526" s="58"/>
      <c r="O526" s="58"/>
    </row>
    <row r="527" spans="5:15" x14ac:dyDescent="0.25">
      <c r="E527" s="59" t="s">
        <v>174</v>
      </c>
      <c r="F527" s="60">
        <f t="shared" si="0"/>
        <v>132083.01</v>
      </c>
      <c r="G527" s="60">
        <f t="shared" si="1"/>
        <v>0</v>
      </c>
      <c r="H527" s="61"/>
      <c r="I527" s="62"/>
      <c r="J527" s="62"/>
      <c r="K527" s="58"/>
      <c r="L527" s="58"/>
      <c r="M527" s="58"/>
      <c r="N527" s="58"/>
      <c r="O527" s="58"/>
    </row>
    <row r="528" spans="5:15" x14ac:dyDescent="0.25">
      <c r="E528" s="59" t="s">
        <v>43</v>
      </c>
      <c r="F528" s="60">
        <f t="shared" si="0"/>
        <v>81192.33</v>
      </c>
      <c r="G528" s="60">
        <f t="shared" si="1"/>
        <v>0</v>
      </c>
      <c r="H528" s="61"/>
      <c r="I528" s="62"/>
      <c r="J528" s="62"/>
      <c r="K528" s="58"/>
      <c r="L528" s="58"/>
      <c r="M528" s="58"/>
      <c r="N528" s="58"/>
      <c r="O528" s="58"/>
    </row>
    <row r="529" spans="5:15" x14ac:dyDescent="0.25">
      <c r="E529" s="59" t="s">
        <v>99</v>
      </c>
      <c r="F529" s="60">
        <f t="shared" si="0"/>
        <v>54008.189999999988</v>
      </c>
      <c r="G529" s="60">
        <f t="shared" si="1"/>
        <v>0</v>
      </c>
      <c r="H529" s="61"/>
      <c r="I529" s="62"/>
      <c r="J529" s="62"/>
      <c r="K529" s="58"/>
      <c r="L529" s="58"/>
      <c r="M529" s="58"/>
      <c r="N529" s="58"/>
      <c r="O529" s="58"/>
    </row>
    <row r="530" spans="5:15" x14ac:dyDescent="0.25">
      <c r="E530" s="63" t="s">
        <v>159</v>
      </c>
      <c r="F530" s="60">
        <f t="shared" si="0"/>
        <v>8162.1100000000006</v>
      </c>
      <c r="G530" s="60">
        <f t="shared" si="1"/>
        <v>0</v>
      </c>
      <c r="H530" s="61"/>
      <c r="I530" s="62"/>
      <c r="J530" s="62"/>
      <c r="K530" s="58"/>
      <c r="L530" s="58"/>
      <c r="M530" s="58"/>
      <c r="N530" s="58"/>
      <c r="O530" s="58"/>
    </row>
    <row r="531" spans="5:15" x14ac:dyDescent="0.25">
      <c r="E531" s="63" t="s">
        <v>272</v>
      </c>
      <c r="F531" s="60">
        <f t="shared" si="0"/>
        <v>6733.57</v>
      </c>
      <c r="G531" s="60">
        <f t="shared" si="1"/>
        <v>0</v>
      </c>
      <c r="H531" s="61"/>
      <c r="I531" s="62"/>
      <c r="J531" s="62"/>
      <c r="K531" s="58"/>
      <c r="L531" s="58"/>
      <c r="M531" s="58"/>
      <c r="N531" s="58"/>
      <c r="O531" s="58"/>
    </row>
    <row r="532" spans="5:15" x14ac:dyDescent="0.25">
      <c r="E532" s="63" t="s">
        <v>573</v>
      </c>
      <c r="F532" s="60">
        <f t="shared" si="0"/>
        <v>16422.07</v>
      </c>
      <c r="G532" s="60">
        <f t="shared" si="1"/>
        <v>0</v>
      </c>
      <c r="H532" s="61"/>
      <c r="I532" s="62"/>
      <c r="J532" s="62"/>
      <c r="K532" s="58"/>
      <c r="L532" s="58"/>
      <c r="M532" s="58"/>
      <c r="N532" s="58"/>
      <c r="O532" s="58"/>
    </row>
    <row r="533" spans="5:15" x14ac:dyDescent="0.25">
      <c r="E533" s="63" t="s">
        <v>303</v>
      </c>
      <c r="F533" s="60">
        <f t="shared" si="0"/>
        <v>64011.07</v>
      </c>
      <c r="G533" s="60">
        <f t="shared" si="1"/>
        <v>0</v>
      </c>
      <c r="H533" s="61"/>
      <c r="I533" s="62"/>
      <c r="J533" s="62"/>
      <c r="K533" s="58"/>
    </row>
    <row r="534" spans="5:15" x14ac:dyDescent="0.25">
      <c r="E534" s="59" t="s">
        <v>781</v>
      </c>
      <c r="F534" s="60">
        <f t="shared" si="0"/>
        <v>2726.39</v>
      </c>
      <c r="G534" s="60">
        <f t="shared" si="1"/>
        <v>0</v>
      </c>
      <c r="H534" s="61"/>
      <c r="I534" s="62"/>
      <c r="J534" s="62"/>
      <c r="K534" s="58"/>
    </row>
    <row r="535" spans="5:15" x14ac:dyDescent="0.25">
      <c r="E535" s="59" t="s">
        <v>872</v>
      </c>
      <c r="F535" s="60">
        <f t="shared" si="0"/>
        <v>30320.25</v>
      </c>
      <c r="G535" s="60">
        <f t="shared" si="1"/>
        <v>6703.75</v>
      </c>
      <c r="H535" s="61"/>
      <c r="I535" s="62"/>
      <c r="J535" s="62"/>
      <c r="K535" s="58"/>
    </row>
    <row r="536" spans="5:15" x14ac:dyDescent="0.25">
      <c r="E536" s="59"/>
      <c r="F536" s="60">
        <f t="shared" si="0"/>
        <v>0</v>
      </c>
      <c r="G536" s="60">
        <f t="shared" si="1"/>
        <v>0</v>
      </c>
      <c r="H536" s="61"/>
      <c r="I536" s="62"/>
      <c r="J536" s="62"/>
    </row>
    <row r="537" spans="5:15" x14ac:dyDescent="0.25">
      <c r="E537" s="64" t="s">
        <v>879</v>
      </c>
      <c r="F537" s="65">
        <f>SUM(F509:F536)</f>
        <v>2148182.9500000002</v>
      </c>
      <c r="G537" s="65">
        <f>SUM(G509:G536)</f>
        <v>84260.25</v>
      </c>
    </row>
    <row r="538" spans="5:15" ht="19.2" x14ac:dyDescent="0.35">
      <c r="G538" s="66">
        <f>+F537+G537-G504</f>
        <v>0</v>
      </c>
      <c r="H538" s="67"/>
    </row>
  </sheetData>
  <autoFilter ref="A6:G501" xr:uid="{4717528D-6718-4DFD-AA87-3BFF251E68CD}">
    <sortState xmlns:xlrd2="http://schemas.microsoft.com/office/spreadsheetml/2017/richdata2" ref="A7:G501">
      <sortCondition ref="A6:A501"/>
    </sortState>
  </autoFilter>
  <mergeCells count="1">
    <mergeCell ref="A1:G2"/>
  </mergeCells>
  <printOptions horizontalCentered="1"/>
  <pageMargins left="0.39370078740157483" right="0.39370078740157483" top="0.74803149606299213" bottom="0.74803149606299213" header="0.31496062992125984" footer="0.31496062992125984"/>
  <pageSetup scale="52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CAPITALIZACIÓN</vt:lpstr>
      <vt:lpstr>CAPITALIZACIÓN!Área_de_impresión</vt:lpstr>
      <vt:lpstr>CAPITALIZACIÓN!Títulos_a_imprimir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Lopez</dc:creator>
  <cp:lastModifiedBy>Jose Roberto Lopez</cp:lastModifiedBy>
  <dcterms:created xsi:type="dcterms:W3CDTF">2026-04-29T22:32:26Z</dcterms:created>
  <dcterms:modified xsi:type="dcterms:W3CDTF">2026-04-29T22:33:04Z</dcterms:modified>
</cp:coreProperties>
</file>