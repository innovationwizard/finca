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cg22-my.sharepoint.com/personal/manuel_flores_fincadanilandia_com_gt/Documents/Escritorio/PLANILLA DANILANDIA/"/>
    </mc:Choice>
  </mc:AlternateContent>
  <xr:revisionPtr revIDLastSave="15" documentId="8_{9AF18653-E2AD-4E0D-92D3-B9746E8DD8C3}" xr6:coauthVersionLast="47" xr6:coauthVersionMax="47" xr10:uidLastSave="{8938D308-E866-439F-AF5D-B6293063C8C2}"/>
  <bookViews>
    <workbookView xWindow="-108" yWindow="-108" windowWidth="23256" windowHeight="12456" firstSheet="1" activeTab="4" xr2:uid="{5917DD36-35B1-8E4E-B858-9CD579AC0317}"/>
  </bookViews>
  <sheets>
    <sheet name="DATA MANUEL FLORES" sheetId="1" r:id="rId1"/>
    <sheet name="DATA ORIGINAL" sheetId="2" r:id="rId2"/>
    <sheet name="ACTIVIDADES" sheetId="8" r:id="rId3"/>
    <sheet name="PLANILLA" sheetId="9" r:id="rId4"/>
    <sheet name="PAGOS" sheetId="11" r:id="rId5"/>
  </sheets>
  <definedNames>
    <definedName name="_xlnm._FilterDatabase" localSheetId="2" hidden="1">ACTIVIDADES!$A$1:$A$126</definedName>
    <definedName name="_xlnm._FilterDatabase" localSheetId="1" hidden="1">'DATA ORIGINAL'!$A$1:$G$1093</definedName>
    <definedName name="_xlnm._FilterDatabase" localSheetId="4" hidden="1">PAGOS!$A$1:$A$40</definedName>
    <definedName name="_xlnm._FilterDatabase" localSheetId="3" hidden="1">PLANILLA!$A$1:$I$653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1" l="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2" i="11"/>
  <c r="H2" i="9"/>
  <c r="H3" i="9"/>
  <c r="H4" i="9"/>
  <c r="H5" i="9"/>
  <c r="I5" i="9" s="1"/>
  <c r="H6" i="9"/>
  <c r="I6" i="9" s="1"/>
  <c r="H7" i="9"/>
  <c r="H8" i="9"/>
  <c r="I8" i="9" s="1"/>
  <c r="H9" i="9"/>
  <c r="I9" i="9" s="1"/>
  <c r="H10" i="9"/>
  <c r="H11" i="9"/>
  <c r="H12" i="9"/>
  <c r="H13" i="9"/>
  <c r="I13" i="9" s="1"/>
  <c r="H14" i="9"/>
  <c r="H15" i="9"/>
  <c r="H16" i="9"/>
  <c r="I16" i="9" s="1"/>
  <c r="H17" i="9"/>
  <c r="I17" i="9" s="1"/>
  <c r="H18" i="9"/>
  <c r="H19" i="9"/>
  <c r="H20" i="9"/>
  <c r="H21" i="9"/>
  <c r="I21" i="9" s="1"/>
  <c r="H22" i="9"/>
  <c r="I22" i="9" s="1"/>
  <c r="H23" i="9"/>
  <c r="H24" i="9"/>
  <c r="I24" i="9" s="1"/>
  <c r="H25" i="9"/>
  <c r="I25" i="9" s="1"/>
  <c r="H26" i="9"/>
  <c r="H27" i="9"/>
  <c r="H28" i="9"/>
  <c r="H29" i="9"/>
  <c r="I29" i="9" s="1"/>
  <c r="H30" i="9"/>
  <c r="I30" i="9" s="1"/>
  <c r="H31" i="9"/>
  <c r="H32" i="9"/>
  <c r="I32" i="9" s="1"/>
  <c r="H33" i="9"/>
  <c r="I33" i="9" s="1"/>
  <c r="H34" i="9"/>
  <c r="H35" i="9"/>
  <c r="H36" i="9"/>
  <c r="H37" i="9"/>
  <c r="I37" i="9" s="1"/>
  <c r="H38" i="9"/>
  <c r="H39" i="9"/>
  <c r="H40" i="9"/>
  <c r="I40" i="9" s="1"/>
  <c r="H41" i="9"/>
  <c r="I41" i="9" s="1"/>
  <c r="H42" i="9"/>
  <c r="H43" i="9"/>
  <c r="H44" i="9"/>
  <c r="H45" i="9"/>
  <c r="I45" i="9" s="1"/>
  <c r="H46" i="9"/>
  <c r="I46" i="9" s="1"/>
  <c r="H47" i="9"/>
  <c r="H48" i="9"/>
  <c r="I48" i="9" s="1"/>
  <c r="H49" i="9"/>
  <c r="I49" i="9" s="1"/>
  <c r="H50" i="9"/>
  <c r="H51" i="9"/>
  <c r="H52" i="9"/>
  <c r="H53" i="9"/>
  <c r="I53" i="9" s="1"/>
  <c r="H54" i="9"/>
  <c r="H55" i="9"/>
  <c r="H56" i="9"/>
  <c r="I56" i="9" s="1"/>
  <c r="H57" i="9"/>
  <c r="I57" i="9" s="1"/>
  <c r="H58" i="9"/>
  <c r="H59" i="9"/>
  <c r="H60" i="9"/>
  <c r="H61" i="9"/>
  <c r="I61" i="9" s="1"/>
  <c r="H62" i="9"/>
  <c r="I62" i="9" s="1"/>
  <c r="H63" i="9"/>
  <c r="H64" i="9"/>
  <c r="I64" i="9" s="1"/>
  <c r="H65" i="9"/>
  <c r="I65" i="9" s="1"/>
  <c r="H66" i="9"/>
  <c r="H67" i="9"/>
  <c r="H68" i="9"/>
  <c r="H69" i="9"/>
  <c r="I69" i="9" s="1"/>
  <c r="H70" i="9"/>
  <c r="H71" i="9"/>
  <c r="H72" i="9"/>
  <c r="I72" i="9" s="1"/>
  <c r="H73" i="9"/>
  <c r="I73" i="9" s="1"/>
  <c r="H74" i="9"/>
  <c r="H75" i="9"/>
  <c r="H76" i="9"/>
  <c r="H77" i="9"/>
  <c r="I77" i="9" s="1"/>
  <c r="H78" i="9"/>
  <c r="I78" i="9" s="1"/>
  <c r="H79" i="9"/>
  <c r="H80" i="9"/>
  <c r="I80" i="9" s="1"/>
  <c r="H81" i="9"/>
  <c r="I81" i="9" s="1"/>
  <c r="H82" i="9"/>
  <c r="H83" i="9"/>
  <c r="H84" i="9"/>
  <c r="H85" i="9"/>
  <c r="I85" i="9" s="1"/>
  <c r="H86" i="9"/>
  <c r="I86" i="9" s="1"/>
  <c r="H87" i="9"/>
  <c r="H88" i="9"/>
  <c r="I88" i="9" s="1"/>
  <c r="H89" i="9"/>
  <c r="I89" i="9" s="1"/>
  <c r="H90" i="9"/>
  <c r="H91" i="9"/>
  <c r="H92" i="9"/>
  <c r="H93" i="9"/>
  <c r="I93" i="9" s="1"/>
  <c r="H94" i="9"/>
  <c r="I94" i="9" s="1"/>
  <c r="H95" i="9"/>
  <c r="H96" i="9"/>
  <c r="I96" i="9" s="1"/>
  <c r="H97" i="9"/>
  <c r="I97" i="9" s="1"/>
  <c r="H98" i="9"/>
  <c r="H99" i="9"/>
  <c r="H100" i="9"/>
  <c r="H101" i="9"/>
  <c r="I101" i="9" s="1"/>
  <c r="H102" i="9"/>
  <c r="I102" i="9" s="1"/>
  <c r="H103" i="9"/>
  <c r="H104" i="9"/>
  <c r="I104" i="9" s="1"/>
  <c r="H105" i="9"/>
  <c r="I105" i="9" s="1"/>
  <c r="H106" i="9"/>
  <c r="H107" i="9"/>
  <c r="H108" i="9"/>
  <c r="H109" i="9"/>
  <c r="I109" i="9" s="1"/>
  <c r="H110" i="9"/>
  <c r="I110" i="9" s="1"/>
  <c r="H111" i="9"/>
  <c r="H112" i="9"/>
  <c r="I112" i="9" s="1"/>
  <c r="H113" i="9"/>
  <c r="I113" i="9" s="1"/>
  <c r="H114" i="9"/>
  <c r="H115" i="9"/>
  <c r="H116" i="9"/>
  <c r="H117" i="9"/>
  <c r="I117" i="9" s="1"/>
  <c r="H118" i="9"/>
  <c r="I118" i="9" s="1"/>
  <c r="H119" i="9"/>
  <c r="H120" i="9"/>
  <c r="I120" i="9" s="1"/>
  <c r="H121" i="9"/>
  <c r="I121" i="9" s="1"/>
  <c r="H122" i="9"/>
  <c r="H123" i="9"/>
  <c r="I123" i="9" s="1"/>
  <c r="H124" i="9"/>
  <c r="H125" i="9"/>
  <c r="I125" i="9" s="1"/>
  <c r="H126" i="9"/>
  <c r="I126" i="9" s="1"/>
  <c r="H127" i="9"/>
  <c r="H128" i="9"/>
  <c r="I128" i="9" s="1"/>
  <c r="H129" i="9"/>
  <c r="I129" i="9" s="1"/>
  <c r="H130" i="9"/>
  <c r="H131" i="9"/>
  <c r="H132" i="9"/>
  <c r="H133" i="9"/>
  <c r="I133" i="9" s="1"/>
  <c r="H134" i="9"/>
  <c r="I134" i="9" s="1"/>
  <c r="H135" i="9"/>
  <c r="I135" i="9" s="1"/>
  <c r="H136" i="9"/>
  <c r="I136" i="9" s="1"/>
  <c r="H137" i="9"/>
  <c r="I137" i="9" s="1"/>
  <c r="H138" i="9"/>
  <c r="H139" i="9"/>
  <c r="I139" i="9" s="1"/>
  <c r="H140" i="9"/>
  <c r="H141" i="9"/>
  <c r="I141" i="9" s="1"/>
  <c r="H142" i="9"/>
  <c r="I142" i="9" s="1"/>
  <c r="H143" i="9"/>
  <c r="H144" i="9"/>
  <c r="I144" i="9" s="1"/>
  <c r="H145" i="9"/>
  <c r="I145" i="9" s="1"/>
  <c r="H146" i="9"/>
  <c r="H147" i="9"/>
  <c r="I147" i="9" s="1"/>
  <c r="H148" i="9"/>
  <c r="H149" i="9"/>
  <c r="I149" i="9" s="1"/>
  <c r="H150" i="9"/>
  <c r="I150" i="9" s="1"/>
  <c r="H151" i="9"/>
  <c r="H152" i="9"/>
  <c r="I152" i="9" s="1"/>
  <c r="H153" i="9"/>
  <c r="I153" i="9" s="1"/>
  <c r="H154" i="9"/>
  <c r="H155" i="9"/>
  <c r="I155" i="9" s="1"/>
  <c r="H156" i="9"/>
  <c r="H157" i="9"/>
  <c r="I157" i="9" s="1"/>
  <c r="H158" i="9"/>
  <c r="I158" i="9" s="1"/>
  <c r="H159" i="9"/>
  <c r="H160" i="9"/>
  <c r="I160" i="9" s="1"/>
  <c r="H161" i="9"/>
  <c r="I161" i="9" s="1"/>
  <c r="H162" i="9"/>
  <c r="H163" i="9"/>
  <c r="I163" i="9" s="1"/>
  <c r="H164" i="9"/>
  <c r="H165" i="9"/>
  <c r="I165" i="9" s="1"/>
  <c r="H166" i="9"/>
  <c r="I166" i="9" s="1"/>
  <c r="H167" i="9"/>
  <c r="H168" i="9"/>
  <c r="I168" i="9" s="1"/>
  <c r="H169" i="9"/>
  <c r="I169" i="9" s="1"/>
  <c r="H170" i="9"/>
  <c r="H171" i="9"/>
  <c r="H172" i="9"/>
  <c r="H173" i="9"/>
  <c r="I173" i="9" s="1"/>
  <c r="H174" i="9"/>
  <c r="I174" i="9" s="1"/>
  <c r="H175" i="9"/>
  <c r="H176" i="9"/>
  <c r="I176" i="9" s="1"/>
  <c r="H177" i="9"/>
  <c r="I177" i="9" s="1"/>
  <c r="H178" i="9"/>
  <c r="H179" i="9"/>
  <c r="I179" i="9" s="1"/>
  <c r="H180" i="9"/>
  <c r="H181" i="9"/>
  <c r="I181" i="9" s="1"/>
  <c r="H182" i="9"/>
  <c r="I182" i="9" s="1"/>
  <c r="H183" i="9"/>
  <c r="I183" i="9" s="1"/>
  <c r="H184" i="9"/>
  <c r="I184" i="9" s="1"/>
  <c r="H185" i="9"/>
  <c r="I185" i="9" s="1"/>
  <c r="H186" i="9"/>
  <c r="H187" i="9"/>
  <c r="H188" i="9"/>
  <c r="H189" i="9"/>
  <c r="I189" i="9" s="1"/>
  <c r="H190" i="9"/>
  <c r="I190" i="9" s="1"/>
  <c r="H191" i="9"/>
  <c r="I191" i="9" s="1"/>
  <c r="H192" i="9"/>
  <c r="I192" i="9" s="1"/>
  <c r="H193" i="9"/>
  <c r="I193" i="9" s="1"/>
  <c r="H194" i="9"/>
  <c r="H195" i="9"/>
  <c r="I195" i="9" s="1"/>
  <c r="H196" i="9"/>
  <c r="H197" i="9"/>
  <c r="I197" i="9" s="1"/>
  <c r="H198" i="9"/>
  <c r="H199" i="9"/>
  <c r="H200" i="9"/>
  <c r="I200" i="9" s="1"/>
  <c r="H201" i="9"/>
  <c r="I201" i="9" s="1"/>
  <c r="H202" i="9"/>
  <c r="H203" i="9"/>
  <c r="I203" i="9" s="1"/>
  <c r="H204" i="9"/>
  <c r="H205" i="9"/>
  <c r="I205" i="9" s="1"/>
  <c r="H206" i="9"/>
  <c r="H207" i="9"/>
  <c r="I207" i="9" s="1"/>
  <c r="H208" i="9"/>
  <c r="I208" i="9" s="1"/>
  <c r="H209" i="9"/>
  <c r="I209" i="9" s="1"/>
  <c r="H210" i="9"/>
  <c r="H211" i="9"/>
  <c r="I211" i="9" s="1"/>
  <c r="H212" i="9"/>
  <c r="H213" i="9"/>
  <c r="I213" i="9" s="1"/>
  <c r="H214" i="9"/>
  <c r="I214" i="9" s="1"/>
  <c r="H215" i="9"/>
  <c r="I215" i="9" s="1"/>
  <c r="H216" i="9"/>
  <c r="I216" i="9" s="1"/>
  <c r="H217" i="9"/>
  <c r="I217" i="9" s="1"/>
  <c r="H218" i="9"/>
  <c r="H219" i="9"/>
  <c r="I219" i="9" s="1"/>
  <c r="H220" i="9"/>
  <c r="H221" i="9"/>
  <c r="I221" i="9" s="1"/>
  <c r="H222" i="9"/>
  <c r="H223" i="9"/>
  <c r="I223" i="9" s="1"/>
  <c r="H224" i="9"/>
  <c r="I224" i="9" s="1"/>
  <c r="H225" i="9"/>
  <c r="I225" i="9" s="1"/>
  <c r="H226" i="9"/>
  <c r="H227" i="9"/>
  <c r="I227" i="9" s="1"/>
  <c r="H228" i="9"/>
  <c r="H229" i="9"/>
  <c r="I229" i="9" s="1"/>
  <c r="H230" i="9"/>
  <c r="H231" i="9"/>
  <c r="I231" i="9" s="1"/>
  <c r="H232" i="9"/>
  <c r="I232" i="9" s="1"/>
  <c r="H233" i="9"/>
  <c r="I233" i="9" s="1"/>
  <c r="H234" i="9"/>
  <c r="H235" i="9"/>
  <c r="H236" i="9"/>
  <c r="H237" i="9"/>
  <c r="I237" i="9" s="1"/>
  <c r="H238" i="9"/>
  <c r="I238" i="9" s="1"/>
  <c r="H239" i="9"/>
  <c r="I239" i="9" s="1"/>
  <c r="H240" i="9"/>
  <c r="I240" i="9" s="1"/>
  <c r="H241" i="9"/>
  <c r="I241" i="9" s="1"/>
  <c r="H242" i="9"/>
  <c r="H243" i="9"/>
  <c r="I243" i="9" s="1"/>
  <c r="H244" i="9"/>
  <c r="H245" i="9"/>
  <c r="I245" i="9" s="1"/>
  <c r="H246" i="9"/>
  <c r="H247" i="9"/>
  <c r="H248" i="9"/>
  <c r="I248" i="9" s="1"/>
  <c r="H249" i="9"/>
  <c r="I249" i="9" s="1"/>
  <c r="H250" i="9"/>
  <c r="H251" i="9"/>
  <c r="I251" i="9" s="1"/>
  <c r="H252" i="9"/>
  <c r="H253" i="9"/>
  <c r="I253" i="9" s="1"/>
  <c r="H254" i="9"/>
  <c r="I254" i="9" s="1"/>
  <c r="H255" i="9"/>
  <c r="I255" i="9" s="1"/>
  <c r="H256" i="9"/>
  <c r="I256" i="9" s="1"/>
  <c r="H257" i="9"/>
  <c r="I257" i="9" s="1"/>
  <c r="H258" i="9"/>
  <c r="H259" i="9"/>
  <c r="I259" i="9" s="1"/>
  <c r="H260" i="9"/>
  <c r="H261" i="9"/>
  <c r="I261" i="9" s="1"/>
  <c r="H262" i="9"/>
  <c r="I262" i="9" s="1"/>
  <c r="H263" i="9"/>
  <c r="I263" i="9" s="1"/>
  <c r="H264" i="9"/>
  <c r="I264" i="9" s="1"/>
  <c r="H265" i="9"/>
  <c r="I265" i="9" s="1"/>
  <c r="H266" i="9"/>
  <c r="H267" i="9"/>
  <c r="I267" i="9" s="1"/>
  <c r="H268" i="9"/>
  <c r="H269" i="9"/>
  <c r="I269" i="9" s="1"/>
  <c r="H270" i="9"/>
  <c r="I270" i="9" s="1"/>
  <c r="H271" i="9"/>
  <c r="I271" i="9" s="1"/>
  <c r="H272" i="9"/>
  <c r="I272" i="9" s="1"/>
  <c r="H273" i="9"/>
  <c r="I273" i="9" s="1"/>
  <c r="H274" i="9"/>
  <c r="H275" i="9"/>
  <c r="H276" i="9"/>
  <c r="H277" i="9"/>
  <c r="I277" i="9" s="1"/>
  <c r="H278" i="9"/>
  <c r="H279" i="9"/>
  <c r="I279" i="9" s="1"/>
  <c r="H280" i="9"/>
  <c r="I280" i="9" s="1"/>
  <c r="H281" i="9"/>
  <c r="I281" i="9" s="1"/>
  <c r="H282" i="9"/>
  <c r="H283" i="9"/>
  <c r="H284" i="9"/>
  <c r="H285" i="9"/>
  <c r="I285" i="9" s="1"/>
  <c r="H286" i="9"/>
  <c r="I286" i="9" s="1"/>
  <c r="H287" i="9"/>
  <c r="I287" i="9" s="1"/>
  <c r="H288" i="9"/>
  <c r="I288" i="9" s="1"/>
  <c r="H289" i="9"/>
  <c r="I289" i="9" s="1"/>
  <c r="H290" i="9"/>
  <c r="H291" i="9"/>
  <c r="I291" i="9" s="1"/>
  <c r="H292" i="9"/>
  <c r="H293" i="9"/>
  <c r="I293" i="9" s="1"/>
  <c r="H294" i="9"/>
  <c r="H295" i="9"/>
  <c r="I295" i="9" s="1"/>
  <c r="H296" i="9"/>
  <c r="I296" i="9" s="1"/>
  <c r="H297" i="9"/>
  <c r="I297" i="9" s="1"/>
  <c r="H298" i="9"/>
  <c r="H299" i="9"/>
  <c r="I299" i="9" s="1"/>
  <c r="H300" i="9"/>
  <c r="H301" i="9"/>
  <c r="I301" i="9" s="1"/>
  <c r="H302" i="9"/>
  <c r="H303" i="9"/>
  <c r="H304" i="9"/>
  <c r="I304" i="9" s="1"/>
  <c r="H305" i="9"/>
  <c r="I305" i="9" s="1"/>
  <c r="H306" i="9"/>
  <c r="H307" i="9"/>
  <c r="I307" i="9" s="1"/>
  <c r="H308" i="9"/>
  <c r="H309" i="9"/>
  <c r="I309" i="9" s="1"/>
  <c r="H310" i="9"/>
  <c r="I310" i="9" s="1"/>
  <c r="H311" i="9"/>
  <c r="I311" i="9" s="1"/>
  <c r="H312" i="9"/>
  <c r="I312" i="9" s="1"/>
  <c r="H313" i="9"/>
  <c r="I313" i="9" s="1"/>
  <c r="H314" i="9"/>
  <c r="H315" i="9"/>
  <c r="I315" i="9" s="1"/>
  <c r="H316" i="9"/>
  <c r="H317" i="9"/>
  <c r="I317" i="9" s="1"/>
  <c r="H318" i="9"/>
  <c r="I318" i="9" s="1"/>
  <c r="H319" i="9"/>
  <c r="I319" i="9" s="1"/>
  <c r="H320" i="9"/>
  <c r="I320" i="9" s="1"/>
  <c r="H321" i="9"/>
  <c r="I321" i="9" s="1"/>
  <c r="H322" i="9"/>
  <c r="H323" i="9"/>
  <c r="I323" i="9" s="1"/>
  <c r="H324" i="9"/>
  <c r="H325" i="9"/>
  <c r="I325" i="9" s="1"/>
  <c r="H326" i="9"/>
  <c r="I326" i="9" s="1"/>
  <c r="H327" i="9"/>
  <c r="I327" i="9" s="1"/>
  <c r="H328" i="9"/>
  <c r="I328" i="9" s="1"/>
  <c r="H329" i="9"/>
  <c r="I329" i="9" s="1"/>
  <c r="H330" i="9"/>
  <c r="H331" i="9"/>
  <c r="I331" i="9" s="1"/>
  <c r="H332" i="9"/>
  <c r="H333" i="9"/>
  <c r="I333" i="9" s="1"/>
  <c r="H334" i="9"/>
  <c r="I334" i="9" s="1"/>
  <c r="H335" i="9"/>
  <c r="I335" i="9" s="1"/>
  <c r="H336" i="9"/>
  <c r="I336" i="9" s="1"/>
  <c r="H337" i="9"/>
  <c r="I337" i="9" s="1"/>
  <c r="H338" i="9"/>
  <c r="H339" i="9"/>
  <c r="I339" i="9" s="1"/>
  <c r="H340" i="9"/>
  <c r="H341" i="9"/>
  <c r="I341" i="9" s="1"/>
  <c r="H342" i="9"/>
  <c r="I342" i="9" s="1"/>
  <c r="H343" i="9"/>
  <c r="I343" i="9" s="1"/>
  <c r="H344" i="9"/>
  <c r="I344" i="9" s="1"/>
  <c r="H345" i="9"/>
  <c r="I345" i="9" s="1"/>
  <c r="H346" i="9"/>
  <c r="H347" i="9"/>
  <c r="H348" i="9"/>
  <c r="H349" i="9"/>
  <c r="I349" i="9" s="1"/>
  <c r="H350" i="9"/>
  <c r="I350" i="9" s="1"/>
  <c r="H351" i="9"/>
  <c r="I351" i="9" s="1"/>
  <c r="H352" i="9"/>
  <c r="I352" i="9" s="1"/>
  <c r="H353" i="9"/>
  <c r="I353" i="9" s="1"/>
  <c r="H354" i="9"/>
  <c r="H355" i="9"/>
  <c r="I355" i="9" s="1"/>
  <c r="H356" i="9"/>
  <c r="H357" i="9"/>
  <c r="I357" i="9" s="1"/>
  <c r="H358" i="9"/>
  <c r="H359" i="9"/>
  <c r="I359" i="9" s="1"/>
  <c r="H360" i="9"/>
  <c r="I360" i="9" s="1"/>
  <c r="H361" i="9"/>
  <c r="I361" i="9" s="1"/>
  <c r="H362" i="9"/>
  <c r="H363" i="9"/>
  <c r="I363" i="9" s="1"/>
  <c r="H364" i="9"/>
  <c r="H365" i="9"/>
  <c r="I365" i="9" s="1"/>
  <c r="H366" i="9"/>
  <c r="I366" i="9" s="1"/>
  <c r="H367" i="9"/>
  <c r="I367" i="9" s="1"/>
  <c r="H368" i="9"/>
  <c r="I368" i="9" s="1"/>
  <c r="H369" i="9"/>
  <c r="I369" i="9" s="1"/>
  <c r="H370" i="9"/>
  <c r="H371" i="9"/>
  <c r="H372" i="9"/>
  <c r="H373" i="9"/>
  <c r="I373" i="9" s="1"/>
  <c r="H374" i="9"/>
  <c r="I374" i="9" s="1"/>
  <c r="H375" i="9"/>
  <c r="I375" i="9" s="1"/>
  <c r="H376" i="9"/>
  <c r="I376" i="9" s="1"/>
  <c r="H377" i="9"/>
  <c r="I377" i="9" s="1"/>
  <c r="H378" i="9"/>
  <c r="I378" i="9" s="1"/>
  <c r="H379" i="9"/>
  <c r="I379" i="9" s="1"/>
  <c r="H380" i="9"/>
  <c r="H381" i="9"/>
  <c r="I381" i="9" s="1"/>
  <c r="H382" i="9"/>
  <c r="I382" i="9" s="1"/>
  <c r="H383" i="9"/>
  <c r="I383" i="9" s="1"/>
  <c r="H384" i="9"/>
  <c r="I384" i="9" s="1"/>
  <c r="H385" i="9"/>
  <c r="I385" i="9" s="1"/>
  <c r="H386" i="9"/>
  <c r="H387" i="9"/>
  <c r="I387" i="9" s="1"/>
  <c r="H388" i="9"/>
  <c r="H389" i="9"/>
  <c r="I389" i="9" s="1"/>
  <c r="H390" i="9"/>
  <c r="I390" i="9" s="1"/>
  <c r="H391" i="9"/>
  <c r="I391" i="9" s="1"/>
  <c r="H392" i="9"/>
  <c r="I392" i="9" s="1"/>
  <c r="H393" i="9"/>
  <c r="I393" i="9" s="1"/>
  <c r="H394" i="9"/>
  <c r="H395" i="9"/>
  <c r="I395" i="9" s="1"/>
  <c r="H396" i="9"/>
  <c r="H397" i="9"/>
  <c r="I397" i="9" s="1"/>
  <c r="H398" i="9"/>
  <c r="H399" i="9"/>
  <c r="I399" i="9" s="1"/>
  <c r="H400" i="9"/>
  <c r="I400" i="9" s="1"/>
  <c r="H401" i="9"/>
  <c r="I401" i="9" s="1"/>
  <c r="H402" i="9"/>
  <c r="H403" i="9"/>
  <c r="I403" i="9" s="1"/>
  <c r="H404" i="9"/>
  <c r="H405" i="9"/>
  <c r="I405" i="9" s="1"/>
  <c r="H406" i="9"/>
  <c r="I406" i="9" s="1"/>
  <c r="H407" i="9"/>
  <c r="I407" i="9" s="1"/>
  <c r="H408" i="9"/>
  <c r="I408" i="9" s="1"/>
  <c r="H409" i="9"/>
  <c r="I409" i="9" s="1"/>
  <c r="H410" i="9"/>
  <c r="H411" i="9"/>
  <c r="I411" i="9" s="1"/>
  <c r="H412" i="9"/>
  <c r="H413" i="9"/>
  <c r="I413" i="9" s="1"/>
  <c r="H414" i="9"/>
  <c r="H415" i="9"/>
  <c r="I415" i="9" s="1"/>
  <c r="H416" i="9"/>
  <c r="I416" i="9" s="1"/>
  <c r="H417" i="9"/>
  <c r="I417" i="9" s="1"/>
  <c r="H418" i="9"/>
  <c r="H419" i="9"/>
  <c r="I419" i="9" s="1"/>
  <c r="H420" i="9"/>
  <c r="H421" i="9"/>
  <c r="I421" i="9" s="1"/>
  <c r="H422" i="9"/>
  <c r="H423" i="9"/>
  <c r="H424" i="9"/>
  <c r="I424" i="9" s="1"/>
  <c r="H425" i="9"/>
  <c r="I425" i="9" s="1"/>
  <c r="H426" i="9"/>
  <c r="I426" i="9" s="1"/>
  <c r="H427" i="9"/>
  <c r="I427" i="9" s="1"/>
  <c r="H428" i="9"/>
  <c r="H429" i="9"/>
  <c r="I429" i="9" s="1"/>
  <c r="H430" i="9"/>
  <c r="I430" i="9" s="1"/>
  <c r="H431" i="9"/>
  <c r="I431" i="9" s="1"/>
  <c r="H432" i="9"/>
  <c r="I432" i="9" s="1"/>
  <c r="H433" i="9"/>
  <c r="I433" i="9" s="1"/>
  <c r="H434" i="9"/>
  <c r="H435" i="9"/>
  <c r="I435" i="9" s="1"/>
  <c r="H436" i="9"/>
  <c r="H437" i="9"/>
  <c r="I437" i="9" s="1"/>
  <c r="H438" i="9"/>
  <c r="I438" i="9" s="1"/>
  <c r="H439" i="9"/>
  <c r="I439" i="9" s="1"/>
  <c r="H440" i="9"/>
  <c r="I440" i="9" s="1"/>
  <c r="H441" i="9"/>
  <c r="I441" i="9" s="1"/>
  <c r="H442" i="9"/>
  <c r="H443" i="9"/>
  <c r="I443" i="9" s="1"/>
  <c r="H444" i="9"/>
  <c r="H445" i="9"/>
  <c r="I445" i="9" s="1"/>
  <c r="H446" i="9"/>
  <c r="H447" i="9"/>
  <c r="I447" i="9" s="1"/>
  <c r="H448" i="9"/>
  <c r="I448" i="9" s="1"/>
  <c r="H449" i="9"/>
  <c r="I449" i="9" s="1"/>
  <c r="H450" i="9"/>
  <c r="H451" i="9"/>
  <c r="I451" i="9" s="1"/>
  <c r="H452" i="9"/>
  <c r="H453" i="9"/>
  <c r="I453" i="9" s="1"/>
  <c r="H454" i="9"/>
  <c r="I454" i="9" s="1"/>
  <c r="H455" i="9"/>
  <c r="I455" i="9" s="1"/>
  <c r="H456" i="9"/>
  <c r="I456" i="9" s="1"/>
  <c r="H457" i="9"/>
  <c r="I457" i="9" s="1"/>
  <c r="H458" i="9"/>
  <c r="H459" i="9"/>
  <c r="I459" i="9" s="1"/>
  <c r="H460" i="9"/>
  <c r="H461" i="9"/>
  <c r="I461" i="9" s="1"/>
  <c r="H462" i="9"/>
  <c r="I462" i="9" s="1"/>
  <c r="H463" i="9"/>
  <c r="I463" i="9" s="1"/>
  <c r="H464" i="9"/>
  <c r="I464" i="9" s="1"/>
  <c r="H465" i="9"/>
  <c r="I465" i="9" s="1"/>
  <c r="H466" i="9"/>
  <c r="H467" i="9"/>
  <c r="I467" i="9" s="1"/>
  <c r="H468" i="9"/>
  <c r="H469" i="9"/>
  <c r="I469" i="9" s="1"/>
  <c r="H470" i="9"/>
  <c r="I470" i="9" s="1"/>
  <c r="H471" i="9"/>
  <c r="I471" i="9" s="1"/>
  <c r="H472" i="9"/>
  <c r="I472" i="9" s="1"/>
  <c r="H473" i="9"/>
  <c r="I473" i="9" s="1"/>
  <c r="H474" i="9"/>
  <c r="H475" i="9"/>
  <c r="I475" i="9" s="1"/>
  <c r="H476" i="9"/>
  <c r="H477" i="9"/>
  <c r="I477" i="9" s="1"/>
  <c r="H478" i="9"/>
  <c r="I478" i="9" s="1"/>
  <c r="H479" i="9"/>
  <c r="I479" i="9" s="1"/>
  <c r="H480" i="9"/>
  <c r="I480" i="9" s="1"/>
  <c r="H481" i="9"/>
  <c r="I481" i="9" s="1"/>
  <c r="H482" i="9"/>
  <c r="I482" i="9" s="1"/>
  <c r="H483" i="9"/>
  <c r="I483" i="9" s="1"/>
  <c r="H484" i="9"/>
  <c r="H485" i="9"/>
  <c r="I485" i="9" s="1"/>
  <c r="H486" i="9"/>
  <c r="I486" i="9" s="1"/>
  <c r="H487" i="9"/>
  <c r="I487" i="9" s="1"/>
  <c r="H488" i="9"/>
  <c r="I488" i="9" s="1"/>
  <c r="H489" i="9"/>
  <c r="I489" i="9" s="1"/>
  <c r="H490" i="9"/>
  <c r="I490" i="9" s="1"/>
  <c r="H491" i="9"/>
  <c r="I491" i="9" s="1"/>
  <c r="H492" i="9"/>
  <c r="I492" i="9" s="1"/>
  <c r="H493" i="9"/>
  <c r="I493" i="9" s="1"/>
  <c r="H494" i="9"/>
  <c r="I494" i="9" s="1"/>
  <c r="H495" i="9"/>
  <c r="I495" i="9" s="1"/>
  <c r="H496" i="9"/>
  <c r="I496" i="9" s="1"/>
  <c r="H497" i="9"/>
  <c r="I497" i="9" s="1"/>
  <c r="H498" i="9"/>
  <c r="H499" i="9"/>
  <c r="I499" i="9" s="1"/>
  <c r="H500" i="9"/>
  <c r="H501" i="9"/>
  <c r="I501" i="9" s="1"/>
  <c r="H502" i="9"/>
  <c r="I502" i="9" s="1"/>
  <c r="H503" i="9"/>
  <c r="I503" i="9" s="1"/>
  <c r="H504" i="9"/>
  <c r="I504" i="9" s="1"/>
  <c r="H505" i="9"/>
  <c r="I505" i="9" s="1"/>
  <c r="H506" i="9"/>
  <c r="I506" i="9" s="1"/>
  <c r="H507" i="9"/>
  <c r="I507" i="9" s="1"/>
  <c r="H508" i="9"/>
  <c r="I508" i="9" s="1"/>
  <c r="H509" i="9"/>
  <c r="I509" i="9" s="1"/>
  <c r="H510" i="9"/>
  <c r="H511" i="9"/>
  <c r="I511" i="9" s="1"/>
  <c r="H512" i="9"/>
  <c r="I512" i="9" s="1"/>
  <c r="H513" i="9"/>
  <c r="I513" i="9" s="1"/>
  <c r="H514" i="9"/>
  <c r="I514" i="9" s="1"/>
  <c r="H515" i="9"/>
  <c r="I515" i="9" s="1"/>
  <c r="H516" i="9"/>
  <c r="H517" i="9"/>
  <c r="I517" i="9" s="1"/>
  <c r="H518" i="9"/>
  <c r="I518" i="9" s="1"/>
  <c r="H519" i="9"/>
  <c r="I519" i="9" s="1"/>
  <c r="H520" i="9"/>
  <c r="I520" i="9" s="1"/>
  <c r="H521" i="9"/>
  <c r="I521" i="9" s="1"/>
  <c r="H522" i="9"/>
  <c r="I522" i="9" s="1"/>
  <c r="H523" i="9"/>
  <c r="I523" i="9" s="1"/>
  <c r="H524" i="9"/>
  <c r="H525" i="9"/>
  <c r="I525" i="9" s="1"/>
  <c r="H526" i="9"/>
  <c r="I526" i="9" s="1"/>
  <c r="H527" i="9"/>
  <c r="I527" i="9" s="1"/>
  <c r="H528" i="9"/>
  <c r="I528" i="9" s="1"/>
  <c r="H529" i="9"/>
  <c r="I529" i="9" s="1"/>
  <c r="H530" i="9"/>
  <c r="I530" i="9" s="1"/>
  <c r="H531" i="9"/>
  <c r="I531" i="9" s="1"/>
  <c r="H532" i="9"/>
  <c r="H533" i="9"/>
  <c r="I533" i="9" s="1"/>
  <c r="H534" i="9"/>
  <c r="I534" i="9" s="1"/>
  <c r="H535" i="9"/>
  <c r="I535" i="9" s="1"/>
  <c r="H536" i="9"/>
  <c r="I536" i="9" s="1"/>
  <c r="H537" i="9"/>
  <c r="I537" i="9" s="1"/>
  <c r="H538" i="9"/>
  <c r="I538" i="9" s="1"/>
  <c r="H539" i="9"/>
  <c r="I539" i="9" s="1"/>
  <c r="H540" i="9"/>
  <c r="I540" i="9" s="1"/>
  <c r="H541" i="9"/>
  <c r="I541" i="9" s="1"/>
  <c r="H542" i="9"/>
  <c r="I542" i="9" s="1"/>
  <c r="H543" i="9"/>
  <c r="I543" i="9" s="1"/>
  <c r="H544" i="9"/>
  <c r="I544" i="9" s="1"/>
  <c r="H545" i="9"/>
  <c r="I545" i="9" s="1"/>
  <c r="H546" i="9"/>
  <c r="I546" i="9" s="1"/>
  <c r="H547" i="9"/>
  <c r="I547" i="9" s="1"/>
  <c r="H548" i="9"/>
  <c r="H549" i="9"/>
  <c r="I549" i="9" s="1"/>
  <c r="H550" i="9"/>
  <c r="I550" i="9" s="1"/>
  <c r="H551" i="9"/>
  <c r="I551" i="9" s="1"/>
  <c r="H552" i="9"/>
  <c r="I552" i="9" s="1"/>
  <c r="H553" i="9"/>
  <c r="I553" i="9" s="1"/>
  <c r="H554" i="9"/>
  <c r="H555" i="9"/>
  <c r="I555" i="9" s="1"/>
  <c r="H556" i="9"/>
  <c r="H557" i="9"/>
  <c r="I557" i="9" s="1"/>
  <c r="H558" i="9"/>
  <c r="I558" i="9" s="1"/>
  <c r="H559" i="9"/>
  <c r="I559" i="9" s="1"/>
  <c r="H560" i="9"/>
  <c r="I560" i="9" s="1"/>
  <c r="H561" i="9"/>
  <c r="I561" i="9" s="1"/>
  <c r="H562" i="9"/>
  <c r="I562" i="9" s="1"/>
  <c r="H563" i="9"/>
  <c r="I563" i="9" s="1"/>
  <c r="H564" i="9"/>
  <c r="H565" i="9"/>
  <c r="I565" i="9" s="1"/>
  <c r="H566" i="9"/>
  <c r="I566" i="9" s="1"/>
  <c r="H567" i="9"/>
  <c r="I567" i="9" s="1"/>
  <c r="H568" i="9"/>
  <c r="I568" i="9" s="1"/>
  <c r="H569" i="9"/>
  <c r="I569" i="9" s="1"/>
  <c r="H570" i="9"/>
  <c r="I570" i="9" s="1"/>
  <c r="H571" i="9"/>
  <c r="I571" i="9" s="1"/>
  <c r="H572" i="9"/>
  <c r="I572" i="9" s="1"/>
  <c r="H573" i="9"/>
  <c r="I573" i="9" s="1"/>
  <c r="H574" i="9"/>
  <c r="I574" i="9" s="1"/>
  <c r="H575" i="9"/>
  <c r="I575" i="9" s="1"/>
  <c r="H576" i="9"/>
  <c r="I576" i="9" s="1"/>
  <c r="H577" i="9"/>
  <c r="I577" i="9" s="1"/>
  <c r="H578" i="9"/>
  <c r="I578" i="9" s="1"/>
  <c r="H579" i="9"/>
  <c r="I579" i="9" s="1"/>
  <c r="H580" i="9"/>
  <c r="H581" i="9"/>
  <c r="I581" i="9" s="1"/>
  <c r="H582" i="9"/>
  <c r="I582" i="9" s="1"/>
  <c r="H583" i="9"/>
  <c r="I583" i="9" s="1"/>
  <c r="H584" i="9"/>
  <c r="I584" i="9" s="1"/>
  <c r="H585" i="9"/>
  <c r="I585" i="9" s="1"/>
  <c r="H586" i="9"/>
  <c r="I586" i="9" s="1"/>
  <c r="H587" i="9"/>
  <c r="I587" i="9" s="1"/>
  <c r="H588" i="9"/>
  <c r="I588" i="9" s="1"/>
  <c r="H589" i="9"/>
  <c r="I589" i="9" s="1"/>
  <c r="H590" i="9"/>
  <c r="I590" i="9" s="1"/>
  <c r="H591" i="9"/>
  <c r="I591" i="9" s="1"/>
  <c r="H592" i="9"/>
  <c r="I592" i="9" s="1"/>
  <c r="H593" i="9"/>
  <c r="I593" i="9" s="1"/>
  <c r="H594" i="9"/>
  <c r="I594" i="9" s="1"/>
  <c r="H595" i="9"/>
  <c r="I595" i="9" s="1"/>
  <c r="H596" i="9"/>
  <c r="H597" i="9"/>
  <c r="I597" i="9" s="1"/>
  <c r="H598" i="9"/>
  <c r="I598" i="9" s="1"/>
  <c r="H599" i="9"/>
  <c r="I599" i="9" s="1"/>
  <c r="H600" i="9"/>
  <c r="I600" i="9" s="1"/>
  <c r="H601" i="9"/>
  <c r="I601" i="9" s="1"/>
  <c r="H602" i="9"/>
  <c r="I602" i="9" s="1"/>
  <c r="H603" i="9"/>
  <c r="I603" i="9" s="1"/>
  <c r="H604" i="9"/>
  <c r="I604" i="9" s="1"/>
  <c r="H605" i="9"/>
  <c r="I605" i="9" s="1"/>
  <c r="H606" i="9"/>
  <c r="I606" i="9" s="1"/>
  <c r="H607" i="9"/>
  <c r="I607" i="9" s="1"/>
  <c r="H608" i="9"/>
  <c r="I608" i="9" s="1"/>
  <c r="H609" i="9"/>
  <c r="I609" i="9" s="1"/>
  <c r="H610" i="9"/>
  <c r="I610" i="9" s="1"/>
  <c r="H611" i="9"/>
  <c r="I611" i="9" s="1"/>
  <c r="H612" i="9"/>
  <c r="H613" i="9"/>
  <c r="I613" i="9" s="1"/>
  <c r="H614" i="9"/>
  <c r="I614" i="9" s="1"/>
  <c r="H615" i="9"/>
  <c r="I615" i="9" s="1"/>
  <c r="H616" i="9"/>
  <c r="I616" i="9" s="1"/>
  <c r="H617" i="9"/>
  <c r="I617" i="9" s="1"/>
  <c r="H618" i="9"/>
  <c r="I618" i="9" s="1"/>
  <c r="H619" i="9"/>
  <c r="I619" i="9" s="1"/>
  <c r="H620" i="9"/>
  <c r="I620" i="9" s="1"/>
  <c r="H621" i="9"/>
  <c r="I621" i="9" s="1"/>
  <c r="H622" i="9"/>
  <c r="I622" i="9" s="1"/>
  <c r="H623" i="9"/>
  <c r="I623" i="9" s="1"/>
  <c r="H624" i="9"/>
  <c r="I624" i="9" s="1"/>
  <c r="H625" i="9"/>
  <c r="I625" i="9" s="1"/>
  <c r="H626" i="9"/>
  <c r="I626" i="9" s="1"/>
  <c r="H627" i="9"/>
  <c r="I627" i="9" s="1"/>
  <c r="H628" i="9"/>
  <c r="H629" i="9"/>
  <c r="I629" i="9" s="1"/>
  <c r="H630" i="9"/>
  <c r="I630" i="9" s="1"/>
  <c r="H631" i="9"/>
  <c r="I631" i="9" s="1"/>
  <c r="H632" i="9"/>
  <c r="I632" i="9" s="1"/>
  <c r="H633" i="9"/>
  <c r="I633" i="9" s="1"/>
  <c r="H634" i="9"/>
  <c r="I634" i="9" s="1"/>
  <c r="H635" i="9"/>
  <c r="I635" i="9" s="1"/>
  <c r="H636" i="9"/>
  <c r="I636" i="9" s="1"/>
  <c r="H637" i="9"/>
  <c r="I637" i="9" s="1"/>
  <c r="H638" i="9"/>
  <c r="I638" i="9" s="1"/>
  <c r="H639" i="9"/>
  <c r="I639" i="9" s="1"/>
  <c r="H640" i="9"/>
  <c r="I640" i="9" s="1"/>
  <c r="H641" i="9"/>
  <c r="I641" i="9" s="1"/>
  <c r="H642" i="9"/>
  <c r="I642" i="9" s="1"/>
  <c r="H643" i="9"/>
  <c r="I643" i="9" s="1"/>
  <c r="H644" i="9"/>
  <c r="I644" i="9" s="1"/>
  <c r="H645" i="9"/>
  <c r="I645" i="9" s="1"/>
  <c r="H646" i="9"/>
  <c r="I646" i="9" s="1"/>
  <c r="H647" i="9"/>
  <c r="I647" i="9" s="1"/>
  <c r="H648" i="9"/>
  <c r="I648" i="9" s="1"/>
  <c r="H649" i="9"/>
  <c r="I649" i="9" s="1"/>
  <c r="H650" i="9"/>
  <c r="I650" i="9" s="1"/>
  <c r="H651" i="9"/>
  <c r="I651" i="9" s="1"/>
  <c r="H652" i="9"/>
  <c r="I652" i="9" s="1"/>
  <c r="I38" i="9"/>
  <c r="I58" i="9"/>
  <c r="I90" i="9"/>
  <c r="I107" i="9"/>
  <c r="I171" i="9"/>
  <c r="I198" i="9"/>
  <c r="I235" i="9"/>
  <c r="I246" i="9"/>
  <c r="I278" i="9"/>
  <c r="I283" i="9"/>
  <c r="I354" i="9"/>
  <c r="I358" i="9"/>
  <c r="I386" i="9"/>
  <c r="I398" i="9"/>
  <c r="I418" i="9"/>
  <c r="I422" i="9"/>
  <c r="I450" i="9"/>
  <c r="I554" i="9"/>
  <c r="I556" i="9"/>
  <c r="I564" i="9"/>
  <c r="I580" i="9"/>
  <c r="I596" i="9"/>
  <c r="I612" i="9"/>
  <c r="I628" i="9"/>
  <c r="I2" i="9"/>
  <c r="I3" i="9"/>
  <c r="I4" i="9"/>
  <c r="I7" i="9"/>
  <c r="I10" i="9"/>
  <c r="I11" i="9"/>
  <c r="I12" i="9"/>
  <c r="I14" i="9"/>
  <c r="I15" i="9"/>
  <c r="I18" i="9"/>
  <c r="I19" i="9"/>
  <c r="I20" i="9"/>
  <c r="I23" i="9"/>
  <c r="I26" i="9"/>
  <c r="I27" i="9"/>
  <c r="I28" i="9"/>
  <c r="I31" i="9"/>
  <c r="I34" i="9"/>
  <c r="I35" i="9"/>
  <c r="I36" i="9"/>
  <c r="I39" i="9"/>
  <c r="I42" i="9"/>
  <c r="I43" i="9"/>
  <c r="I44" i="9"/>
  <c r="I47" i="9"/>
  <c r="I50" i="9"/>
  <c r="I51" i="9"/>
  <c r="I52" i="9"/>
  <c r="I54" i="9"/>
  <c r="I55" i="9"/>
  <c r="I59" i="9"/>
  <c r="I60" i="9"/>
  <c r="I63" i="9"/>
  <c r="I66" i="9"/>
  <c r="I67" i="9"/>
  <c r="I68" i="9"/>
  <c r="I70" i="9"/>
  <c r="I71" i="9"/>
  <c r="I74" i="9"/>
  <c r="I75" i="9"/>
  <c r="I76" i="9"/>
  <c r="I79" i="9"/>
  <c r="I82" i="9"/>
  <c r="I83" i="9"/>
  <c r="I84" i="9"/>
  <c r="I87" i="9"/>
  <c r="I91" i="9"/>
  <c r="I92" i="9"/>
  <c r="I95" i="9"/>
  <c r="I98" i="9"/>
  <c r="I99" i="9"/>
  <c r="I100" i="9"/>
  <c r="I103" i="9"/>
  <c r="I106" i="9"/>
  <c r="I108" i="9"/>
  <c r="I111" i="9"/>
  <c r="I114" i="9"/>
  <c r="I115" i="9"/>
  <c r="I116" i="9"/>
  <c r="I119" i="9"/>
  <c r="I122" i="9"/>
  <c r="I124" i="9"/>
  <c r="I127" i="9"/>
  <c r="I130" i="9"/>
  <c r="I131" i="9"/>
  <c r="I132" i="9"/>
  <c r="I138" i="9"/>
  <c r="I140" i="9"/>
  <c r="I143" i="9"/>
  <c r="I146" i="9"/>
  <c r="I148" i="9"/>
  <c r="I151" i="9"/>
  <c r="I154" i="9"/>
  <c r="I156" i="9"/>
  <c r="I159" i="9"/>
  <c r="I162" i="9"/>
  <c r="I164" i="9"/>
  <c r="I167" i="9"/>
  <c r="I170" i="9"/>
  <c r="I172" i="9"/>
  <c r="I175" i="9"/>
  <c r="I178" i="9"/>
  <c r="I180" i="9"/>
  <c r="I186" i="9"/>
  <c r="I187" i="9"/>
  <c r="I188" i="9"/>
  <c r="I194" i="9"/>
  <c r="I196" i="9"/>
  <c r="I199" i="9"/>
  <c r="I202" i="9"/>
  <c r="I204" i="9"/>
  <c r="I206" i="9"/>
  <c r="I210" i="9"/>
  <c r="I212" i="9"/>
  <c r="I218" i="9"/>
  <c r="I220" i="9"/>
  <c r="I222" i="9"/>
  <c r="I226" i="9"/>
  <c r="I228" i="9"/>
  <c r="I230" i="9"/>
  <c r="I234" i="9"/>
  <c r="I236" i="9"/>
  <c r="I242" i="9"/>
  <c r="I244" i="9"/>
  <c r="I247" i="9"/>
  <c r="I250" i="9"/>
  <c r="I252" i="9"/>
  <c r="I258" i="9"/>
  <c r="I260" i="9"/>
  <c r="I266" i="9"/>
  <c r="I268" i="9"/>
  <c r="I274" i="9"/>
  <c r="I275" i="9"/>
  <c r="I276" i="9"/>
  <c r="I282" i="9"/>
  <c r="I284" i="9"/>
  <c r="I290" i="9"/>
  <c r="I292" i="9"/>
  <c r="I294" i="9"/>
  <c r="I298" i="9"/>
  <c r="I300" i="9"/>
  <c r="I302" i="9"/>
  <c r="I303" i="9"/>
  <c r="I306" i="9"/>
  <c r="I308" i="9"/>
  <c r="I314" i="9"/>
  <c r="I316" i="9"/>
  <c r="I322" i="9"/>
  <c r="I324" i="9"/>
  <c r="I330" i="9"/>
  <c r="I332" i="9"/>
  <c r="I338" i="9"/>
  <c r="I340" i="9"/>
  <c r="I346" i="9"/>
  <c r="I347" i="9"/>
  <c r="I348" i="9"/>
  <c r="I356" i="9"/>
  <c r="I362" i="9"/>
  <c r="I364" i="9"/>
  <c r="I370" i="9"/>
  <c r="I371" i="9"/>
  <c r="I372" i="9"/>
  <c r="I380" i="9"/>
  <c r="I388" i="9"/>
  <c r="I394" i="9"/>
  <c r="I396" i="9"/>
  <c r="I402" i="9"/>
  <c r="I404" i="9"/>
  <c r="I410" i="9"/>
  <c r="I412" i="9"/>
  <c r="I414" i="9"/>
  <c r="I420" i="9"/>
  <c r="I423" i="9"/>
  <c r="I428" i="9"/>
  <c r="I434" i="9"/>
  <c r="I436" i="9"/>
  <c r="I442" i="9"/>
  <c r="I444" i="9"/>
  <c r="I446" i="9"/>
  <c r="I452" i="9"/>
  <c r="I458" i="9"/>
  <c r="I460" i="9"/>
  <c r="I466" i="9"/>
  <c r="I468" i="9"/>
  <c r="I474" i="9"/>
  <c r="I476" i="9"/>
  <c r="I484" i="9"/>
  <c r="I498" i="9"/>
  <c r="I500" i="9"/>
  <c r="I510" i="9"/>
  <c r="I516" i="9"/>
  <c r="I524" i="9"/>
  <c r="I532" i="9"/>
  <c r="I548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C42" i="11"/>
  <c r="C41" i="11"/>
  <c r="C33" i="11"/>
  <c r="C39" i="11"/>
  <c r="C15" i="11"/>
  <c r="C40" i="11"/>
  <c r="C37" i="11"/>
  <c r="C38" i="11"/>
  <c r="C31" i="11"/>
  <c r="C9" i="11"/>
  <c r="C26" i="11"/>
  <c r="C17" i="11"/>
  <c r="C24" i="11"/>
  <c r="C32" i="11"/>
  <c r="C4" i="11"/>
  <c r="C23" i="11"/>
  <c r="C34" i="11"/>
  <c r="C2" i="11"/>
  <c r="C27" i="11"/>
  <c r="C19" i="11"/>
  <c r="C16" i="11"/>
  <c r="C36" i="11"/>
  <c r="C10" i="11"/>
  <c r="C28" i="11"/>
  <c r="C22" i="11"/>
  <c r="C29" i="11"/>
  <c r="C7" i="11"/>
  <c r="C3" i="11"/>
  <c r="C5" i="11"/>
  <c r="C6" i="11"/>
  <c r="C8" i="11"/>
  <c r="C11" i="11"/>
  <c r="C12" i="11"/>
  <c r="C13" i="11"/>
  <c r="C14" i="11"/>
  <c r="C18" i="11"/>
  <c r="C20" i="11"/>
  <c r="C21" i="11"/>
  <c r="C25" i="11"/>
  <c r="C30" i="11"/>
  <c r="C35" i="11"/>
  <c r="F2" i="9"/>
  <c r="I653" i="9" l="1"/>
  <c r="B44" i="11" s="1"/>
  <c r="G45" i="2"/>
  <c r="G44" i="2"/>
  <c r="G42" i="2"/>
  <c r="G41" i="2"/>
  <c r="G40" i="2"/>
  <c r="G38" i="2"/>
  <c r="G37" i="2"/>
  <c r="G35" i="2"/>
  <c r="G34" i="2"/>
  <c r="G32" i="2"/>
  <c r="G31" i="2"/>
  <c r="G29" i="2"/>
  <c r="G28" i="2"/>
  <c r="G26" i="2"/>
  <c r="G25" i="2"/>
  <c r="G24" i="2"/>
  <c r="G22" i="2"/>
  <c r="G20" i="2"/>
  <c r="G19" i="2"/>
  <c r="G17" i="2"/>
  <c r="G16" i="2"/>
  <c r="G14" i="2"/>
  <c r="G13" i="2"/>
  <c r="G11" i="2"/>
  <c r="G10" i="2"/>
  <c r="G9" i="2"/>
  <c r="G7" i="2"/>
  <c r="G5" i="2"/>
  <c r="G4" i="2"/>
  <c r="G3" i="2"/>
  <c r="G2" i="2"/>
  <c r="G12" i="2"/>
  <c r="G15" i="2"/>
  <c r="G18" i="2"/>
  <c r="G21" i="2"/>
  <c r="G23" i="2"/>
  <c r="G27" i="2"/>
  <c r="G30" i="2"/>
  <c r="G33" i="2"/>
  <c r="G36" i="2"/>
  <c r="G39" i="2"/>
  <c r="G43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6" i="2"/>
  <c r="G8" i="2"/>
  <c r="E41" i="11" l="1"/>
  <c r="E42" i="11"/>
  <c r="E38" i="11" l="1"/>
  <c r="E33" i="11"/>
  <c r="E19" i="11"/>
  <c r="E13" i="11"/>
  <c r="E11" i="11"/>
  <c r="E40" i="11"/>
  <c r="E30" i="11"/>
  <c r="E28" i="11"/>
  <c r="E17" i="11"/>
  <c r="E27" i="11"/>
  <c r="E22" i="11"/>
  <c r="E24" i="11"/>
  <c r="E6" i="11"/>
  <c r="E20" i="11"/>
  <c r="E3" i="11"/>
  <c r="E10" i="11"/>
  <c r="E8" i="11"/>
  <c r="B43" i="11" l="1"/>
  <c r="E32" i="11"/>
  <c r="E18" i="11"/>
  <c r="E15" i="11"/>
  <c r="E5" i="11"/>
  <c r="E37" i="11"/>
  <c r="E31" i="11"/>
  <c r="E29" i="11"/>
  <c r="E36" i="11"/>
  <c r="E2" i="11"/>
  <c r="E39" i="11"/>
  <c r="E35" i="11"/>
  <c r="E7" i="11"/>
  <c r="E26" i="11"/>
  <c r="E4" i="11"/>
  <c r="E21" i="11"/>
  <c r="E14" i="11"/>
  <c r="E34" i="11"/>
  <c r="E9" i="11"/>
  <c r="E12" i="11"/>
  <c r="E25" i="11"/>
  <c r="E23" i="11"/>
  <c r="E16" i="11"/>
  <c r="E43" i="11" l="1"/>
</calcChain>
</file>

<file path=xl/sharedStrings.xml><?xml version="1.0" encoding="utf-8"?>
<sst xmlns="http://schemas.openxmlformats.org/spreadsheetml/2006/main" count="7364" uniqueCount="163">
  <si>
    <t>Trabajador</t>
  </si>
  <si>
    <t>Lote</t>
  </si>
  <si>
    <t>Actividad</t>
  </si>
  <si>
    <t>Unidades</t>
  </si>
  <si>
    <t>#</t>
  </si>
  <si>
    <t>FECHA</t>
  </si>
  <si>
    <t xml:space="preserve">Marco Antonio Solano </t>
  </si>
  <si>
    <t xml:space="preserve">Julia Yanira Marroquin </t>
  </si>
  <si>
    <t xml:space="preserve">Carlos Albino Garcia Mendez </t>
  </si>
  <si>
    <t xml:space="preserve">Maria Floridalma Alvarez Morales </t>
  </si>
  <si>
    <t xml:space="preserve">Gildaberto Solano Arenas </t>
  </si>
  <si>
    <t xml:space="preserve">Enma Mannolia Perez Najera </t>
  </si>
  <si>
    <t xml:space="preserve">German Nolberto Solano Marroquin </t>
  </si>
  <si>
    <t xml:space="preserve">Jaime Anibal Marroquin Salazar </t>
  </si>
  <si>
    <t xml:space="preserve">Adister Arcenio Marroquin </t>
  </si>
  <si>
    <t xml:space="preserve">Edgar Rolando Navas Chacon </t>
  </si>
  <si>
    <t xml:space="preserve">Cindy Roxana Alvarez Lopez </t>
  </si>
  <si>
    <t xml:space="preserve">Carmelo Marroquin Salazar </t>
  </si>
  <si>
    <t xml:space="preserve">Erick Ronaldo Hernandez Martinez </t>
  </si>
  <si>
    <t xml:space="preserve">Erica Yanira Alvarez Lopez </t>
  </si>
  <si>
    <t xml:space="preserve">Elmer Alexander Hernandez Raliois </t>
  </si>
  <si>
    <t xml:space="preserve">Axel Amildo Alvarez Morales </t>
  </si>
  <si>
    <t xml:space="preserve">Henry Randolfo Hernandez Solano </t>
  </si>
  <si>
    <t>Dixon Rene Hernandez Martinez</t>
  </si>
  <si>
    <t xml:space="preserve">Jose alexander Navas Martinez </t>
  </si>
  <si>
    <t xml:space="preserve">Wilfrido Hernandez Ralios </t>
  </si>
  <si>
    <t xml:space="preserve">Yaritza Amarilis Navas Sanchez </t>
  </si>
  <si>
    <t xml:space="preserve">Luz De Maria Martinez Solano </t>
  </si>
  <si>
    <t xml:space="preserve">Telma Elizabeth Hernandez Martinez </t>
  </si>
  <si>
    <t xml:space="preserve">Elderr Eduardo Hernandez Navas </t>
  </si>
  <si>
    <t xml:space="preserve">Francisco Alexander Navas Juarez </t>
  </si>
  <si>
    <t xml:space="preserve">Fernando Adelder Guamush Perez </t>
  </si>
  <si>
    <t xml:space="preserve">Jorge Luis Marroquin Salazar </t>
  </si>
  <si>
    <t xml:space="preserve">Baldomero Solano Marroquin </t>
  </si>
  <si>
    <t xml:space="preserve">Leidy Susana Solano Perez </t>
  </si>
  <si>
    <t xml:space="preserve">Jorge Odilio Solano Marroquin </t>
  </si>
  <si>
    <t xml:space="preserve">Ruth Nohemi Alvarez Jimenez </t>
  </si>
  <si>
    <t xml:space="preserve">Oliver Gerardo Aguilar Sanchez </t>
  </si>
  <si>
    <t xml:space="preserve">Gaby Maidely Alvarez Jimenez </t>
  </si>
  <si>
    <t xml:space="preserve">Marta Rosmery Hernandez Perez De Solano </t>
  </si>
  <si>
    <t xml:space="preserve">Maria Marleni Marroquin Salazar </t>
  </si>
  <si>
    <t xml:space="preserve">Wilson Orlando Garcia Mendez </t>
  </si>
  <si>
    <t xml:space="preserve">Suleyma Areli Guamush Marroquin  </t>
  </si>
  <si>
    <t xml:space="preserve">Jonathan Aguilar </t>
  </si>
  <si>
    <t xml:space="preserve">Artemio Danilo Solano Marroquin </t>
  </si>
  <si>
    <t>RP</t>
  </si>
  <si>
    <t xml:space="preserve">CANOA </t>
  </si>
  <si>
    <t xml:space="preserve">ARENERA </t>
  </si>
  <si>
    <t>BE</t>
  </si>
  <si>
    <t>CP</t>
  </si>
  <si>
    <t>MG</t>
  </si>
  <si>
    <t xml:space="preserve">CASA </t>
  </si>
  <si>
    <t xml:space="preserve">CAÑADA </t>
  </si>
  <si>
    <t>BN</t>
  </si>
  <si>
    <t>ARENERA</t>
  </si>
  <si>
    <t>CAÑADA</t>
  </si>
  <si>
    <t xml:space="preserve">SAN EMILIANO </t>
  </si>
  <si>
    <t>CANOA</t>
  </si>
  <si>
    <t>SAN EMILIANO</t>
  </si>
  <si>
    <t>LL</t>
  </si>
  <si>
    <t>MS</t>
  </si>
  <si>
    <t xml:space="preserve">MS </t>
  </si>
  <si>
    <t xml:space="preserve">BN </t>
  </si>
  <si>
    <t xml:space="preserve">VUELTA GRANDE </t>
  </si>
  <si>
    <t xml:space="preserve">BENEFICIO </t>
  </si>
  <si>
    <t>CA</t>
  </si>
  <si>
    <t xml:space="preserve">CARBONERA </t>
  </si>
  <si>
    <t xml:space="preserve">CRUZ 1 </t>
  </si>
  <si>
    <t xml:space="preserve">CA </t>
  </si>
  <si>
    <t>CRUZ 1</t>
  </si>
  <si>
    <t>FERIADO</t>
  </si>
  <si>
    <t xml:space="preserve">FERIADO </t>
  </si>
  <si>
    <t>CRUZ 2</t>
  </si>
  <si>
    <t xml:space="preserve">HERIDO </t>
  </si>
  <si>
    <t xml:space="preserve">HACIENDA </t>
  </si>
  <si>
    <t>TZ</t>
  </si>
  <si>
    <t xml:space="preserve">HORNOS </t>
  </si>
  <si>
    <t xml:space="preserve">TZ </t>
  </si>
  <si>
    <t xml:space="preserve">MIRASOL </t>
  </si>
  <si>
    <t xml:space="preserve">RP </t>
  </si>
  <si>
    <t>Enma Magnolia Perez Najera</t>
  </si>
  <si>
    <t>German Nolberto Solano Marroquin</t>
  </si>
  <si>
    <t>Jaime Anibal Marroquin Salazar</t>
  </si>
  <si>
    <t>Aldister Arcenio Marroquin</t>
  </si>
  <si>
    <t>Edgar Rolando Navas Chacon</t>
  </si>
  <si>
    <t>Cindy Roxana Alvarez Lopez</t>
  </si>
  <si>
    <t>Carmelo Marroquin Salazar</t>
  </si>
  <si>
    <t>Erick Ronaldo Hernandez Martinez</t>
  </si>
  <si>
    <t>Erica Yanira Alvarez Lopez</t>
  </si>
  <si>
    <t>Elmer Alexander Hernandez Ralios</t>
  </si>
  <si>
    <t>Axel Amildo Alvarez Morales</t>
  </si>
  <si>
    <t>Carlos Albino Garcia Mendez</t>
  </si>
  <si>
    <t>Jose Alexander Navas Martinez</t>
  </si>
  <si>
    <t>Wilfrido Hernandez Ralios</t>
  </si>
  <si>
    <t>Yaritza Amarilis Navas Sanchez</t>
  </si>
  <si>
    <t>Luz De Maria Martinez Solano</t>
  </si>
  <si>
    <t>Telma Elizabeth Hernandez Martinez</t>
  </si>
  <si>
    <t>Elder Eduardo Hernandez Navas</t>
  </si>
  <si>
    <t>Francisco Alexander Navas Juarez</t>
  </si>
  <si>
    <t>Fernando Adelder Guamush Perez</t>
  </si>
  <si>
    <t>Jorge Luis Marroquin Salazar</t>
  </si>
  <si>
    <t>Baldomero Solano Marroquin</t>
  </si>
  <si>
    <t>Leidy Susana Solano Perez</t>
  </si>
  <si>
    <t>Jorge Odilio Solano Marroquin</t>
  </si>
  <si>
    <t>Maria Floridalma Alvarez Morales</t>
  </si>
  <si>
    <t>Oliver Gerardo Aguilar Sanchez</t>
  </si>
  <si>
    <t>Julia Yanira Marroquin</t>
  </si>
  <si>
    <t>Marta Rosmery Hernandez Perez</t>
  </si>
  <si>
    <t>Maria Marleni Marroquin Salazar</t>
  </si>
  <si>
    <t>Wilson Orlando Garcia Mendez</t>
  </si>
  <si>
    <t>Suleyma Areli Guamush Marroquin</t>
  </si>
  <si>
    <t>Jonathan Aguilar</t>
  </si>
  <si>
    <t>Artemio Danilo Solano Marroquin</t>
  </si>
  <si>
    <t>canoa</t>
  </si>
  <si>
    <t>cañada</t>
  </si>
  <si>
    <t>hierba</t>
  </si>
  <si>
    <t>FG</t>
  </si>
  <si>
    <t>FE</t>
  </si>
  <si>
    <t xml:space="preserve">FE </t>
  </si>
  <si>
    <t>No. ASIGNADO</t>
  </si>
  <si>
    <t>TRABAJADOR</t>
  </si>
  <si>
    <t>LOTE</t>
  </si>
  <si>
    <t>ACTIVIDAD</t>
  </si>
  <si>
    <t>UNIDADES</t>
  </si>
  <si>
    <t>NOMBRE ACTIVIDAD</t>
  </si>
  <si>
    <t>BENEFICIO</t>
  </si>
  <si>
    <t>CAPORAL</t>
  </si>
  <si>
    <t>LIMPIA LOTE</t>
  </si>
  <si>
    <t>MANTENIMIENTO GENERAL</t>
  </si>
  <si>
    <t>MANEJO DE SOMBRA</t>
  </si>
  <si>
    <t>REPASO SOMBRA</t>
  </si>
  <si>
    <t>TRAZADO PARA SIEMBRA</t>
  </si>
  <si>
    <t>DÍA</t>
  </si>
  <si>
    <t>CANTIDAD DE UNIDADES</t>
  </si>
  <si>
    <t>COSTOPOR UNIDAD</t>
  </si>
  <si>
    <t>COSTO TOTAL</t>
  </si>
  <si>
    <t>HERIDO</t>
  </si>
  <si>
    <t>DESCONOCIDA</t>
  </si>
  <si>
    <t>FERTILIZACION</t>
  </si>
  <si>
    <t>APLICACION DE FUNGICIDA</t>
  </si>
  <si>
    <t>CARBON</t>
  </si>
  <si>
    <t>BANCO</t>
  </si>
  <si>
    <t>DESCUENTOS</t>
  </si>
  <si>
    <t xml:space="preserve">Marta Rosmery Hernandez Perez </t>
  </si>
  <si>
    <t>TOTAL</t>
  </si>
  <si>
    <t>NUMERO DE CUENTA BANCARIA</t>
  </si>
  <si>
    <t>TOTAL A PAGAR</t>
  </si>
  <si>
    <t>BANRURAL</t>
  </si>
  <si>
    <t xml:space="preserve">DIA </t>
  </si>
  <si>
    <t>HA</t>
  </si>
  <si>
    <t>HACIENDA</t>
  </si>
  <si>
    <t xml:space="preserve">CORONA </t>
  </si>
  <si>
    <t>CORONA</t>
  </si>
  <si>
    <t xml:space="preserve">AGUACATERA </t>
  </si>
  <si>
    <t xml:space="preserve">SEPTIMOS </t>
  </si>
  <si>
    <t>GALERA</t>
  </si>
  <si>
    <t xml:space="preserve">Iris Maricela Hernandez Martinez </t>
  </si>
  <si>
    <t xml:space="preserve">Monica Nayarit Garcia Monterroso </t>
  </si>
  <si>
    <t>SP</t>
  </si>
  <si>
    <t>SEPTIMO</t>
  </si>
  <si>
    <t xml:space="preserve">AHOYADO </t>
  </si>
  <si>
    <t>AH</t>
  </si>
  <si>
    <t xml:space="preserve">TAREA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</si>
</sst>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Q&quot;* #,##0.00_-;\-&quot;Q&quot;* #,##0.00_-;_-&quot;Q&quot;* &quot;-&quot;??_-;_-@_-"/>
    <numFmt numFmtId="43" formatCode="_-* #,##0.00_-;\-* #,##0.00_-;_-* &quot;-&quot;??_-;_-@_-"/>
    <numFmt numFmtId="164" formatCode="[$-F800]dddd\,\ mmmm\ dd\,\ yyyy"/>
  </numFmts>
  <fonts count="1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2"/>
      <color rgb="FF0070C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74">
    <xf numFmtId="0" fontId="0" fillId="0" borderId="0" xfId="0"/>
    <xf numFmtId="0" fontId="8" fillId="0" borderId="0" xfId="0" applyFont="1"/>
    <xf numFmtId="164" fontId="10" fillId="0" borderId="11" xfId="0" applyNumberFormat="1" applyFont="1" applyBorder="1"/>
    <xf numFmtId="164" fontId="10" fillId="0" borderId="0" xfId="0" applyNumberFormat="1" applyFont="1"/>
    <xf numFmtId="0" fontId="10" fillId="0" borderId="15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10" fillId="0" borderId="12" xfId="0" applyFont="1" applyBorder="1"/>
    <xf numFmtId="0" fontId="10" fillId="0" borderId="0" xfId="0" applyFont="1"/>
    <xf numFmtId="0" fontId="8" fillId="0" borderId="8" xfId="0" applyFont="1" applyBorder="1"/>
    <xf numFmtId="0" fontId="8" fillId="2" borderId="1" xfId="0" applyFont="1" applyFill="1" applyBorder="1"/>
    <xf numFmtId="0" fontId="8" fillId="0" borderId="13" xfId="0" applyFont="1" applyBorder="1"/>
    <xf numFmtId="0" fontId="8" fillId="0" borderId="9" xfId="0" applyFont="1" applyBorder="1"/>
    <xf numFmtId="0" fontId="8" fillId="0" borderId="3" xfId="0" applyFont="1" applyBorder="1"/>
    <xf numFmtId="0" fontId="8" fillId="0" borderId="2" xfId="0" applyFont="1" applyBorder="1"/>
    <xf numFmtId="0" fontId="8" fillId="0" borderId="14" xfId="0" applyFont="1" applyBorder="1"/>
    <xf numFmtId="0" fontId="8" fillId="0" borderId="1" xfId="0" applyFont="1" applyBorder="1"/>
    <xf numFmtId="0" fontId="8" fillId="3" borderId="1" xfId="0" applyFont="1" applyFill="1" applyBorder="1"/>
    <xf numFmtId="0" fontId="10" fillId="0" borderId="19" xfId="0" applyFont="1" applyBorder="1"/>
    <xf numFmtId="0" fontId="10" fillId="0" borderId="20" xfId="0" applyFont="1" applyBorder="1"/>
    <xf numFmtId="0" fontId="10" fillId="0" borderId="21" xfId="0" applyFont="1" applyBorder="1"/>
    <xf numFmtId="0" fontId="0" fillId="0" borderId="1" xfId="0" applyBorder="1"/>
    <xf numFmtId="0" fontId="7" fillId="0" borderId="1" xfId="0" applyFont="1" applyBorder="1"/>
    <xf numFmtId="0" fontId="6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4" fontId="0" fillId="0" borderId="0" xfId="0" applyNumberFormat="1"/>
    <xf numFmtId="0" fontId="8" fillId="2" borderId="0" xfId="0" applyFont="1" applyFill="1"/>
    <xf numFmtId="0" fontId="8" fillId="3" borderId="0" xfId="0" applyFont="1" applyFill="1"/>
    <xf numFmtId="0" fontId="7" fillId="0" borderId="0" xfId="0" applyFont="1"/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44" fontId="0" fillId="0" borderId="0" xfId="0" applyNumberFormat="1"/>
    <xf numFmtId="44" fontId="10" fillId="0" borderId="0" xfId="0" applyNumberFormat="1" applyFont="1" applyAlignment="1">
      <alignment horizontal="center" vertical="center" wrapText="1"/>
    </xf>
    <xf numFmtId="44" fontId="10" fillId="0" borderId="0" xfId="0" applyNumberFormat="1" applyFont="1" applyAlignment="1">
      <alignment horizontal="center" vertical="center"/>
    </xf>
    <xf numFmtId="44" fontId="8" fillId="0" borderId="0" xfId="0" applyNumberFormat="1" applyFont="1"/>
    <xf numFmtId="43" fontId="0" fillId="0" borderId="1" xfId="1" applyFont="1" applyBorder="1"/>
    <xf numFmtId="0" fontId="6" fillId="2" borderId="0" xfId="0" applyFont="1" applyFill="1"/>
    <xf numFmtId="44" fontId="0" fillId="4" borderId="0" xfId="0" applyNumberFormat="1" applyFill="1"/>
    <xf numFmtId="44" fontId="12" fillId="0" borderId="0" xfId="0" applyNumberFormat="1" applyFont="1"/>
    <xf numFmtId="0" fontId="12" fillId="0" borderId="0" xfId="0" applyFont="1"/>
    <xf numFmtId="0" fontId="13" fillId="0" borderId="1" xfId="0" applyFont="1" applyBorder="1"/>
    <xf numFmtId="0" fontId="14" fillId="0" borderId="1" xfId="0" applyFont="1" applyBorder="1"/>
    <xf numFmtId="43" fontId="14" fillId="0" borderId="1" xfId="1" applyFont="1" applyBorder="1"/>
    <xf numFmtId="0" fontId="5" fillId="0" borderId="0" xfId="0" applyFont="1"/>
    <xf numFmtId="0" fontId="12" fillId="0" borderId="0" xfId="0" applyFont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2" borderId="0" xfId="0" applyFont="1" applyFill="1"/>
    <xf numFmtId="0" fontId="3" fillId="0" borderId="0" xfId="0" applyFont="1"/>
    <xf numFmtId="0" fontId="3" fillId="2" borderId="0" xfId="0" applyFont="1" applyFill="1"/>
    <xf numFmtId="14" fontId="0" fillId="6" borderId="0" xfId="0" applyNumberFormat="1" applyFill="1"/>
    <xf numFmtId="0" fontId="2" fillId="0" borderId="0" xfId="0" applyFont="1"/>
    <xf numFmtId="14" fontId="0" fillId="7" borderId="0" xfId="0" applyNumberFormat="1" applyFill="1"/>
    <xf numFmtId="14" fontId="0" fillId="5" borderId="0" xfId="0" applyNumberFormat="1" applyFill="1"/>
    <xf numFmtId="14" fontId="0" fillId="8" borderId="0" xfId="0" applyNumberFormat="1" applyFill="1"/>
    <xf numFmtId="43" fontId="10" fillId="0" borderId="0" xfId="1" applyFont="1" applyAlignment="1">
      <alignment horizontal="center" vertical="center"/>
    </xf>
    <xf numFmtId="43" fontId="8" fillId="0" borderId="0" xfId="1" applyFont="1"/>
    <xf numFmtId="43" fontId="0" fillId="0" borderId="0" xfId="1" applyFont="1"/>
    <xf numFmtId="44" fontId="12" fillId="6" borderId="0" xfId="0" applyNumberFormat="1" applyFont="1" applyFill="1"/>
    <xf numFmtId="164" fontId="10" fillId="0" borderId="0" xfId="0" applyNumberFormat="1" applyFont="1" applyAlignment="1">
      <alignment horizontal="center"/>
    </xf>
    <xf numFmtId="164" fontId="10" fillId="0" borderId="16" xfId="0" applyNumberFormat="1" applyFont="1" applyBorder="1" applyAlignment="1">
      <alignment horizontal="center"/>
    </xf>
    <xf numFmtId="164" fontId="10" fillId="0" borderId="17" xfId="0" applyNumberFormat="1" applyFont="1" applyBorder="1" applyAlignment="1">
      <alignment horizontal="center"/>
    </xf>
    <xf numFmtId="164" fontId="10" fillId="0" borderId="18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472440</xdr:colOff>
      <xdr:row>0</xdr:row>
      <xdr:rowOff>152401</xdr:rowOff>
    </xdr:from>
    <xdr:to>
      <xdr:col>12</xdr:col>
      <xdr:colOff>457200</xdr:colOff>
      <xdr:row>18</xdr:row>
      <xdr:rowOff>63783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2577B6-10F2-4BB5-6537-4FCBA3308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152401"/>
          <a:ext cx="5958840" cy="34775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369FE-FDD4-EF41-BB3F-9B1E01E5736C}">
  <dimension ref="A1:W214"/>
  <sheetViews>
    <sheetView topLeftCell="A89" zoomScale="98" workbookViewId="0">
      <selection activeCell="H21" sqref="H21"/>
    </sheetView>
  </sheetViews>
  <sheetFormatPr baseColWidth="10" defaultRowHeight="14.4" x14ac:dyDescent="0.3"/>
  <cols>
    <col min="1" max="1" width="3.19921875" style="1" bestFit="1" customWidth="1"/>
    <col min="2" max="2" width="29.796875" style="1" customWidth="1"/>
    <col min="3" max="4" width="8.69921875" style="1" customWidth="1"/>
    <col min="5" max="5" width="13.796875" style="1" customWidth="1"/>
    <col min="6" max="7" width="8.69921875" style="1" customWidth="1"/>
    <col min="8" max="8" width="11.69921875" style="1" customWidth="1"/>
    <col min="9" max="10" width="8.69921875" style="1" customWidth="1"/>
    <col min="11" max="11" width="15" style="1" customWidth="1"/>
    <col min="12" max="74" width="11.19921875" style="1" customWidth="1"/>
    <col min="75" max="16384" width="11.19921875" style="1"/>
  </cols>
  <sheetData>
    <row r="1" spans="1:20" ht="15" thickBot="1" x14ac:dyDescent="0.35"/>
    <row r="2" spans="1:20" s="3" customFormat="1" ht="17.399999999999999" customHeight="1" x14ac:dyDescent="0.3">
      <c r="A2" s="71" t="s">
        <v>4</v>
      </c>
      <c r="B2" s="2" t="s">
        <v>5</v>
      </c>
      <c r="C2" s="67">
        <v>46125</v>
      </c>
      <c r="D2" s="68"/>
      <c r="E2" s="69"/>
      <c r="F2" s="67">
        <v>46126</v>
      </c>
      <c r="G2" s="68"/>
      <c r="H2" s="69"/>
      <c r="I2" s="67">
        <v>46127</v>
      </c>
      <c r="J2" s="68"/>
      <c r="K2" s="69"/>
      <c r="L2" s="67">
        <v>46128</v>
      </c>
      <c r="M2" s="68"/>
      <c r="N2" s="69"/>
      <c r="O2" s="67">
        <v>46129</v>
      </c>
      <c r="P2" s="68"/>
      <c r="Q2" s="69"/>
      <c r="R2" s="67">
        <v>46130</v>
      </c>
      <c r="S2" s="68"/>
      <c r="T2" s="69"/>
    </row>
    <row r="3" spans="1:20" s="9" customFormat="1" ht="15" thickBot="1" x14ac:dyDescent="0.35">
      <c r="A3" s="72"/>
      <c r="B3" s="4" t="s">
        <v>0</v>
      </c>
      <c r="C3" s="5" t="s">
        <v>1</v>
      </c>
      <c r="D3" s="6" t="s">
        <v>2</v>
      </c>
      <c r="E3" s="7" t="s">
        <v>3</v>
      </c>
      <c r="F3" s="8" t="s">
        <v>1</v>
      </c>
      <c r="G3" s="6" t="s">
        <v>2</v>
      </c>
      <c r="H3" s="6" t="s">
        <v>3</v>
      </c>
      <c r="I3" s="5" t="s">
        <v>1</v>
      </c>
      <c r="J3" s="6" t="s">
        <v>2</v>
      </c>
      <c r="K3" s="7" t="s">
        <v>3</v>
      </c>
      <c r="L3" s="5" t="s">
        <v>1</v>
      </c>
      <c r="M3" s="6" t="s">
        <v>2</v>
      </c>
      <c r="N3" s="7" t="s">
        <v>3</v>
      </c>
      <c r="O3" s="5" t="s">
        <v>1</v>
      </c>
      <c r="P3" s="6" t="s">
        <v>2</v>
      </c>
      <c r="Q3" s="7" t="s">
        <v>3</v>
      </c>
      <c r="R3" s="5" t="s">
        <v>1</v>
      </c>
      <c r="S3" s="6" t="s">
        <v>2</v>
      </c>
      <c r="T3" s="7" t="s">
        <v>3</v>
      </c>
    </row>
    <row r="4" spans="1:20" x14ac:dyDescent="0.3">
      <c r="A4" s="10">
        <v>1</v>
      </c>
      <c r="B4" s="11" t="s">
        <v>6</v>
      </c>
      <c r="C4" s="12" t="s">
        <v>49</v>
      </c>
      <c r="D4" s="13" t="s">
        <v>49</v>
      </c>
      <c r="E4" s="14">
        <v>1</v>
      </c>
      <c r="F4" s="12" t="s">
        <v>49</v>
      </c>
      <c r="G4" s="13" t="s">
        <v>49</v>
      </c>
      <c r="H4" s="14">
        <v>1</v>
      </c>
      <c r="I4" s="12" t="s">
        <v>49</v>
      </c>
      <c r="J4" s="13" t="s">
        <v>49</v>
      </c>
      <c r="K4" s="14">
        <v>1</v>
      </c>
      <c r="L4" s="12" t="s">
        <v>49</v>
      </c>
      <c r="M4" s="13" t="s">
        <v>49</v>
      </c>
      <c r="N4" s="14">
        <v>1</v>
      </c>
      <c r="O4" s="12" t="s">
        <v>49</v>
      </c>
      <c r="P4" s="13" t="s">
        <v>49</v>
      </c>
      <c r="Q4" s="14">
        <v>1</v>
      </c>
      <c r="R4" s="12" t="s">
        <v>49</v>
      </c>
      <c r="S4" s="13" t="s">
        <v>49</v>
      </c>
      <c r="T4" s="14">
        <v>1</v>
      </c>
    </row>
    <row r="5" spans="1:20" x14ac:dyDescent="0.3">
      <c r="A5" s="15">
        <v>2</v>
      </c>
      <c r="B5" s="11" t="s">
        <v>10</v>
      </c>
      <c r="C5" s="16" t="s">
        <v>49</v>
      </c>
      <c r="D5" s="17" t="s">
        <v>49</v>
      </c>
      <c r="E5" s="14">
        <v>1</v>
      </c>
      <c r="F5" s="16" t="s">
        <v>49</v>
      </c>
      <c r="G5" s="17" t="s">
        <v>49</v>
      </c>
      <c r="H5" s="14">
        <v>1</v>
      </c>
      <c r="I5" s="16" t="s">
        <v>49</v>
      </c>
      <c r="J5" s="17" t="s">
        <v>49</v>
      </c>
      <c r="K5" s="14">
        <v>1</v>
      </c>
      <c r="L5" s="16" t="s">
        <v>49</v>
      </c>
      <c r="M5" s="17" t="s">
        <v>49</v>
      </c>
      <c r="N5" s="14">
        <v>1</v>
      </c>
      <c r="O5" s="16" t="s">
        <v>49</v>
      </c>
      <c r="P5" s="17" t="s">
        <v>49</v>
      </c>
      <c r="Q5" s="14">
        <v>1</v>
      </c>
      <c r="R5" s="16" t="s">
        <v>49</v>
      </c>
      <c r="S5" s="17" t="s">
        <v>49</v>
      </c>
      <c r="T5" s="14">
        <v>1</v>
      </c>
    </row>
    <row r="6" spans="1:20" x14ac:dyDescent="0.3">
      <c r="A6" s="15">
        <v>3</v>
      </c>
      <c r="B6" s="11" t="s">
        <v>22</v>
      </c>
      <c r="C6" s="16" t="s">
        <v>51</v>
      </c>
      <c r="D6" s="17" t="s">
        <v>48</v>
      </c>
      <c r="E6" s="14">
        <v>1</v>
      </c>
      <c r="F6" s="17" t="s">
        <v>48</v>
      </c>
      <c r="G6" s="17" t="s">
        <v>48</v>
      </c>
      <c r="H6" s="14">
        <v>1</v>
      </c>
      <c r="I6" s="16" t="s">
        <v>51</v>
      </c>
      <c r="J6" s="17" t="s">
        <v>48</v>
      </c>
      <c r="K6" s="14">
        <v>1</v>
      </c>
      <c r="L6" s="16" t="s">
        <v>48</v>
      </c>
      <c r="M6" s="17" t="s">
        <v>48</v>
      </c>
      <c r="N6" s="14">
        <v>1</v>
      </c>
      <c r="O6" s="16" t="s">
        <v>48</v>
      </c>
      <c r="P6" s="17" t="s">
        <v>48</v>
      </c>
      <c r="Q6" s="14">
        <v>1</v>
      </c>
      <c r="R6" s="16" t="s">
        <v>48</v>
      </c>
      <c r="S6" s="17" t="s">
        <v>48</v>
      </c>
      <c r="T6" s="14">
        <v>1</v>
      </c>
    </row>
    <row r="7" spans="1:20" x14ac:dyDescent="0.3">
      <c r="A7" s="15">
        <v>4</v>
      </c>
      <c r="B7" s="11" t="s">
        <v>36</v>
      </c>
      <c r="C7" s="16" t="s">
        <v>51</v>
      </c>
      <c r="D7" s="17" t="s">
        <v>50</v>
      </c>
      <c r="E7" s="14">
        <v>1</v>
      </c>
      <c r="F7" s="16" t="s">
        <v>51</v>
      </c>
      <c r="G7" s="17" t="s">
        <v>50</v>
      </c>
      <c r="H7" s="14">
        <v>1</v>
      </c>
      <c r="I7" s="16" t="s">
        <v>51</v>
      </c>
      <c r="J7" s="17" t="s">
        <v>50</v>
      </c>
      <c r="K7" s="14">
        <v>1</v>
      </c>
      <c r="L7" s="16" t="s">
        <v>51</v>
      </c>
      <c r="M7" s="17" t="s">
        <v>50</v>
      </c>
      <c r="N7" s="14">
        <v>1</v>
      </c>
      <c r="O7" s="16" t="s">
        <v>51</v>
      </c>
      <c r="P7" s="17" t="s">
        <v>50</v>
      </c>
      <c r="Q7" s="14">
        <v>1</v>
      </c>
      <c r="R7" s="16" t="s">
        <v>51</v>
      </c>
      <c r="S7" s="17" t="s">
        <v>50</v>
      </c>
      <c r="T7" s="14">
        <v>1</v>
      </c>
    </row>
    <row r="8" spans="1:20" x14ac:dyDescent="0.3">
      <c r="A8" s="15">
        <v>5</v>
      </c>
      <c r="B8" s="11" t="s">
        <v>38</v>
      </c>
      <c r="C8" s="16" t="s">
        <v>50</v>
      </c>
      <c r="D8" s="17" t="s">
        <v>50</v>
      </c>
      <c r="E8" s="14">
        <v>1</v>
      </c>
      <c r="F8" s="16" t="s">
        <v>51</v>
      </c>
      <c r="G8" s="17" t="s">
        <v>50</v>
      </c>
      <c r="H8" s="14">
        <v>1</v>
      </c>
      <c r="I8" s="16" t="s">
        <v>50</v>
      </c>
      <c r="J8" s="17" t="s">
        <v>50</v>
      </c>
      <c r="K8" s="14">
        <v>1</v>
      </c>
      <c r="L8" s="16" t="s">
        <v>51</v>
      </c>
      <c r="M8" s="17" t="s">
        <v>50</v>
      </c>
      <c r="N8" s="14">
        <v>1</v>
      </c>
      <c r="O8" s="16" t="s">
        <v>50</v>
      </c>
      <c r="P8" s="17" t="s">
        <v>50</v>
      </c>
      <c r="Q8" s="14">
        <v>1</v>
      </c>
      <c r="R8" s="16" t="s">
        <v>50</v>
      </c>
      <c r="S8" s="17" t="s">
        <v>50</v>
      </c>
      <c r="T8" s="14">
        <v>1</v>
      </c>
    </row>
    <row r="9" spans="1:20" x14ac:dyDescent="0.3">
      <c r="A9" s="15">
        <v>6</v>
      </c>
      <c r="B9" s="18" t="s">
        <v>11</v>
      </c>
      <c r="C9" s="16" t="s">
        <v>46</v>
      </c>
      <c r="D9" s="17" t="s">
        <v>59</v>
      </c>
      <c r="E9" s="14">
        <v>1</v>
      </c>
      <c r="F9" s="16" t="s">
        <v>47</v>
      </c>
      <c r="G9" s="17" t="s">
        <v>45</v>
      </c>
      <c r="H9" s="14">
        <v>1</v>
      </c>
      <c r="I9" s="15" t="s">
        <v>52</v>
      </c>
      <c r="J9" s="17" t="s">
        <v>45</v>
      </c>
      <c r="K9" s="14">
        <v>1</v>
      </c>
      <c r="L9" s="15" t="s">
        <v>56</v>
      </c>
      <c r="M9" s="17" t="s">
        <v>45</v>
      </c>
      <c r="N9" s="14">
        <v>1</v>
      </c>
      <c r="O9" s="15" t="s">
        <v>56</v>
      </c>
      <c r="P9" s="17" t="s">
        <v>45</v>
      </c>
      <c r="Q9" s="14">
        <v>1</v>
      </c>
      <c r="R9" s="15" t="s">
        <v>46</v>
      </c>
      <c r="S9" s="17" t="s">
        <v>59</v>
      </c>
      <c r="T9" s="14">
        <v>1</v>
      </c>
    </row>
    <row r="10" spans="1:20" x14ac:dyDescent="0.3">
      <c r="A10" s="15">
        <v>7</v>
      </c>
      <c r="B10" s="11" t="s">
        <v>12</v>
      </c>
      <c r="C10" s="16" t="s">
        <v>46</v>
      </c>
      <c r="D10" s="17" t="s">
        <v>59</v>
      </c>
      <c r="E10" s="14">
        <v>1</v>
      </c>
      <c r="F10" s="16" t="s">
        <v>52</v>
      </c>
      <c r="G10" s="17" t="s">
        <v>45</v>
      </c>
      <c r="H10" s="14">
        <v>1</v>
      </c>
      <c r="I10" s="15" t="s">
        <v>52</v>
      </c>
      <c r="J10" s="17" t="s">
        <v>45</v>
      </c>
      <c r="K10" s="14">
        <v>1</v>
      </c>
      <c r="L10" s="15" t="s">
        <v>57</v>
      </c>
      <c r="M10" s="17" t="s">
        <v>59</v>
      </c>
      <c r="N10" s="14">
        <v>1</v>
      </c>
      <c r="O10" s="15" t="s">
        <v>57</v>
      </c>
      <c r="P10" s="17" t="s">
        <v>45</v>
      </c>
      <c r="Q10" s="14">
        <v>1</v>
      </c>
      <c r="R10" s="15" t="s">
        <v>46</v>
      </c>
      <c r="S10" s="17" t="s">
        <v>59</v>
      </c>
      <c r="T10" s="14">
        <v>1</v>
      </c>
    </row>
    <row r="11" spans="1:20" x14ac:dyDescent="0.3">
      <c r="A11" s="15">
        <v>8</v>
      </c>
      <c r="B11" s="18" t="s">
        <v>13</v>
      </c>
      <c r="C11" s="16" t="s">
        <v>46</v>
      </c>
      <c r="D11" s="17" t="s">
        <v>59</v>
      </c>
      <c r="E11" s="14">
        <v>1</v>
      </c>
      <c r="F11" s="16" t="s">
        <v>52</v>
      </c>
      <c r="G11" s="17" t="s">
        <v>45</v>
      </c>
      <c r="H11" s="14">
        <v>1</v>
      </c>
      <c r="I11" s="15" t="s">
        <v>52</v>
      </c>
      <c r="J11" s="17" t="s">
        <v>45</v>
      </c>
      <c r="K11" s="14">
        <v>1</v>
      </c>
      <c r="L11" s="15" t="s">
        <v>57</v>
      </c>
      <c r="M11" s="17" t="s">
        <v>59</v>
      </c>
      <c r="N11" s="14">
        <v>1</v>
      </c>
      <c r="O11" s="15" t="s">
        <v>57</v>
      </c>
      <c r="P11" s="17" t="s">
        <v>45</v>
      </c>
      <c r="Q11" s="14">
        <v>1</v>
      </c>
      <c r="R11" s="15" t="s">
        <v>46</v>
      </c>
      <c r="S11" s="17" t="s">
        <v>59</v>
      </c>
      <c r="T11" s="14">
        <v>1</v>
      </c>
    </row>
    <row r="12" spans="1:20" x14ac:dyDescent="0.3">
      <c r="A12" s="15">
        <v>9</v>
      </c>
      <c r="B12" s="11" t="s">
        <v>14</v>
      </c>
      <c r="C12" s="16" t="s">
        <v>58</v>
      </c>
      <c r="D12" s="17" t="s">
        <v>79</v>
      </c>
      <c r="E12" s="14">
        <v>1</v>
      </c>
      <c r="F12" s="16" t="s">
        <v>58</v>
      </c>
      <c r="G12" s="17" t="s">
        <v>79</v>
      </c>
      <c r="H12" s="14">
        <v>1</v>
      </c>
      <c r="I12" s="16" t="s">
        <v>58</v>
      </c>
      <c r="J12" s="17" t="s">
        <v>79</v>
      </c>
      <c r="K12" s="14">
        <v>1</v>
      </c>
      <c r="L12" s="16" t="s">
        <v>58</v>
      </c>
      <c r="M12" s="17" t="s">
        <v>79</v>
      </c>
      <c r="N12" s="14">
        <v>1</v>
      </c>
      <c r="O12" s="15" t="s">
        <v>52</v>
      </c>
      <c r="P12" s="17" t="s">
        <v>79</v>
      </c>
      <c r="Q12" s="14">
        <v>0.5</v>
      </c>
      <c r="R12" s="15" t="s">
        <v>67</v>
      </c>
      <c r="S12" s="17" t="s">
        <v>79</v>
      </c>
      <c r="T12" s="14">
        <v>1.5</v>
      </c>
    </row>
    <row r="13" spans="1:20" x14ac:dyDescent="0.3">
      <c r="A13" s="15">
        <v>10</v>
      </c>
      <c r="B13" s="18" t="s">
        <v>15</v>
      </c>
      <c r="C13" s="16"/>
      <c r="D13" s="17"/>
      <c r="E13" s="14"/>
      <c r="F13" s="16"/>
      <c r="G13" s="17"/>
      <c r="H13" s="17"/>
      <c r="I13" s="15" t="s">
        <v>52</v>
      </c>
      <c r="J13" s="17" t="s">
        <v>45</v>
      </c>
      <c r="K13" s="14">
        <v>1</v>
      </c>
      <c r="L13" s="15" t="s">
        <v>58</v>
      </c>
      <c r="M13" s="17" t="s">
        <v>45</v>
      </c>
      <c r="N13" s="14">
        <v>1</v>
      </c>
      <c r="O13" s="15" t="s">
        <v>56</v>
      </c>
      <c r="P13" s="17" t="s">
        <v>45</v>
      </c>
      <c r="Q13" s="14">
        <v>1</v>
      </c>
      <c r="R13" s="15" t="s">
        <v>46</v>
      </c>
      <c r="S13" s="17" t="s">
        <v>59</v>
      </c>
      <c r="T13" s="14">
        <v>1</v>
      </c>
    </row>
    <row r="14" spans="1:20" x14ac:dyDescent="0.3">
      <c r="A14" s="15">
        <v>11</v>
      </c>
      <c r="B14" s="11" t="s">
        <v>16</v>
      </c>
      <c r="C14" s="16"/>
      <c r="D14" s="17"/>
      <c r="E14" s="14"/>
      <c r="F14" s="16"/>
      <c r="G14" s="17"/>
      <c r="H14" s="17"/>
      <c r="I14" s="15"/>
      <c r="J14" s="17"/>
      <c r="K14" s="14"/>
      <c r="L14" s="15"/>
      <c r="M14" s="17"/>
      <c r="N14" s="14"/>
      <c r="O14" s="15"/>
      <c r="P14" s="17"/>
      <c r="Q14" s="14"/>
      <c r="R14" s="15"/>
      <c r="S14" s="17"/>
      <c r="T14" s="14"/>
    </row>
    <row r="15" spans="1:20" x14ac:dyDescent="0.3">
      <c r="A15" s="15">
        <v>12</v>
      </c>
      <c r="B15" s="18" t="s">
        <v>17</v>
      </c>
      <c r="C15" s="16" t="s">
        <v>46</v>
      </c>
      <c r="D15" s="17" t="s">
        <v>59</v>
      </c>
      <c r="E15" s="14">
        <v>1</v>
      </c>
      <c r="F15" s="16" t="s">
        <v>52</v>
      </c>
      <c r="G15" s="17" t="s">
        <v>45</v>
      </c>
      <c r="H15" s="14">
        <v>1</v>
      </c>
      <c r="I15" s="15" t="s">
        <v>52</v>
      </c>
      <c r="J15" s="17" t="s">
        <v>45</v>
      </c>
      <c r="K15" s="14">
        <v>1</v>
      </c>
      <c r="L15" s="15" t="s">
        <v>57</v>
      </c>
      <c r="M15" s="17" t="s">
        <v>59</v>
      </c>
      <c r="N15" s="14">
        <v>1</v>
      </c>
      <c r="O15" s="15"/>
      <c r="P15" s="17"/>
      <c r="Q15" s="14"/>
      <c r="R15" s="15"/>
      <c r="S15" s="17"/>
      <c r="T15" s="14"/>
    </row>
    <row r="16" spans="1:20" x14ac:dyDescent="0.3">
      <c r="A16" s="15">
        <v>13</v>
      </c>
      <c r="B16" s="11" t="s">
        <v>18</v>
      </c>
      <c r="C16" s="16"/>
      <c r="D16" s="17"/>
      <c r="E16" s="14"/>
      <c r="F16" s="16"/>
      <c r="G16" s="17"/>
      <c r="H16" s="17"/>
      <c r="I16" s="15"/>
      <c r="J16" s="17"/>
      <c r="K16" s="14"/>
      <c r="L16" s="15"/>
      <c r="M16" s="17"/>
      <c r="N16" s="14"/>
      <c r="O16" s="15"/>
      <c r="P16" s="17"/>
      <c r="Q16" s="14"/>
      <c r="R16" s="15"/>
      <c r="S16" s="17"/>
      <c r="T16" s="14"/>
    </row>
    <row r="17" spans="1:20" x14ac:dyDescent="0.3">
      <c r="A17" s="15">
        <v>14</v>
      </c>
      <c r="B17" s="18" t="s">
        <v>19</v>
      </c>
      <c r="C17" s="16"/>
      <c r="D17" s="17"/>
      <c r="E17" s="14"/>
      <c r="I17" s="15"/>
      <c r="J17" s="17"/>
      <c r="K17" s="14"/>
      <c r="L17" s="15"/>
      <c r="M17" s="17"/>
      <c r="N17" s="14"/>
      <c r="O17" s="15"/>
      <c r="P17" s="17"/>
      <c r="Q17" s="14"/>
      <c r="R17" s="15"/>
      <c r="S17" s="17"/>
      <c r="T17" s="14"/>
    </row>
    <row r="18" spans="1:20" x14ac:dyDescent="0.3">
      <c r="A18" s="15">
        <v>15</v>
      </c>
      <c r="B18" s="11" t="s">
        <v>20</v>
      </c>
      <c r="C18" s="16" t="s">
        <v>48</v>
      </c>
      <c r="D18" s="17" t="s">
        <v>48</v>
      </c>
      <c r="E18" s="14">
        <v>1</v>
      </c>
      <c r="F18" s="16" t="s">
        <v>53</v>
      </c>
      <c r="G18" s="17" t="s">
        <v>53</v>
      </c>
      <c r="H18" s="14">
        <v>1</v>
      </c>
      <c r="I18" s="15" t="s">
        <v>53</v>
      </c>
      <c r="J18" s="17" t="s">
        <v>53</v>
      </c>
      <c r="K18" s="14">
        <v>1</v>
      </c>
      <c r="L18" s="15" t="s">
        <v>53</v>
      </c>
      <c r="M18" s="17" t="s">
        <v>53</v>
      </c>
      <c r="N18" s="14">
        <v>1</v>
      </c>
      <c r="O18" s="15" t="s">
        <v>53</v>
      </c>
      <c r="P18" s="17" t="s">
        <v>53</v>
      </c>
      <c r="Q18" s="14">
        <v>1</v>
      </c>
      <c r="R18" s="15" t="s">
        <v>53</v>
      </c>
      <c r="S18" s="17" t="s">
        <v>53</v>
      </c>
      <c r="T18" s="14">
        <v>1</v>
      </c>
    </row>
    <row r="19" spans="1:20" x14ac:dyDescent="0.3">
      <c r="A19" s="15">
        <v>16</v>
      </c>
      <c r="B19" s="18" t="s">
        <v>21</v>
      </c>
      <c r="C19" s="16" t="s">
        <v>58</v>
      </c>
      <c r="D19" s="23" t="s">
        <v>79</v>
      </c>
      <c r="E19" s="14">
        <v>1</v>
      </c>
      <c r="F19" s="16" t="s">
        <v>58</v>
      </c>
      <c r="G19" s="17" t="s">
        <v>79</v>
      </c>
      <c r="H19" s="14">
        <v>1</v>
      </c>
      <c r="I19" s="16" t="s">
        <v>58</v>
      </c>
      <c r="J19" s="17" t="s">
        <v>79</v>
      </c>
      <c r="K19" s="14">
        <v>1</v>
      </c>
      <c r="L19" s="16" t="s">
        <v>58</v>
      </c>
      <c r="M19" s="17" t="s">
        <v>79</v>
      </c>
      <c r="N19" s="14">
        <v>1</v>
      </c>
      <c r="O19" s="15" t="s">
        <v>52</v>
      </c>
      <c r="P19" s="17" t="s">
        <v>79</v>
      </c>
      <c r="Q19" s="14">
        <v>1</v>
      </c>
      <c r="R19" s="15" t="s">
        <v>67</v>
      </c>
      <c r="S19" s="17" t="s">
        <v>79</v>
      </c>
      <c r="T19" s="14">
        <v>1.5</v>
      </c>
    </row>
    <row r="20" spans="1:20" x14ac:dyDescent="0.3">
      <c r="A20" s="15">
        <v>17</v>
      </c>
      <c r="B20" s="11" t="s">
        <v>8</v>
      </c>
      <c r="C20" s="16"/>
      <c r="D20" s="17"/>
      <c r="E20" s="14"/>
      <c r="F20" s="16" t="s">
        <v>52</v>
      </c>
      <c r="G20" s="17" t="s">
        <v>45</v>
      </c>
      <c r="H20" s="14">
        <v>1</v>
      </c>
      <c r="I20" s="15" t="s">
        <v>52</v>
      </c>
      <c r="J20" s="17" t="s">
        <v>45</v>
      </c>
      <c r="K20" s="14">
        <v>1</v>
      </c>
      <c r="L20" s="15" t="s">
        <v>57</v>
      </c>
      <c r="M20" s="17" t="s">
        <v>59</v>
      </c>
      <c r="N20" s="14">
        <v>1</v>
      </c>
      <c r="O20" s="15" t="s">
        <v>46</v>
      </c>
      <c r="P20" s="17" t="s">
        <v>45</v>
      </c>
      <c r="Q20" s="14">
        <v>1</v>
      </c>
      <c r="R20" s="15"/>
      <c r="S20" s="17"/>
      <c r="T20" s="14"/>
    </row>
    <row r="21" spans="1:20" x14ac:dyDescent="0.3">
      <c r="A21" s="15">
        <v>18</v>
      </c>
      <c r="B21" s="18" t="s">
        <v>23</v>
      </c>
      <c r="C21" s="16"/>
      <c r="D21" s="17"/>
      <c r="E21" s="14"/>
      <c r="F21" s="16" t="s">
        <v>52</v>
      </c>
      <c r="G21" s="17" t="s">
        <v>45</v>
      </c>
      <c r="H21" s="14">
        <v>1</v>
      </c>
      <c r="I21" s="15" t="s">
        <v>52</v>
      </c>
      <c r="J21" s="17" t="s">
        <v>45</v>
      </c>
      <c r="K21" s="14">
        <v>1</v>
      </c>
      <c r="L21" s="15" t="s">
        <v>57</v>
      </c>
      <c r="M21" s="17" t="s">
        <v>59</v>
      </c>
      <c r="N21" s="14">
        <v>1</v>
      </c>
      <c r="O21" s="15" t="s">
        <v>46</v>
      </c>
      <c r="P21" s="17" t="s">
        <v>45</v>
      </c>
      <c r="Q21" s="14">
        <v>1</v>
      </c>
      <c r="R21" s="15" t="s">
        <v>46</v>
      </c>
      <c r="S21" s="17" t="s">
        <v>59</v>
      </c>
      <c r="T21" s="14">
        <v>1</v>
      </c>
    </row>
    <row r="22" spans="1:20" x14ac:dyDescent="0.3">
      <c r="A22" s="15">
        <v>19</v>
      </c>
      <c r="B22" s="11" t="s">
        <v>92</v>
      </c>
      <c r="C22" s="16" t="s">
        <v>46</v>
      </c>
      <c r="D22" s="17" t="s">
        <v>59</v>
      </c>
      <c r="E22" s="14">
        <v>1</v>
      </c>
      <c r="F22" s="16" t="s">
        <v>52</v>
      </c>
      <c r="G22" s="17" t="s">
        <v>45</v>
      </c>
      <c r="H22" s="14">
        <v>1</v>
      </c>
      <c r="I22" s="15"/>
      <c r="J22" s="17"/>
      <c r="K22" s="14"/>
      <c r="L22" s="15"/>
      <c r="M22" s="17"/>
      <c r="N22" s="14"/>
      <c r="O22" s="15"/>
      <c r="P22" s="17"/>
      <c r="Q22" s="14"/>
      <c r="R22" s="15" t="s">
        <v>46</v>
      </c>
      <c r="S22" s="17" t="s">
        <v>59</v>
      </c>
      <c r="T22" s="14">
        <v>1</v>
      </c>
    </row>
    <row r="23" spans="1:20" x14ac:dyDescent="0.3">
      <c r="A23" s="15">
        <v>20</v>
      </c>
      <c r="B23" s="18" t="s">
        <v>25</v>
      </c>
      <c r="C23" s="16"/>
      <c r="D23" s="17"/>
      <c r="E23" s="14"/>
      <c r="F23" s="16" t="s">
        <v>52</v>
      </c>
      <c r="G23" s="17" t="s">
        <v>45</v>
      </c>
      <c r="H23" s="14">
        <v>1</v>
      </c>
      <c r="I23" s="15" t="s">
        <v>52</v>
      </c>
      <c r="J23" s="17" t="s">
        <v>45</v>
      </c>
      <c r="K23" s="14">
        <v>1</v>
      </c>
      <c r="L23" s="15" t="s">
        <v>57</v>
      </c>
      <c r="M23" s="17" t="s">
        <v>59</v>
      </c>
      <c r="N23" s="14">
        <v>1</v>
      </c>
      <c r="O23" s="15" t="s">
        <v>46</v>
      </c>
      <c r="P23" s="17" t="s">
        <v>45</v>
      </c>
      <c r="Q23" s="14">
        <v>1</v>
      </c>
      <c r="R23" s="15" t="s">
        <v>46</v>
      </c>
      <c r="S23" s="17" t="s">
        <v>59</v>
      </c>
      <c r="T23" s="14">
        <v>1</v>
      </c>
    </row>
    <row r="24" spans="1:20" x14ac:dyDescent="0.3">
      <c r="A24" s="15">
        <v>21</v>
      </c>
      <c r="B24" s="11" t="s">
        <v>26</v>
      </c>
      <c r="C24" s="16" t="s">
        <v>46</v>
      </c>
      <c r="D24" s="17" t="s">
        <v>59</v>
      </c>
      <c r="E24" s="14">
        <v>1</v>
      </c>
      <c r="F24" s="16"/>
      <c r="G24" s="17"/>
      <c r="H24" s="17"/>
      <c r="I24" s="15" t="s">
        <v>52</v>
      </c>
      <c r="J24" s="17" t="s">
        <v>45</v>
      </c>
      <c r="K24" s="14">
        <v>1</v>
      </c>
      <c r="L24" s="15" t="s">
        <v>56</v>
      </c>
      <c r="M24" s="17" t="s">
        <v>45</v>
      </c>
      <c r="N24" s="14">
        <v>1</v>
      </c>
      <c r="O24" s="15" t="s">
        <v>56</v>
      </c>
      <c r="P24" s="17" t="s">
        <v>45</v>
      </c>
      <c r="Q24" s="14">
        <v>1</v>
      </c>
      <c r="R24" s="15" t="s">
        <v>46</v>
      </c>
      <c r="S24" s="17" t="s">
        <v>59</v>
      </c>
      <c r="T24" s="14">
        <v>1</v>
      </c>
    </row>
    <row r="25" spans="1:20" x14ac:dyDescent="0.3">
      <c r="A25" s="15">
        <v>22</v>
      </c>
      <c r="B25" s="18" t="s">
        <v>27</v>
      </c>
      <c r="C25" s="16" t="s">
        <v>46</v>
      </c>
      <c r="D25" s="17" t="s">
        <v>59</v>
      </c>
      <c r="E25" s="14">
        <v>1</v>
      </c>
      <c r="F25" s="16" t="s">
        <v>54</v>
      </c>
      <c r="G25" s="17" t="s">
        <v>45</v>
      </c>
      <c r="H25" s="14">
        <v>1</v>
      </c>
      <c r="I25" s="15" t="s">
        <v>54</v>
      </c>
      <c r="J25" s="17" t="s">
        <v>45</v>
      </c>
      <c r="K25" s="14">
        <v>1</v>
      </c>
      <c r="L25" s="15" t="s">
        <v>56</v>
      </c>
      <c r="M25" s="17" t="s">
        <v>45</v>
      </c>
      <c r="N25" s="14">
        <v>1</v>
      </c>
      <c r="O25" s="15" t="s">
        <v>56</v>
      </c>
      <c r="P25" s="17" t="s">
        <v>45</v>
      </c>
      <c r="Q25" s="14">
        <v>1</v>
      </c>
      <c r="R25" s="15" t="s">
        <v>46</v>
      </c>
      <c r="S25" s="17" t="s">
        <v>59</v>
      </c>
      <c r="T25" s="14">
        <v>1</v>
      </c>
    </row>
    <row r="26" spans="1:20" x14ac:dyDescent="0.3">
      <c r="A26" s="15">
        <v>23</v>
      </c>
      <c r="B26" s="11" t="s">
        <v>28</v>
      </c>
      <c r="C26" s="16" t="s">
        <v>46</v>
      </c>
      <c r="D26" s="17" t="s">
        <v>59</v>
      </c>
      <c r="E26" s="14">
        <v>1</v>
      </c>
      <c r="F26" s="16" t="s">
        <v>54</v>
      </c>
      <c r="G26" s="17" t="s">
        <v>45</v>
      </c>
      <c r="H26" s="14">
        <v>1</v>
      </c>
      <c r="I26" s="15" t="s">
        <v>52</v>
      </c>
      <c r="J26" s="17" t="s">
        <v>45</v>
      </c>
      <c r="K26" s="14">
        <v>1</v>
      </c>
      <c r="L26" s="15" t="s">
        <v>56</v>
      </c>
      <c r="M26" s="17" t="s">
        <v>45</v>
      </c>
      <c r="N26" s="14">
        <v>1</v>
      </c>
      <c r="O26" s="15" t="s">
        <v>56</v>
      </c>
      <c r="P26" s="17" t="s">
        <v>45</v>
      </c>
      <c r="Q26" s="14">
        <v>1</v>
      </c>
      <c r="R26" s="15" t="s">
        <v>46</v>
      </c>
      <c r="S26" s="17" t="s">
        <v>59</v>
      </c>
      <c r="T26" s="14">
        <v>1</v>
      </c>
    </row>
    <row r="27" spans="1:20" x14ac:dyDescent="0.3">
      <c r="A27" s="15">
        <v>24</v>
      </c>
      <c r="B27" s="18" t="s">
        <v>29</v>
      </c>
      <c r="C27" s="16" t="s">
        <v>46</v>
      </c>
      <c r="D27" s="17" t="s">
        <v>59</v>
      </c>
      <c r="E27" s="14">
        <v>1</v>
      </c>
      <c r="F27" s="16"/>
      <c r="G27" s="17"/>
      <c r="H27" s="17"/>
      <c r="I27" s="15" t="s">
        <v>52</v>
      </c>
      <c r="J27" s="17" t="s">
        <v>45</v>
      </c>
      <c r="K27" s="14">
        <v>1</v>
      </c>
      <c r="L27" s="15" t="s">
        <v>57</v>
      </c>
      <c r="M27" s="17" t="s">
        <v>59</v>
      </c>
      <c r="N27" s="14">
        <v>1</v>
      </c>
      <c r="O27" s="15" t="s">
        <v>57</v>
      </c>
      <c r="P27" s="17" t="s">
        <v>59</v>
      </c>
      <c r="Q27" s="14">
        <v>1</v>
      </c>
      <c r="R27" s="15" t="s">
        <v>46</v>
      </c>
      <c r="S27" s="17" t="s">
        <v>59</v>
      </c>
      <c r="T27" s="14">
        <v>1</v>
      </c>
    </row>
    <row r="28" spans="1:20" x14ac:dyDescent="0.3">
      <c r="A28" s="15">
        <v>25</v>
      </c>
      <c r="B28" s="11" t="s">
        <v>30</v>
      </c>
      <c r="C28" s="16" t="s">
        <v>46</v>
      </c>
      <c r="D28" s="17" t="s">
        <v>59</v>
      </c>
      <c r="E28" s="14">
        <v>1</v>
      </c>
      <c r="F28" s="16" t="s">
        <v>55</v>
      </c>
      <c r="G28" s="17" t="s">
        <v>45</v>
      </c>
      <c r="H28" s="14">
        <v>1</v>
      </c>
      <c r="I28" s="15"/>
      <c r="J28" s="17"/>
      <c r="K28" s="14"/>
      <c r="L28" s="15"/>
      <c r="M28" s="17"/>
      <c r="N28" s="14"/>
      <c r="O28" s="15"/>
      <c r="P28" s="17"/>
      <c r="Q28" s="14"/>
      <c r="R28" s="15" t="s">
        <v>46</v>
      </c>
      <c r="S28" s="17" t="s">
        <v>59</v>
      </c>
      <c r="T28" s="14">
        <v>1</v>
      </c>
    </row>
    <row r="29" spans="1:20" x14ac:dyDescent="0.3">
      <c r="A29" s="15">
        <v>26</v>
      </c>
      <c r="B29" s="18" t="s">
        <v>31</v>
      </c>
      <c r="C29" s="16" t="s">
        <v>46</v>
      </c>
      <c r="D29" s="17" t="s">
        <v>59</v>
      </c>
      <c r="E29" s="14">
        <v>1</v>
      </c>
      <c r="F29" s="16" t="s">
        <v>55</v>
      </c>
      <c r="G29" s="17" t="s">
        <v>45</v>
      </c>
      <c r="H29" s="14">
        <v>1</v>
      </c>
      <c r="I29" s="15" t="s">
        <v>52</v>
      </c>
      <c r="J29" s="17" t="s">
        <v>45</v>
      </c>
      <c r="K29" s="14">
        <v>1</v>
      </c>
      <c r="L29" s="15" t="s">
        <v>57</v>
      </c>
      <c r="M29" s="17" t="s">
        <v>59</v>
      </c>
      <c r="N29" s="14">
        <v>1</v>
      </c>
      <c r="O29" s="15" t="s">
        <v>57</v>
      </c>
      <c r="P29" s="17" t="s">
        <v>59</v>
      </c>
      <c r="Q29" s="14">
        <v>1</v>
      </c>
      <c r="R29" s="15" t="s">
        <v>46</v>
      </c>
      <c r="S29" s="17" t="s">
        <v>59</v>
      </c>
      <c r="T29" s="14">
        <v>1</v>
      </c>
    </row>
    <row r="30" spans="1:20" x14ac:dyDescent="0.3">
      <c r="A30" s="15">
        <v>27</v>
      </c>
      <c r="B30" s="11" t="s">
        <v>32</v>
      </c>
      <c r="C30" s="16" t="s">
        <v>46</v>
      </c>
      <c r="D30" s="17" t="s">
        <v>59</v>
      </c>
      <c r="E30" s="14">
        <v>1</v>
      </c>
      <c r="F30" s="16" t="s">
        <v>55</v>
      </c>
      <c r="G30" s="17" t="s">
        <v>45</v>
      </c>
      <c r="H30" s="14">
        <v>1</v>
      </c>
      <c r="I30" s="15" t="s">
        <v>52</v>
      </c>
      <c r="J30" s="17" t="s">
        <v>45</v>
      </c>
      <c r="K30" s="14">
        <v>1</v>
      </c>
      <c r="L30" s="15" t="s">
        <v>57</v>
      </c>
      <c r="M30" s="17" t="s">
        <v>59</v>
      </c>
      <c r="N30" s="14">
        <v>1</v>
      </c>
      <c r="O30" s="15"/>
      <c r="P30" s="17"/>
      <c r="Q30" s="14"/>
      <c r="R30" s="15"/>
      <c r="S30" s="17"/>
      <c r="T30" s="14"/>
    </row>
    <row r="31" spans="1:20" x14ac:dyDescent="0.3">
      <c r="A31" s="15">
        <v>28</v>
      </c>
      <c r="B31" s="18" t="s">
        <v>33</v>
      </c>
      <c r="C31" s="16" t="s">
        <v>46</v>
      </c>
      <c r="D31" s="17" t="s">
        <v>59</v>
      </c>
      <c r="E31" s="14">
        <v>1</v>
      </c>
      <c r="F31" s="16" t="s">
        <v>55</v>
      </c>
      <c r="G31" s="17" t="s">
        <v>45</v>
      </c>
      <c r="H31" s="14">
        <v>1</v>
      </c>
      <c r="I31" s="15" t="s">
        <v>52</v>
      </c>
      <c r="J31" s="17" t="s">
        <v>45</v>
      </c>
      <c r="K31" s="14">
        <v>1</v>
      </c>
      <c r="L31" s="15" t="s">
        <v>57</v>
      </c>
      <c r="M31" s="17" t="s">
        <v>59</v>
      </c>
      <c r="N31" s="14">
        <v>1</v>
      </c>
      <c r="O31" s="15" t="s">
        <v>57</v>
      </c>
      <c r="P31" s="17" t="s">
        <v>59</v>
      </c>
      <c r="Q31" s="14">
        <v>1</v>
      </c>
      <c r="R31" s="15" t="s">
        <v>46</v>
      </c>
      <c r="S31" s="17" t="s">
        <v>59</v>
      </c>
      <c r="T31" s="14">
        <v>1</v>
      </c>
    </row>
    <row r="32" spans="1:20" x14ac:dyDescent="0.3">
      <c r="A32" s="15">
        <v>29</v>
      </c>
      <c r="B32" s="11" t="s">
        <v>34</v>
      </c>
      <c r="C32" s="16" t="s">
        <v>46</v>
      </c>
      <c r="D32" s="17" t="s">
        <v>59</v>
      </c>
      <c r="E32" s="14">
        <v>1</v>
      </c>
      <c r="F32" s="16" t="s">
        <v>54</v>
      </c>
      <c r="G32" s="17" t="s">
        <v>45</v>
      </c>
      <c r="H32" s="14">
        <v>1</v>
      </c>
      <c r="I32" s="15" t="s">
        <v>52</v>
      </c>
      <c r="J32" s="17" t="s">
        <v>45</v>
      </c>
      <c r="K32" s="14">
        <v>1</v>
      </c>
      <c r="L32" s="15" t="s">
        <v>56</v>
      </c>
      <c r="M32" s="17" t="s">
        <v>45</v>
      </c>
      <c r="N32" s="14">
        <v>1</v>
      </c>
      <c r="O32" s="15" t="s">
        <v>56</v>
      </c>
      <c r="P32" s="17" t="s">
        <v>45</v>
      </c>
      <c r="Q32" s="14">
        <v>1</v>
      </c>
      <c r="R32" s="15" t="s">
        <v>46</v>
      </c>
      <c r="S32" s="17" t="s">
        <v>59</v>
      </c>
      <c r="T32" s="14">
        <v>1</v>
      </c>
    </row>
    <row r="33" spans="1:23" x14ac:dyDescent="0.3">
      <c r="A33" s="15">
        <v>30</v>
      </c>
      <c r="B33" s="18" t="s">
        <v>35</v>
      </c>
      <c r="C33" s="16" t="s">
        <v>46</v>
      </c>
      <c r="D33" s="17" t="s">
        <v>59</v>
      </c>
      <c r="E33" s="14">
        <v>1</v>
      </c>
      <c r="F33" s="16" t="s">
        <v>55</v>
      </c>
      <c r="G33" s="17" t="s">
        <v>45</v>
      </c>
      <c r="H33" s="14">
        <v>1</v>
      </c>
      <c r="I33" s="15" t="s">
        <v>52</v>
      </c>
      <c r="J33" s="17" t="s">
        <v>59</v>
      </c>
      <c r="K33" s="14">
        <v>1</v>
      </c>
      <c r="L33" s="15" t="s">
        <v>57</v>
      </c>
      <c r="M33" s="17" t="s">
        <v>59</v>
      </c>
      <c r="N33" s="14">
        <v>1</v>
      </c>
      <c r="O33" s="15" t="s">
        <v>57</v>
      </c>
      <c r="P33" s="17" t="s">
        <v>59</v>
      </c>
      <c r="Q33" s="14">
        <v>1</v>
      </c>
      <c r="R33" s="15" t="s">
        <v>46</v>
      </c>
      <c r="S33" s="17" t="s">
        <v>59</v>
      </c>
      <c r="T33" s="14">
        <v>1</v>
      </c>
    </row>
    <row r="34" spans="1:23" x14ac:dyDescent="0.3">
      <c r="A34" s="15">
        <v>31</v>
      </c>
      <c r="B34" s="18" t="s">
        <v>9</v>
      </c>
      <c r="C34" s="16" t="s">
        <v>46</v>
      </c>
      <c r="D34" s="17" t="s">
        <v>59</v>
      </c>
      <c r="E34" s="14">
        <v>1</v>
      </c>
      <c r="F34" s="16" t="s">
        <v>54</v>
      </c>
      <c r="G34" s="17" t="s">
        <v>45</v>
      </c>
      <c r="H34" s="14">
        <v>1</v>
      </c>
      <c r="I34" s="15" t="s">
        <v>52</v>
      </c>
      <c r="J34" s="17" t="s">
        <v>45</v>
      </c>
      <c r="K34" s="14">
        <v>1</v>
      </c>
      <c r="L34" s="15" t="s">
        <v>56</v>
      </c>
      <c r="M34" s="17" t="s">
        <v>45</v>
      </c>
      <c r="N34" s="14">
        <v>1</v>
      </c>
      <c r="O34" s="15" t="s">
        <v>56</v>
      </c>
      <c r="P34" s="17" t="s">
        <v>45</v>
      </c>
      <c r="Q34" s="14">
        <v>1</v>
      </c>
      <c r="R34" s="15" t="s">
        <v>46</v>
      </c>
      <c r="S34" s="17" t="s">
        <v>59</v>
      </c>
      <c r="T34" s="14">
        <v>1</v>
      </c>
    </row>
    <row r="35" spans="1:23" x14ac:dyDescent="0.3">
      <c r="A35" s="15">
        <v>32</v>
      </c>
      <c r="B35" s="18" t="s">
        <v>37</v>
      </c>
      <c r="C35" s="16" t="s">
        <v>46</v>
      </c>
      <c r="D35" s="17" t="s">
        <v>59</v>
      </c>
      <c r="E35" s="14">
        <v>1</v>
      </c>
      <c r="F35" s="16" t="s">
        <v>55</v>
      </c>
      <c r="G35" s="17" t="s">
        <v>45</v>
      </c>
      <c r="H35" s="14">
        <v>1</v>
      </c>
      <c r="I35" s="15" t="s">
        <v>52</v>
      </c>
      <c r="J35" s="17" t="s">
        <v>45</v>
      </c>
      <c r="K35" s="14">
        <v>1</v>
      </c>
      <c r="L35" s="15" t="s">
        <v>57</v>
      </c>
      <c r="M35" s="17" t="s">
        <v>59</v>
      </c>
      <c r="N35" s="14">
        <v>1</v>
      </c>
      <c r="O35" s="15" t="s">
        <v>57</v>
      </c>
      <c r="P35" s="17" t="s">
        <v>59</v>
      </c>
      <c r="Q35" s="14">
        <v>1</v>
      </c>
      <c r="R35" s="15" t="s">
        <v>46</v>
      </c>
      <c r="S35" s="17" t="s">
        <v>59</v>
      </c>
      <c r="T35" s="14">
        <v>1</v>
      </c>
    </row>
    <row r="36" spans="1:23" x14ac:dyDescent="0.3">
      <c r="A36" s="15">
        <v>33</v>
      </c>
      <c r="B36" s="18" t="s">
        <v>7</v>
      </c>
      <c r="C36" s="16" t="s">
        <v>46</v>
      </c>
      <c r="D36" s="17" t="s">
        <v>59</v>
      </c>
      <c r="E36" s="14">
        <v>1</v>
      </c>
      <c r="F36" s="16" t="s">
        <v>54</v>
      </c>
      <c r="G36" s="17" t="s">
        <v>45</v>
      </c>
      <c r="H36" s="14">
        <v>1</v>
      </c>
      <c r="I36" s="15" t="s">
        <v>52</v>
      </c>
      <c r="J36" s="17" t="s">
        <v>45</v>
      </c>
      <c r="K36" s="14">
        <v>1</v>
      </c>
      <c r="L36" s="15" t="s">
        <v>56</v>
      </c>
      <c r="M36" s="17" t="s">
        <v>45</v>
      </c>
      <c r="N36" s="14">
        <v>1</v>
      </c>
      <c r="O36" s="15" t="s">
        <v>57</v>
      </c>
      <c r="P36" s="17" t="s">
        <v>59</v>
      </c>
      <c r="Q36" s="14">
        <v>1</v>
      </c>
      <c r="R36" s="15"/>
      <c r="S36" s="17"/>
      <c r="T36" s="14"/>
    </row>
    <row r="37" spans="1:23" x14ac:dyDescent="0.3">
      <c r="A37" s="15">
        <v>34</v>
      </c>
      <c r="B37" s="18" t="s">
        <v>143</v>
      </c>
      <c r="C37" s="16"/>
      <c r="D37" s="17"/>
      <c r="E37" s="14"/>
      <c r="F37" s="16"/>
      <c r="G37" s="17"/>
      <c r="H37" s="17"/>
      <c r="I37" s="15"/>
      <c r="J37" s="17"/>
      <c r="K37" s="14"/>
      <c r="L37" s="15"/>
      <c r="M37" s="17"/>
      <c r="N37" s="14"/>
      <c r="O37" s="15"/>
      <c r="P37" s="17"/>
      <c r="Q37" s="14"/>
      <c r="R37" s="15"/>
      <c r="S37" s="17"/>
      <c r="T37" s="14"/>
    </row>
    <row r="38" spans="1:23" x14ac:dyDescent="0.3">
      <c r="A38" s="15">
        <v>35</v>
      </c>
      <c r="B38" s="11" t="s">
        <v>40</v>
      </c>
      <c r="C38" s="16" t="s">
        <v>46</v>
      </c>
      <c r="D38" s="17" t="s">
        <v>59</v>
      </c>
      <c r="E38" s="14">
        <v>1</v>
      </c>
      <c r="F38" s="16" t="s">
        <v>54</v>
      </c>
      <c r="G38" s="17" t="s">
        <v>45</v>
      </c>
      <c r="H38" s="14">
        <v>1</v>
      </c>
      <c r="I38" s="15" t="s">
        <v>47</v>
      </c>
      <c r="J38" s="17" t="s">
        <v>45</v>
      </c>
      <c r="K38" s="14">
        <v>1</v>
      </c>
      <c r="L38" s="15" t="s">
        <v>56</v>
      </c>
      <c r="M38" s="17" t="s">
        <v>45</v>
      </c>
      <c r="N38" s="14">
        <v>1</v>
      </c>
      <c r="O38" s="15" t="s">
        <v>57</v>
      </c>
      <c r="P38" s="17" t="s">
        <v>59</v>
      </c>
      <c r="Q38" s="14">
        <v>1</v>
      </c>
      <c r="R38" s="15" t="s">
        <v>46</v>
      </c>
      <c r="S38" s="17" t="s">
        <v>59</v>
      </c>
      <c r="T38" s="14">
        <v>1</v>
      </c>
    </row>
    <row r="39" spans="1:23" x14ac:dyDescent="0.3">
      <c r="A39" s="15">
        <v>36</v>
      </c>
      <c r="B39" s="11" t="s">
        <v>41</v>
      </c>
      <c r="C39" s="16"/>
      <c r="D39" s="17"/>
      <c r="E39" s="14"/>
      <c r="F39" s="16"/>
      <c r="G39" s="17"/>
      <c r="H39" s="17"/>
      <c r="I39" s="15"/>
      <c r="J39" s="17"/>
      <c r="K39" s="14"/>
      <c r="L39" s="15"/>
      <c r="M39" s="17"/>
      <c r="N39" s="14"/>
      <c r="O39" s="15"/>
      <c r="P39" s="17"/>
      <c r="Q39" s="14"/>
      <c r="R39" s="15"/>
      <c r="S39" s="17"/>
      <c r="T39" s="14"/>
    </row>
    <row r="40" spans="1:23" x14ac:dyDescent="0.3">
      <c r="A40" s="15">
        <v>37</v>
      </c>
      <c r="B40" s="18" t="s">
        <v>42</v>
      </c>
      <c r="C40" s="16" t="s">
        <v>46</v>
      </c>
      <c r="D40" s="17" t="s">
        <v>59</v>
      </c>
      <c r="E40" s="14">
        <v>1</v>
      </c>
      <c r="F40" s="16" t="s">
        <v>54</v>
      </c>
      <c r="G40" s="17" t="s">
        <v>45</v>
      </c>
      <c r="H40" s="14">
        <v>1</v>
      </c>
      <c r="I40" s="15" t="s">
        <v>52</v>
      </c>
      <c r="J40" s="17" t="s">
        <v>45</v>
      </c>
      <c r="K40" s="14">
        <v>1</v>
      </c>
      <c r="L40" s="15"/>
      <c r="M40" s="17"/>
      <c r="N40" s="14"/>
      <c r="O40" s="15" t="s">
        <v>56</v>
      </c>
      <c r="P40" s="17" t="s">
        <v>45</v>
      </c>
      <c r="Q40" s="14">
        <v>1</v>
      </c>
      <c r="R40" s="15"/>
      <c r="S40" s="17"/>
      <c r="T40" s="14"/>
    </row>
    <row r="41" spans="1:23" x14ac:dyDescent="0.3">
      <c r="A41" s="15">
        <v>38</v>
      </c>
      <c r="B41" s="18" t="s">
        <v>43</v>
      </c>
      <c r="C41" s="16" t="s">
        <v>46</v>
      </c>
      <c r="D41" s="17" t="s">
        <v>59</v>
      </c>
      <c r="E41" s="14">
        <v>1</v>
      </c>
      <c r="F41" s="16" t="s">
        <v>55</v>
      </c>
      <c r="G41" s="17" t="s">
        <v>45</v>
      </c>
      <c r="H41" s="14">
        <v>1</v>
      </c>
      <c r="I41" s="15" t="s">
        <v>52</v>
      </c>
      <c r="J41" s="17" t="s">
        <v>45</v>
      </c>
      <c r="K41" s="14">
        <v>1</v>
      </c>
      <c r="L41" s="15" t="s">
        <v>57</v>
      </c>
      <c r="M41" s="17" t="s">
        <v>59</v>
      </c>
      <c r="N41" s="14">
        <v>1</v>
      </c>
      <c r="O41" s="15"/>
      <c r="P41" s="17"/>
      <c r="Q41" s="14"/>
      <c r="R41" s="15" t="s">
        <v>46</v>
      </c>
      <c r="S41" s="17" t="s">
        <v>59</v>
      </c>
      <c r="T41" s="14">
        <v>1</v>
      </c>
    </row>
    <row r="42" spans="1:23" x14ac:dyDescent="0.3">
      <c r="A42" s="15">
        <v>39</v>
      </c>
      <c r="B42" s="11" t="s">
        <v>44</v>
      </c>
      <c r="C42" s="16" t="s">
        <v>46</v>
      </c>
      <c r="D42" s="17" t="s">
        <v>59</v>
      </c>
      <c r="E42" s="14">
        <v>1</v>
      </c>
      <c r="F42" s="16" t="s">
        <v>55</v>
      </c>
      <c r="G42" s="17" t="s">
        <v>45</v>
      </c>
      <c r="H42" s="14">
        <v>1</v>
      </c>
      <c r="I42" s="15" t="s">
        <v>52</v>
      </c>
      <c r="J42" s="17" t="s">
        <v>45</v>
      </c>
      <c r="K42" s="14">
        <v>1</v>
      </c>
      <c r="L42" s="15" t="s">
        <v>57</v>
      </c>
      <c r="M42" s="17" t="s">
        <v>59</v>
      </c>
      <c r="N42" s="14">
        <v>1</v>
      </c>
      <c r="O42" s="15" t="s">
        <v>57</v>
      </c>
      <c r="P42" s="17" t="s">
        <v>59</v>
      </c>
      <c r="Q42" s="14">
        <v>1</v>
      </c>
      <c r="R42" s="15" t="s">
        <v>46</v>
      </c>
      <c r="S42" s="17" t="s">
        <v>59</v>
      </c>
      <c r="T42" s="14">
        <v>1</v>
      </c>
    </row>
    <row r="44" spans="1:23" ht="15" thickBot="1" x14ac:dyDescent="0.35"/>
    <row r="45" spans="1:23" x14ac:dyDescent="0.3">
      <c r="B45" s="2" t="s">
        <v>5</v>
      </c>
      <c r="C45" s="67">
        <v>46132</v>
      </c>
      <c r="D45" s="68"/>
      <c r="E45" s="69"/>
      <c r="F45" s="67">
        <v>46133</v>
      </c>
      <c r="G45" s="68"/>
      <c r="H45" s="69"/>
      <c r="I45" s="67">
        <v>46134</v>
      </c>
      <c r="J45" s="68"/>
      <c r="K45" s="69"/>
      <c r="L45" s="67">
        <v>46135</v>
      </c>
      <c r="M45" s="68"/>
      <c r="N45" s="69"/>
      <c r="O45" s="67">
        <v>46136</v>
      </c>
      <c r="P45" s="68"/>
      <c r="Q45" s="69"/>
      <c r="R45" s="67">
        <v>46137</v>
      </c>
      <c r="S45" s="68"/>
      <c r="T45" s="69"/>
      <c r="U45" s="67">
        <v>46138</v>
      </c>
      <c r="V45" s="68"/>
      <c r="W45" s="69"/>
    </row>
    <row r="46" spans="1:23" ht="15" thickBot="1" x14ac:dyDescent="0.35">
      <c r="B46" s="4" t="s">
        <v>0</v>
      </c>
      <c r="C46" s="5" t="s">
        <v>1</v>
      </c>
      <c r="D46" s="6" t="s">
        <v>2</v>
      </c>
      <c r="E46" s="7" t="s">
        <v>3</v>
      </c>
      <c r="F46" s="5" t="s">
        <v>1</v>
      </c>
      <c r="G46" s="6" t="s">
        <v>2</v>
      </c>
      <c r="H46" s="7" t="s">
        <v>3</v>
      </c>
      <c r="I46" s="5" t="s">
        <v>1</v>
      </c>
      <c r="J46" s="6" t="s">
        <v>2</v>
      </c>
      <c r="K46" s="7" t="s">
        <v>3</v>
      </c>
      <c r="L46" s="5" t="s">
        <v>1</v>
      </c>
      <c r="M46" s="6" t="s">
        <v>2</v>
      </c>
      <c r="N46" s="7" t="s">
        <v>3</v>
      </c>
      <c r="O46" s="5" t="s">
        <v>1</v>
      </c>
      <c r="P46" s="6" t="s">
        <v>2</v>
      </c>
      <c r="Q46" s="7" t="s">
        <v>3</v>
      </c>
      <c r="R46" s="5" t="s">
        <v>1</v>
      </c>
      <c r="S46" s="6" t="s">
        <v>2</v>
      </c>
      <c r="T46" s="7" t="s">
        <v>3</v>
      </c>
      <c r="U46" s="5" t="s">
        <v>1</v>
      </c>
      <c r="V46" s="6" t="s">
        <v>2</v>
      </c>
      <c r="W46" s="7" t="s">
        <v>3</v>
      </c>
    </row>
    <row r="47" spans="1:23" x14ac:dyDescent="0.3">
      <c r="B47" s="11" t="s">
        <v>6</v>
      </c>
      <c r="C47" s="12" t="s">
        <v>49</v>
      </c>
      <c r="D47" s="13" t="s">
        <v>49</v>
      </c>
      <c r="E47" s="14">
        <v>1</v>
      </c>
      <c r="F47" s="12" t="s">
        <v>49</v>
      </c>
      <c r="G47" s="13" t="s">
        <v>49</v>
      </c>
      <c r="H47" s="14">
        <v>1</v>
      </c>
      <c r="I47" s="12" t="s">
        <v>49</v>
      </c>
      <c r="J47" s="13" t="s">
        <v>49</v>
      </c>
      <c r="K47" s="14">
        <v>1</v>
      </c>
      <c r="L47" s="12" t="s">
        <v>49</v>
      </c>
      <c r="M47" s="13" t="s">
        <v>49</v>
      </c>
      <c r="N47" s="14">
        <v>1</v>
      </c>
      <c r="O47" s="12" t="s">
        <v>49</v>
      </c>
      <c r="P47" s="13" t="s">
        <v>49</v>
      </c>
      <c r="Q47" s="14">
        <v>1</v>
      </c>
      <c r="R47" s="12" t="s">
        <v>49</v>
      </c>
      <c r="S47" s="13" t="s">
        <v>49</v>
      </c>
      <c r="T47" s="14">
        <v>1</v>
      </c>
      <c r="U47" s="12"/>
      <c r="V47" s="13"/>
      <c r="W47" s="14"/>
    </row>
    <row r="48" spans="1:23" x14ac:dyDescent="0.3">
      <c r="B48" s="11" t="s">
        <v>10</v>
      </c>
      <c r="C48" s="16" t="s">
        <v>49</v>
      </c>
      <c r="D48" s="17" t="s">
        <v>49</v>
      </c>
      <c r="E48" s="14">
        <v>1</v>
      </c>
      <c r="F48" s="16" t="s">
        <v>49</v>
      </c>
      <c r="G48" s="17" t="s">
        <v>49</v>
      </c>
      <c r="H48" s="14">
        <v>1</v>
      </c>
      <c r="I48" s="16" t="s">
        <v>49</v>
      </c>
      <c r="J48" s="17" t="s">
        <v>49</v>
      </c>
      <c r="K48" s="14">
        <v>1</v>
      </c>
      <c r="L48" s="16" t="s">
        <v>49</v>
      </c>
      <c r="M48" s="17" t="s">
        <v>49</v>
      </c>
      <c r="N48" s="14">
        <v>1</v>
      </c>
      <c r="O48" s="16" t="s">
        <v>49</v>
      </c>
      <c r="P48" s="17" t="s">
        <v>49</v>
      </c>
      <c r="Q48" s="14">
        <v>1</v>
      </c>
      <c r="R48" s="16" t="s">
        <v>49</v>
      </c>
      <c r="S48" s="17" t="s">
        <v>49</v>
      </c>
      <c r="T48" s="14">
        <v>1</v>
      </c>
      <c r="U48" s="16"/>
      <c r="V48" s="17"/>
      <c r="W48" s="14"/>
    </row>
    <row r="49" spans="2:23" x14ac:dyDescent="0.3">
      <c r="B49" s="11" t="s">
        <v>22</v>
      </c>
      <c r="C49" s="16" t="s">
        <v>51</v>
      </c>
      <c r="D49" s="17" t="s">
        <v>48</v>
      </c>
      <c r="E49" s="14">
        <v>1</v>
      </c>
      <c r="F49" s="16" t="s">
        <v>51</v>
      </c>
      <c r="G49" s="17" t="s">
        <v>48</v>
      </c>
      <c r="H49" s="14">
        <v>1</v>
      </c>
      <c r="I49" s="16" t="s">
        <v>51</v>
      </c>
      <c r="J49" s="17" t="s">
        <v>48</v>
      </c>
      <c r="K49" s="14">
        <v>1</v>
      </c>
      <c r="L49" s="16" t="s">
        <v>48</v>
      </c>
      <c r="M49" s="17" t="s">
        <v>48</v>
      </c>
      <c r="N49" s="14">
        <v>1</v>
      </c>
      <c r="O49" s="16" t="s">
        <v>48</v>
      </c>
      <c r="P49" s="17" t="s">
        <v>48</v>
      </c>
      <c r="Q49" s="14">
        <v>1</v>
      </c>
      <c r="R49" s="16" t="s">
        <v>48</v>
      </c>
      <c r="S49" s="17" t="s">
        <v>48</v>
      </c>
      <c r="T49" s="14">
        <v>1</v>
      </c>
      <c r="U49" s="16"/>
      <c r="V49" s="17"/>
      <c r="W49" s="14"/>
    </row>
    <row r="50" spans="2:23" x14ac:dyDescent="0.3">
      <c r="B50" s="11" t="s">
        <v>36</v>
      </c>
      <c r="C50" s="16" t="s">
        <v>51</v>
      </c>
      <c r="D50" s="17" t="s">
        <v>50</v>
      </c>
      <c r="E50" s="14">
        <v>1</v>
      </c>
      <c r="F50" s="16" t="s">
        <v>51</v>
      </c>
      <c r="G50" s="17" t="s">
        <v>50</v>
      </c>
      <c r="H50" s="14">
        <v>1</v>
      </c>
      <c r="I50" s="16" t="s">
        <v>51</v>
      </c>
      <c r="J50" s="17" t="s">
        <v>50</v>
      </c>
      <c r="K50" s="14">
        <v>1</v>
      </c>
      <c r="L50" s="16" t="s">
        <v>51</v>
      </c>
      <c r="M50" s="17" t="s">
        <v>50</v>
      </c>
      <c r="N50" s="14">
        <v>1</v>
      </c>
      <c r="O50" s="16" t="s">
        <v>51</v>
      </c>
      <c r="P50" s="17" t="s">
        <v>50</v>
      </c>
      <c r="Q50" s="14">
        <v>1</v>
      </c>
      <c r="R50" s="16" t="s">
        <v>51</v>
      </c>
      <c r="S50" s="17" t="s">
        <v>50</v>
      </c>
      <c r="T50" s="14">
        <v>1</v>
      </c>
      <c r="U50" s="16" t="s">
        <v>51</v>
      </c>
      <c r="V50" s="17" t="s">
        <v>50</v>
      </c>
      <c r="W50" s="14">
        <v>1</v>
      </c>
    </row>
    <row r="51" spans="2:23" x14ac:dyDescent="0.3">
      <c r="B51" s="11" t="s">
        <v>38</v>
      </c>
      <c r="C51" s="16" t="s">
        <v>50</v>
      </c>
      <c r="D51" s="17" t="s">
        <v>50</v>
      </c>
      <c r="E51" s="14">
        <v>1</v>
      </c>
      <c r="F51" s="16" t="s">
        <v>50</v>
      </c>
      <c r="G51" s="17" t="s">
        <v>50</v>
      </c>
      <c r="H51" s="14">
        <v>1</v>
      </c>
      <c r="I51" s="16" t="s">
        <v>50</v>
      </c>
      <c r="J51" s="17" t="s">
        <v>50</v>
      </c>
      <c r="K51" s="14">
        <v>1</v>
      </c>
      <c r="L51" s="16" t="s">
        <v>50</v>
      </c>
      <c r="M51" s="17" t="s">
        <v>50</v>
      </c>
      <c r="N51" s="14">
        <v>1</v>
      </c>
      <c r="O51" s="16" t="s">
        <v>50</v>
      </c>
      <c r="P51" s="17" t="s">
        <v>50</v>
      </c>
      <c r="Q51" s="14">
        <v>1</v>
      </c>
      <c r="R51" s="16" t="s">
        <v>51</v>
      </c>
      <c r="S51" s="17" t="s">
        <v>50</v>
      </c>
      <c r="T51" s="14">
        <v>1</v>
      </c>
      <c r="U51" s="16" t="s">
        <v>51</v>
      </c>
      <c r="V51" s="17" t="s">
        <v>50</v>
      </c>
      <c r="W51" s="14">
        <v>1</v>
      </c>
    </row>
    <row r="52" spans="2:23" x14ac:dyDescent="0.3">
      <c r="B52" s="18" t="s">
        <v>11</v>
      </c>
      <c r="C52" s="15" t="s">
        <v>52</v>
      </c>
      <c r="D52" s="17" t="s">
        <v>45</v>
      </c>
      <c r="E52" s="14">
        <v>1</v>
      </c>
      <c r="F52" s="15" t="s">
        <v>46</v>
      </c>
      <c r="G52" s="17" t="s">
        <v>60</v>
      </c>
      <c r="H52" s="14">
        <v>1</v>
      </c>
      <c r="I52" s="15" t="s">
        <v>46</v>
      </c>
      <c r="J52" s="17" t="s">
        <v>60</v>
      </c>
      <c r="K52" s="14">
        <v>1</v>
      </c>
      <c r="L52" s="15" t="s">
        <v>46</v>
      </c>
      <c r="M52" s="17" t="s">
        <v>60</v>
      </c>
      <c r="N52" s="14">
        <v>1</v>
      </c>
      <c r="O52" s="15" t="s">
        <v>46</v>
      </c>
      <c r="P52" s="17" t="s">
        <v>61</v>
      </c>
      <c r="Q52" s="14">
        <v>1</v>
      </c>
      <c r="R52" s="15" t="s">
        <v>57</v>
      </c>
      <c r="S52" s="17" t="s">
        <v>60</v>
      </c>
      <c r="T52" s="14">
        <v>1</v>
      </c>
      <c r="U52" s="15"/>
      <c r="V52" s="17"/>
      <c r="W52" s="14"/>
    </row>
    <row r="53" spans="2:23" x14ac:dyDescent="0.3">
      <c r="B53" s="11" t="s">
        <v>12</v>
      </c>
      <c r="C53" s="15" t="s">
        <v>46</v>
      </c>
      <c r="D53" s="17" t="s">
        <v>59</v>
      </c>
      <c r="E53" s="14">
        <v>1</v>
      </c>
      <c r="F53" s="15" t="s">
        <v>46</v>
      </c>
      <c r="G53" s="17" t="s">
        <v>60</v>
      </c>
      <c r="H53" s="14">
        <v>1</v>
      </c>
      <c r="I53" s="15" t="s">
        <v>46</v>
      </c>
      <c r="J53" s="17" t="s">
        <v>60</v>
      </c>
      <c r="K53" s="14">
        <v>1</v>
      </c>
      <c r="L53" s="15" t="s">
        <v>46</v>
      </c>
      <c r="M53" s="17" t="s">
        <v>60</v>
      </c>
      <c r="N53" s="14">
        <v>1</v>
      </c>
      <c r="O53" s="15" t="s">
        <v>46</v>
      </c>
      <c r="P53" s="17" t="s">
        <v>61</v>
      </c>
      <c r="Q53" s="14">
        <v>1</v>
      </c>
      <c r="R53" s="15" t="s">
        <v>57</v>
      </c>
      <c r="S53" s="17" t="s">
        <v>60</v>
      </c>
      <c r="T53" s="14">
        <v>1</v>
      </c>
      <c r="U53" s="15"/>
      <c r="V53" s="17"/>
      <c r="W53" s="14"/>
    </row>
    <row r="54" spans="2:23" x14ac:dyDescent="0.3">
      <c r="B54" s="18" t="s">
        <v>13</v>
      </c>
      <c r="C54" s="15" t="s">
        <v>46</v>
      </c>
      <c r="D54" s="17" t="s">
        <v>59</v>
      </c>
      <c r="E54" s="14">
        <v>1</v>
      </c>
      <c r="F54" s="15" t="s">
        <v>46</v>
      </c>
      <c r="G54" s="17" t="s">
        <v>60</v>
      </c>
      <c r="H54" s="14">
        <v>1</v>
      </c>
      <c r="I54" s="15" t="s">
        <v>46</v>
      </c>
      <c r="J54" s="17" t="s">
        <v>50</v>
      </c>
      <c r="K54" s="14">
        <v>1</v>
      </c>
      <c r="L54" s="15" t="s">
        <v>46</v>
      </c>
      <c r="M54" s="17" t="s">
        <v>50</v>
      </c>
      <c r="N54" s="14">
        <v>1</v>
      </c>
      <c r="O54" s="15" t="s">
        <v>46</v>
      </c>
      <c r="P54" s="17" t="s">
        <v>61</v>
      </c>
      <c r="Q54" s="14">
        <v>1</v>
      </c>
      <c r="R54" s="15" t="s">
        <v>63</v>
      </c>
      <c r="S54" s="17" t="s">
        <v>60</v>
      </c>
      <c r="T54" s="14">
        <v>1</v>
      </c>
      <c r="U54" s="15"/>
      <c r="V54" s="17"/>
      <c r="W54" s="14"/>
    </row>
    <row r="55" spans="2:23" x14ac:dyDescent="0.3">
      <c r="B55" s="11" t="s">
        <v>14</v>
      </c>
      <c r="C55" s="15" t="s">
        <v>46</v>
      </c>
      <c r="D55" s="17" t="s">
        <v>59</v>
      </c>
      <c r="E55" s="14">
        <v>1</v>
      </c>
      <c r="F55" s="15" t="s">
        <v>46</v>
      </c>
      <c r="G55" s="17" t="s">
        <v>45</v>
      </c>
      <c r="H55" s="14">
        <v>1</v>
      </c>
      <c r="I55" s="15" t="s">
        <v>46</v>
      </c>
      <c r="J55" s="17" t="s">
        <v>60</v>
      </c>
      <c r="K55" s="14">
        <v>1</v>
      </c>
      <c r="L55" s="15" t="s">
        <v>46</v>
      </c>
      <c r="M55" s="17" t="s">
        <v>60</v>
      </c>
      <c r="N55" s="14">
        <v>1</v>
      </c>
      <c r="O55" s="15" t="s">
        <v>46</v>
      </c>
      <c r="P55" s="17" t="s">
        <v>61</v>
      </c>
      <c r="Q55" s="14">
        <v>1</v>
      </c>
      <c r="R55" s="15" t="s">
        <v>63</v>
      </c>
      <c r="S55" s="17" t="s">
        <v>60</v>
      </c>
      <c r="T55" s="14">
        <v>1</v>
      </c>
      <c r="U55" s="15"/>
      <c r="V55" s="17"/>
      <c r="W55" s="14"/>
    </row>
    <row r="56" spans="2:23" x14ac:dyDescent="0.3">
      <c r="B56" s="18" t="s">
        <v>15</v>
      </c>
      <c r="C56" s="15" t="s">
        <v>46</v>
      </c>
      <c r="D56" s="17" t="s">
        <v>59</v>
      </c>
      <c r="E56" s="14">
        <v>1</v>
      </c>
      <c r="F56" s="15" t="s">
        <v>46</v>
      </c>
      <c r="G56" s="17" t="s">
        <v>50</v>
      </c>
      <c r="H56" s="14">
        <v>1</v>
      </c>
      <c r="I56" s="15" t="s">
        <v>46</v>
      </c>
      <c r="J56" s="17" t="s">
        <v>50</v>
      </c>
      <c r="K56" s="14">
        <v>1</v>
      </c>
      <c r="L56" s="15" t="s">
        <v>46</v>
      </c>
      <c r="M56" s="17" t="s">
        <v>50</v>
      </c>
      <c r="N56" s="14">
        <v>1</v>
      </c>
      <c r="O56" s="15" t="s">
        <v>46</v>
      </c>
      <c r="P56" s="17" t="s">
        <v>50</v>
      </c>
      <c r="Q56" s="14">
        <v>1</v>
      </c>
      <c r="R56" s="15" t="s">
        <v>63</v>
      </c>
      <c r="S56" s="17" t="s">
        <v>60</v>
      </c>
      <c r="T56" s="14">
        <v>1</v>
      </c>
      <c r="U56" s="15"/>
      <c r="V56" s="17"/>
      <c r="W56" s="14"/>
    </row>
    <row r="57" spans="2:23" x14ac:dyDescent="0.3">
      <c r="B57" s="11" t="s">
        <v>16</v>
      </c>
      <c r="C57" s="15"/>
      <c r="D57" s="17"/>
      <c r="E57" s="14"/>
      <c r="F57" s="15"/>
      <c r="G57" s="17"/>
      <c r="H57" s="14"/>
      <c r="I57" s="15"/>
      <c r="J57" s="17"/>
      <c r="K57" s="14"/>
      <c r="L57" s="15"/>
      <c r="M57" s="17"/>
      <c r="N57" s="14"/>
      <c r="O57" s="15"/>
      <c r="P57" s="17"/>
      <c r="Q57" s="14"/>
      <c r="R57" s="15"/>
      <c r="S57" s="17"/>
      <c r="T57" s="14"/>
      <c r="U57" s="15"/>
      <c r="V57" s="17"/>
      <c r="W57" s="14"/>
    </row>
    <row r="58" spans="2:23" x14ac:dyDescent="0.3">
      <c r="B58" s="18" t="s">
        <v>17</v>
      </c>
      <c r="C58" s="15" t="s">
        <v>46</v>
      </c>
      <c r="D58" s="17" t="s">
        <v>59</v>
      </c>
      <c r="E58" s="14">
        <v>1</v>
      </c>
      <c r="F58" s="15" t="s">
        <v>46</v>
      </c>
      <c r="G58" s="17" t="s">
        <v>60</v>
      </c>
      <c r="H58" s="14">
        <v>1</v>
      </c>
      <c r="I58" s="15" t="s">
        <v>46</v>
      </c>
      <c r="J58" s="17" t="s">
        <v>60</v>
      </c>
      <c r="K58" s="14">
        <v>1</v>
      </c>
      <c r="L58" s="15" t="s">
        <v>46</v>
      </c>
      <c r="M58" s="17" t="s">
        <v>60</v>
      </c>
      <c r="N58" s="14">
        <v>1</v>
      </c>
      <c r="O58" s="15" t="s">
        <v>46</v>
      </c>
      <c r="P58" s="17" t="s">
        <v>61</v>
      </c>
      <c r="Q58" s="14">
        <v>1</v>
      </c>
      <c r="R58" s="15" t="s">
        <v>63</v>
      </c>
      <c r="S58" s="17" t="s">
        <v>60</v>
      </c>
      <c r="T58" s="14">
        <v>1</v>
      </c>
      <c r="U58" s="15"/>
      <c r="V58" s="17"/>
      <c r="W58" s="14"/>
    </row>
    <row r="59" spans="2:23" x14ac:dyDescent="0.3">
      <c r="B59" s="11" t="s">
        <v>18</v>
      </c>
      <c r="C59" s="15"/>
      <c r="D59" s="17"/>
      <c r="E59" s="14"/>
      <c r="F59" s="15" t="s">
        <v>46</v>
      </c>
      <c r="G59" s="17" t="s">
        <v>60</v>
      </c>
      <c r="H59" s="14">
        <v>1</v>
      </c>
      <c r="I59" s="15" t="s">
        <v>46</v>
      </c>
      <c r="J59" s="17" t="s">
        <v>60</v>
      </c>
      <c r="K59" s="14">
        <v>1</v>
      </c>
      <c r="L59" s="15" t="s">
        <v>46</v>
      </c>
      <c r="M59" s="17" t="s">
        <v>60</v>
      </c>
      <c r="N59" s="14">
        <v>1</v>
      </c>
      <c r="O59" s="15" t="s">
        <v>47</v>
      </c>
      <c r="P59" s="17" t="s">
        <v>50</v>
      </c>
      <c r="Q59" s="14">
        <v>1</v>
      </c>
      <c r="R59" s="15" t="s">
        <v>63</v>
      </c>
      <c r="S59" s="17" t="s">
        <v>60</v>
      </c>
      <c r="T59" s="14">
        <v>1</v>
      </c>
      <c r="U59" s="15"/>
      <c r="V59" s="17"/>
      <c r="W59" s="14"/>
    </row>
    <row r="60" spans="2:23" x14ac:dyDescent="0.3">
      <c r="B60" s="18" t="s">
        <v>19</v>
      </c>
      <c r="C60" s="15"/>
      <c r="D60" s="17"/>
      <c r="E60" s="14"/>
      <c r="F60" s="15" t="s">
        <v>46</v>
      </c>
      <c r="G60" s="17" t="s">
        <v>60</v>
      </c>
      <c r="H60" s="14">
        <v>1</v>
      </c>
      <c r="I60" s="15" t="s">
        <v>46</v>
      </c>
      <c r="J60" s="17" t="s">
        <v>60</v>
      </c>
      <c r="K60" s="14">
        <v>1</v>
      </c>
      <c r="L60" s="15" t="s">
        <v>46</v>
      </c>
      <c r="M60" s="17" t="s">
        <v>60</v>
      </c>
      <c r="N60" s="14">
        <v>1</v>
      </c>
      <c r="O60" s="15" t="s">
        <v>46</v>
      </c>
      <c r="P60" s="17" t="s">
        <v>61</v>
      </c>
      <c r="Q60" s="14">
        <v>1</v>
      </c>
      <c r="R60" s="15" t="s">
        <v>63</v>
      </c>
      <c r="S60" s="17" t="s">
        <v>60</v>
      </c>
      <c r="T60" s="14">
        <v>1</v>
      </c>
      <c r="U60" s="15"/>
      <c r="V60" s="17"/>
      <c r="W60" s="14"/>
    </row>
    <row r="61" spans="2:23" x14ac:dyDescent="0.3">
      <c r="B61" s="11" t="s">
        <v>20</v>
      </c>
      <c r="C61" s="15" t="s">
        <v>53</v>
      </c>
      <c r="D61" s="17" t="s">
        <v>53</v>
      </c>
      <c r="E61" s="14">
        <v>1</v>
      </c>
      <c r="F61" s="15" t="s">
        <v>53</v>
      </c>
      <c r="G61" s="17" t="s">
        <v>53</v>
      </c>
      <c r="H61" s="14">
        <v>1</v>
      </c>
      <c r="I61" s="15" t="s">
        <v>53</v>
      </c>
      <c r="J61" s="17" t="s">
        <v>53</v>
      </c>
      <c r="K61" s="14">
        <v>1</v>
      </c>
      <c r="L61" s="15" t="s">
        <v>53</v>
      </c>
      <c r="M61" s="17" t="s">
        <v>53</v>
      </c>
      <c r="N61" s="14">
        <v>1</v>
      </c>
      <c r="O61" s="15" t="s">
        <v>53</v>
      </c>
      <c r="P61" s="17" t="s">
        <v>62</v>
      </c>
      <c r="Q61" s="14">
        <v>1</v>
      </c>
      <c r="R61" s="15" t="s">
        <v>64</v>
      </c>
      <c r="S61" s="17" t="s">
        <v>62</v>
      </c>
      <c r="T61" s="14">
        <v>1</v>
      </c>
      <c r="U61" s="15"/>
      <c r="V61" s="17"/>
      <c r="W61" s="14"/>
    </row>
    <row r="62" spans="2:23" x14ac:dyDescent="0.3">
      <c r="B62" s="18" t="s">
        <v>21</v>
      </c>
      <c r="C62" s="15" t="s">
        <v>46</v>
      </c>
      <c r="D62" s="17" t="s">
        <v>59</v>
      </c>
      <c r="E62" s="14">
        <v>1</v>
      </c>
      <c r="F62" s="15" t="s">
        <v>46</v>
      </c>
      <c r="G62" s="17" t="s">
        <v>60</v>
      </c>
      <c r="H62" s="14">
        <v>1</v>
      </c>
      <c r="I62" s="15" t="s">
        <v>46</v>
      </c>
      <c r="J62" s="17" t="s">
        <v>60</v>
      </c>
      <c r="K62" s="14">
        <v>1</v>
      </c>
      <c r="L62" s="15" t="s">
        <v>46</v>
      </c>
      <c r="M62" s="17" t="s">
        <v>60</v>
      </c>
      <c r="N62" s="14">
        <v>1</v>
      </c>
      <c r="O62" s="15" t="s">
        <v>46</v>
      </c>
      <c r="P62" s="17" t="s">
        <v>61</v>
      </c>
      <c r="Q62" s="14">
        <v>1</v>
      </c>
      <c r="R62" s="15" t="s">
        <v>63</v>
      </c>
      <c r="S62" s="17" t="s">
        <v>60</v>
      </c>
      <c r="T62" s="14">
        <v>1</v>
      </c>
      <c r="U62" s="15"/>
      <c r="V62" s="17"/>
      <c r="W62" s="14"/>
    </row>
    <row r="63" spans="2:23" x14ac:dyDescent="0.3">
      <c r="B63" s="11" t="s">
        <v>8</v>
      </c>
      <c r="C63" s="15" t="s">
        <v>46</v>
      </c>
      <c r="D63" s="17" t="s">
        <v>59</v>
      </c>
      <c r="E63" s="14">
        <v>1</v>
      </c>
      <c r="F63" s="15" t="s">
        <v>46</v>
      </c>
      <c r="G63" s="17" t="s">
        <v>60</v>
      </c>
      <c r="H63" s="14">
        <v>1</v>
      </c>
      <c r="I63" s="15" t="s">
        <v>46</v>
      </c>
      <c r="J63" s="17" t="s">
        <v>60</v>
      </c>
      <c r="K63" s="14">
        <v>1</v>
      </c>
      <c r="L63" s="15" t="s">
        <v>46</v>
      </c>
      <c r="M63" s="17" t="s">
        <v>60</v>
      </c>
      <c r="N63" s="14">
        <v>1</v>
      </c>
      <c r="O63" s="15" t="s">
        <v>46</v>
      </c>
      <c r="P63" s="17" t="s">
        <v>61</v>
      </c>
      <c r="Q63" s="14">
        <v>1</v>
      </c>
      <c r="R63" s="15" t="s">
        <v>63</v>
      </c>
      <c r="S63" s="17" t="s">
        <v>60</v>
      </c>
      <c r="T63" s="14">
        <v>1</v>
      </c>
      <c r="U63" s="15"/>
      <c r="V63" s="17"/>
      <c r="W63" s="14"/>
    </row>
    <row r="64" spans="2:23" x14ac:dyDescent="0.3">
      <c r="B64" s="18" t="s">
        <v>23</v>
      </c>
      <c r="C64" s="15" t="s">
        <v>46</v>
      </c>
      <c r="D64" s="17" t="s">
        <v>59</v>
      </c>
      <c r="E64" s="14">
        <v>1</v>
      </c>
      <c r="F64" s="15" t="s">
        <v>46</v>
      </c>
      <c r="G64" s="17" t="s">
        <v>60</v>
      </c>
      <c r="H64" s="14">
        <v>1</v>
      </c>
      <c r="I64" s="15" t="s">
        <v>46</v>
      </c>
      <c r="J64" s="17" t="s">
        <v>60</v>
      </c>
      <c r="K64" s="14">
        <v>1</v>
      </c>
      <c r="L64" s="15" t="s">
        <v>46</v>
      </c>
      <c r="M64" s="17" t="s">
        <v>60</v>
      </c>
      <c r="N64" s="14">
        <v>1</v>
      </c>
      <c r="O64" s="15" t="s">
        <v>46</v>
      </c>
      <c r="P64" s="17" t="s">
        <v>61</v>
      </c>
      <c r="Q64" s="14">
        <v>1</v>
      </c>
      <c r="R64" s="15" t="s">
        <v>63</v>
      </c>
      <c r="S64" s="17" t="s">
        <v>60</v>
      </c>
      <c r="T64" s="14">
        <v>1</v>
      </c>
      <c r="U64" s="15"/>
      <c r="V64" s="17"/>
      <c r="W64" s="14"/>
    </row>
    <row r="65" spans="2:23" x14ac:dyDescent="0.3">
      <c r="B65" s="11" t="s">
        <v>92</v>
      </c>
      <c r="C65" s="15" t="s">
        <v>46</v>
      </c>
      <c r="D65" s="17" t="s">
        <v>59</v>
      </c>
      <c r="E65" s="14">
        <v>1</v>
      </c>
      <c r="F65" s="15" t="s">
        <v>53</v>
      </c>
      <c r="G65" s="17" t="s">
        <v>53</v>
      </c>
      <c r="H65" s="14">
        <v>1</v>
      </c>
      <c r="I65" s="15" t="s">
        <v>46</v>
      </c>
      <c r="J65" s="17" t="s">
        <v>60</v>
      </c>
      <c r="K65" s="14">
        <v>1</v>
      </c>
      <c r="L65" s="15" t="s">
        <v>46</v>
      </c>
      <c r="M65" s="17" t="s">
        <v>60</v>
      </c>
      <c r="N65" s="14">
        <v>1</v>
      </c>
      <c r="O65" s="15" t="s">
        <v>46</v>
      </c>
      <c r="P65" s="17" t="s">
        <v>61</v>
      </c>
      <c r="Q65" s="14">
        <v>1</v>
      </c>
      <c r="R65" s="15" t="s">
        <v>63</v>
      </c>
      <c r="S65" s="17" t="s">
        <v>60</v>
      </c>
      <c r="T65" s="14">
        <v>1</v>
      </c>
      <c r="U65" s="15"/>
      <c r="V65" s="17"/>
      <c r="W65" s="14"/>
    </row>
    <row r="66" spans="2:23" x14ac:dyDescent="0.3">
      <c r="B66" s="18" t="s">
        <v>25</v>
      </c>
      <c r="C66" s="15" t="s">
        <v>46</v>
      </c>
      <c r="D66" s="17" t="s">
        <v>59</v>
      </c>
      <c r="E66" s="14">
        <v>1</v>
      </c>
      <c r="F66" s="15" t="s">
        <v>46</v>
      </c>
      <c r="G66" s="17" t="s">
        <v>60</v>
      </c>
      <c r="H66" s="14">
        <v>1</v>
      </c>
      <c r="I66" s="15" t="s">
        <v>46</v>
      </c>
      <c r="J66" s="17" t="s">
        <v>60</v>
      </c>
      <c r="K66" s="14">
        <v>1</v>
      </c>
      <c r="L66" s="15" t="s">
        <v>46</v>
      </c>
      <c r="M66" s="17" t="s">
        <v>60</v>
      </c>
      <c r="N66" s="14">
        <v>1</v>
      </c>
      <c r="O66" s="15" t="s">
        <v>46</v>
      </c>
      <c r="P66" s="17" t="s">
        <v>61</v>
      </c>
      <c r="Q66" s="14">
        <v>1</v>
      </c>
      <c r="R66" s="15" t="s">
        <v>63</v>
      </c>
      <c r="S66" s="17" t="s">
        <v>60</v>
      </c>
      <c r="T66" s="14">
        <v>1</v>
      </c>
      <c r="U66" s="15"/>
      <c r="V66" s="17"/>
      <c r="W66" s="14"/>
    </row>
    <row r="67" spans="2:23" x14ac:dyDescent="0.3">
      <c r="B67" s="11" t="s">
        <v>26</v>
      </c>
      <c r="C67" s="15" t="s">
        <v>55</v>
      </c>
      <c r="D67" s="17" t="s">
        <v>59</v>
      </c>
      <c r="E67" s="14">
        <v>1</v>
      </c>
      <c r="F67" s="15" t="s">
        <v>46</v>
      </c>
      <c r="G67" s="17" t="s">
        <v>60</v>
      </c>
      <c r="H67" s="14">
        <v>1</v>
      </c>
      <c r="I67" s="15" t="s">
        <v>46</v>
      </c>
      <c r="J67" s="17" t="s">
        <v>60</v>
      </c>
      <c r="K67" s="14">
        <v>1</v>
      </c>
      <c r="L67" s="15" t="s">
        <v>46</v>
      </c>
      <c r="M67" s="17" t="s">
        <v>60</v>
      </c>
      <c r="N67" s="14">
        <v>1</v>
      </c>
      <c r="O67" s="15" t="s">
        <v>46</v>
      </c>
      <c r="P67" s="17" t="s">
        <v>61</v>
      </c>
      <c r="Q67" s="14">
        <v>1</v>
      </c>
      <c r="R67" s="15" t="s">
        <v>63</v>
      </c>
      <c r="S67" s="17" t="s">
        <v>60</v>
      </c>
      <c r="T67" s="14">
        <v>1</v>
      </c>
      <c r="U67" s="15"/>
      <c r="V67" s="17"/>
      <c r="W67" s="14"/>
    </row>
    <row r="68" spans="2:23" x14ac:dyDescent="0.3">
      <c r="B68" s="18" t="s">
        <v>27</v>
      </c>
      <c r="C68" s="15" t="s">
        <v>46</v>
      </c>
      <c r="D68" s="17" t="s">
        <v>59</v>
      </c>
      <c r="E68" s="14">
        <v>1</v>
      </c>
      <c r="F68" s="15" t="s">
        <v>46</v>
      </c>
      <c r="G68" s="17" t="s">
        <v>60</v>
      </c>
      <c r="H68" s="14">
        <v>1</v>
      </c>
      <c r="I68" s="15" t="s">
        <v>46</v>
      </c>
      <c r="J68" s="17" t="s">
        <v>60</v>
      </c>
      <c r="K68" s="14">
        <v>1</v>
      </c>
      <c r="L68" s="15" t="s">
        <v>46</v>
      </c>
      <c r="M68" s="17" t="s">
        <v>60</v>
      </c>
      <c r="N68" s="14">
        <v>1</v>
      </c>
      <c r="O68" s="15" t="s">
        <v>46</v>
      </c>
      <c r="P68" s="17" t="s">
        <v>61</v>
      </c>
      <c r="Q68" s="14">
        <v>1</v>
      </c>
      <c r="R68" s="15" t="s">
        <v>63</v>
      </c>
      <c r="S68" s="17" t="s">
        <v>60</v>
      </c>
      <c r="T68" s="14">
        <v>1</v>
      </c>
      <c r="U68" s="15"/>
      <c r="V68" s="17"/>
      <c r="W68" s="14"/>
    </row>
    <row r="69" spans="2:23" x14ac:dyDescent="0.3">
      <c r="B69" s="11" t="s">
        <v>28</v>
      </c>
      <c r="C69" s="15" t="s">
        <v>46</v>
      </c>
      <c r="D69" s="17" t="s">
        <v>59</v>
      </c>
      <c r="E69" s="14">
        <v>1</v>
      </c>
      <c r="F69" s="15" t="s">
        <v>46</v>
      </c>
      <c r="G69" s="17" t="s">
        <v>60</v>
      </c>
      <c r="H69" s="14">
        <v>1</v>
      </c>
      <c r="I69" s="15" t="s">
        <v>46</v>
      </c>
      <c r="J69" s="17" t="s">
        <v>60</v>
      </c>
      <c r="K69" s="14">
        <v>1</v>
      </c>
      <c r="L69" s="15" t="s">
        <v>46</v>
      </c>
      <c r="M69" s="17" t="s">
        <v>60</v>
      </c>
      <c r="N69" s="14">
        <v>1</v>
      </c>
      <c r="O69" s="15" t="s">
        <v>46</v>
      </c>
      <c r="P69" s="17" t="s">
        <v>61</v>
      </c>
      <c r="Q69" s="14">
        <v>1</v>
      </c>
      <c r="R69" s="15" t="s">
        <v>63</v>
      </c>
      <c r="S69" s="17" t="s">
        <v>60</v>
      </c>
      <c r="T69" s="14">
        <v>1</v>
      </c>
      <c r="U69" s="15"/>
      <c r="V69" s="17"/>
      <c r="W69" s="14"/>
    </row>
    <row r="70" spans="2:23" x14ac:dyDescent="0.3">
      <c r="B70" s="18" t="s">
        <v>29</v>
      </c>
      <c r="C70" s="15" t="s">
        <v>46</v>
      </c>
      <c r="D70" s="17" t="s">
        <v>59</v>
      </c>
      <c r="E70" s="14">
        <v>1</v>
      </c>
      <c r="F70" s="15" t="s">
        <v>46</v>
      </c>
      <c r="G70" s="17" t="s">
        <v>60</v>
      </c>
      <c r="H70" s="14">
        <v>1</v>
      </c>
      <c r="I70" s="15" t="s">
        <v>46</v>
      </c>
      <c r="J70" s="17" t="s">
        <v>60</v>
      </c>
      <c r="K70" s="14">
        <v>1</v>
      </c>
      <c r="L70" s="15" t="s">
        <v>46</v>
      </c>
      <c r="M70" s="17" t="s">
        <v>60</v>
      </c>
      <c r="N70" s="14">
        <v>1</v>
      </c>
      <c r="O70" s="15" t="s">
        <v>46</v>
      </c>
      <c r="P70" s="17" t="s">
        <v>61</v>
      </c>
      <c r="Q70" s="14">
        <v>1</v>
      </c>
      <c r="R70" s="15" t="s">
        <v>63</v>
      </c>
      <c r="S70" s="17" t="s">
        <v>60</v>
      </c>
      <c r="T70" s="14">
        <v>1</v>
      </c>
      <c r="U70" s="15"/>
      <c r="V70" s="17"/>
      <c r="W70" s="14"/>
    </row>
    <row r="71" spans="2:23" x14ac:dyDescent="0.3">
      <c r="B71" s="11" t="s">
        <v>30</v>
      </c>
      <c r="C71" s="15" t="s">
        <v>46</v>
      </c>
      <c r="D71" s="17" t="s">
        <v>59</v>
      </c>
      <c r="E71" s="14">
        <v>1</v>
      </c>
      <c r="F71" s="15" t="s">
        <v>46</v>
      </c>
      <c r="G71" s="17" t="s">
        <v>60</v>
      </c>
      <c r="H71" s="14">
        <v>1</v>
      </c>
      <c r="I71" s="15" t="s">
        <v>46</v>
      </c>
      <c r="J71" s="17" t="s">
        <v>50</v>
      </c>
      <c r="K71" s="14">
        <v>1</v>
      </c>
      <c r="L71" s="15" t="s">
        <v>46</v>
      </c>
      <c r="M71" s="17" t="s">
        <v>50</v>
      </c>
      <c r="N71" s="14">
        <v>1</v>
      </c>
      <c r="O71" s="15" t="s">
        <v>46</v>
      </c>
      <c r="P71" s="17" t="s">
        <v>61</v>
      </c>
      <c r="Q71" s="14">
        <v>1</v>
      </c>
      <c r="R71" s="15" t="s">
        <v>63</v>
      </c>
      <c r="S71" s="17" t="s">
        <v>60</v>
      </c>
      <c r="T71" s="14">
        <v>1</v>
      </c>
      <c r="U71" s="15"/>
      <c r="V71" s="17"/>
      <c r="W71" s="14"/>
    </row>
    <row r="72" spans="2:23" x14ac:dyDescent="0.3">
      <c r="B72" s="18" t="s">
        <v>31</v>
      </c>
      <c r="C72" s="15" t="s">
        <v>46</v>
      </c>
      <c r="D72" s="17" t="s">
        <v>59</v>
      </c>
      <c r="E72" s="14">
        <v>1</v>
      </c>
      <c r="F72" s="15" t="s">
        <v>46</v>
      </c>
      <c r="G72" s="17" t="s">
        <v>60</v>
      </c>
      <c r="H72" s="14">
        <v>1</v>
      </c>
      <c r="I72" s="15" t="s">
        <v>46</v>
      </c>
      <c r="J72" s="17" t="s">
        <v>60</v>
      </c>
      <c r="K72" s="14">
        <v>1</v>
      </c>
      <c r="L72" s="15" t="s">
        <v>46</v>
      </c>
      <c r="M72" s="17" t="s">
        <v>60</v>
      </c>
      <c r="N72" s="14">
        <v>1</v>
      </c>
      <c r="O72" s="15" t="s">
        <v>46</v>
      </c>
      <c r="P72" s="17" t="s">
        <v>61</v>
      </c>
      <c r="Q72" s="14">
        <v>1</v>
      </c>
      <c r="R72" s="15" t="s">
        <v>63</v>
      </c>
      <c r="S72" s="17" t="s">
        <v>60</v>
      </c>
      <c r="T72" s="14">
        <v>1</v>
      </c>
      <c r="U72" s="15"/>
      <c r="V72" s="17"/>
      <c r="W72" s="14"/>
    </row>
    <row r="73" spans="2:23" x14ac:dyDescent="0.3">
      <c r="B73" s="11" t="s">
        <v>32</v>
      </c>
      <c r="C73" s="15" t="s">
        <v>46</v>
      </c>
      <c r="D73" s="17" t="s">
        <v>59</v>
      </c>
      <c r="E73" s="14">
        <v>1</v>
      </c>
      <c r="F73" s="15" t="s">
        <v>46</v>
      </c>
      <c r="G73" s="17" t="s">
        <v>60</v>
      </c>
      <c r="H73" s="14">
        <v>1</v>
      </c>
      <c r="I73" s="15" t="s">
        <v>46</v>
      </c>
      <c r="J73" s="17" t="s">
        <v>60</v>
      </c>
      <c r="K73" s="14">
        <v>1</v>
      </c>
      <c r="L73" s="15" t="s">
        <v>46</v>
      </c>
      <c r="M73" s="17" t="s">
        <v>60</v>
      </c>
      <c r="N73" s="14">
        <v>1</v>
      </c>
      <c r="O73" s="15" t="s">
        <v>46</v>
      </c>
      <c r="P73" s="17" t="s">
        <v>61</v>
      </c>
      <c r="Q73" s="14">
        <v>1</v>
      </c>
      <c r="R73" s="15" t="s">
        <v>63</v>
      </c>
      <c r="S73" s="17" t="s">
        <v>60</v>
      </c>
      <c r="T73" s="14">
        <v>1</v>
      </c>
      <c r="U73" s="15"/>
      <c r="V73" s="17"/>
      <c r="W73" s="14"/>
    </row>
    <row r="74" spans="2:23" x14ac:dyDescent="0.3">
      <c r="B74" s="18" t="s">
        <v>33</v>
      </c>
      <c r="C74" s="15" t="s">
        <v>46</v>
      </c>
      <c r="D74" s="17" t="s">
        <v>59</v>
      </c>
      <c r="E74" s="14">
        <v>1</v>
      </c>
      <c r="F74" s="15" t="s">
        <v>46</v>
      </c>
      <c r="G74" s="17" t="s">
        <v>60</v>
      </c>
      <c r="H74" s="14">
        <v>1</v>
      </c>
      <c r="I74" s="15" t="s">
        <v>46</v>
      </c>
      <c r="J74" s="17" t="s">
        <v>60</v>
      </c>
      <c r="K74" s="14">
        <v>1</v>
      </c>
      <c r="L74" s="15" t="s">
        <v>46</v>
      </c>
      <c r="M74" s="17" t="s">
        <v>60</v>
      </c>
      <c r="N74" s="14">
        <v>1</v>
      </c>
      <c r="O74" s="15" t="s">
        <v>46</v>
      </c>
      <c r="P74" s="17" t="s">
        <v>61</v>
      </c>
      <c r="Q74" s="14">
        <v>1</v>
      </c>
      <c r="R74" s="15" t="s">
        <v>63</v>
      </c>
      <c r="S74" s="17" t="s">
        <v>60</v>
      </c>
      <c r="T74" s="14">
        <v>1</v>
      </c>
      <c r="U74" s="15"/>
      <c r="V74" s="17"/>
      <c r="W74" s="14"/>
    </row>
    <row r="75" spans="2:23" x14ac:dyDescent="0.3">
      <c r="B75" s="11" t="s">
        <v>34</v>
      </c>
      <c r="C75" s="15" t="s">
        <v>52</v>
      </c>
      <c r="D75" s="17" t="s">
        <v>45</v>
      </c>
      <c r="E75" s="14">
        <v>1</v>
      </c>
      <c r="F75" s="15" t="s">
        <v>46</v>
      </c>
      <c r="G75" s="17" t="s">
        <v>60</v>
      </c>
      <c r="H75" s="14">
        <v>1</v>
      </c>
      <c r="I75" s="15" t="s">
        <v>46</v>
      </c>
      <c r="J75" s="17" t="s">
        <v>60</v>
      </c>
      <c r="K75" s="14">
        <v>1</v>
      </c>
      <c r="L75" s="15" t="s">
        <v>46</v>
      </c>
      <c r="M75" s="17" t="s">
        <v>60</v>
      </c>
      <c r="N75" s="14">
        <v>1</v>
      </c>
      <c r="O75" s="15" t="s">
        <v>46</v>
      </c>
      <c r="P75" s="17" t="s">
        <v>61</v>
      </c>
      <c r="Q75" s="14">
        <v>1</v>
      </c>
      <c r="R75" s="15" t="s">
        <v>63</v>
      </c>
      <c r="S75" s="17" t="s">
        <v>60</v>
      </c>
      <c r="T75" s="14">
        <v>1</v>
      </c>
      <c r="U75" s="15"/>
      <c r="V75" s="17"/>
      <c r="W75" s="14"/>
    </row>
    <row r="76" spans="2:23" x14ac:dyDescent="0.3">
      <c r="B76" s="18" t="s">
        <v>35</v>
      </c>
      <c r="C76" s="15" t="s">
        <v>46</v>
      </c>
      <c r="D76" s="17" t="s">
        <v>59</v>
      </c>
      <c r="E76" s="14">
        <v>1</v>
      </c>
      <c r="F76" s="15" t="s">
        <v>46</v>
      </c>
      <c r="G76" s="17" t="s">
        <v>50</v>
      </c>
      <c r="H76" s="14">
        <v>1</v>
      </c>
      <c r="I76" s="15" t="s">
        <v>46</v>
      </c>
      <c r="J76" s="17" t="s">
        <v>60</v>
      </c>
      <c r="K76" s="14">
        <v>1</v>
      </c>
      <c r="L76" s="15" t="s">
        <v>46</v>
      </c>
      <c r="M76" s="17" t="s">
        <v>60</v>
      </c>
      <c r="N76" s="14">
        <v>1</v>
      </c>
      <c r="O76" s="15" t="s">
        <v>46</v>
      </c>
      <c r="P76" s="17" t="s">
        <v>61</v>
      </c>
      <c r="Q76" s="14">
        <v>1</v>
      </c>
      <c r="R76" s="15" t="s">
        <v>57</v>
      </c>
      <c r="S76" s="17" t="s">
        <v>60</v>
      </c>
      <c r="T76" s="14">
        <v>1</v>
      </c>
      <c r="U76" s="15"/>
      <c r="V76" s="17"/>
      <c r="W76" s="14"/>
    </row>
    <row r="77" spans="2:23" x14ac:dyDescent="0.3">
      <c r="B77" s="18" t="s">
        <v>9</v>
      </c>
      <c r="C77" s="15" t="s">
        <v>52</v>
      </c>
      <c r="D77" s="17" t="s">
        <v>45</v>
      </c>
      <c r="E77" s="14">
        <v>1</v>
      </c>
      <c r="F77" s="15" t="s">
        <v>46</v>
      </c>
      <c r="G77" s="17" t="s">
        <v>60</v>
      </c>
      <c r="H77" s="14">
        <v>1</v>
      </c>
      <c r="I77" s="15" t="s">
        <v>46</v>
      </c>
      <c r="J77" s="17" t="s">
        <v>60</v>
      </c>
      <c r="K77" s="14">
        <v>1</v>
      </c>
      <c r="L77" s="15" t="s">
        <v>46</v>
      </c>
      <c r="M77" s="17" t="s">
        <v>60</v>
      </c>
      <c r="N77" s="14">
        <v>1</v>
      </c>
      <c r="O77" s="15" t="s">
        <v>46</v>
      </c>
      <c r="P77" s="17" t="s">
        <v>61</v>
      </c>
      <c r="Q77" s="14">
        <v>1</v>
      </c>
      <c r="R77" s="15" t="s">
        <v>63</v>
      </c>
      <c r="S77" s="17" t="s">
        <v>60</v>
      </c>
      <c r="T77" s="14">
        <v>1</v>
      </c>
      <c r="U77" s="15"/>
      <c r="V77" s="17"/>
      <c r="W77" s="14"/>
    </row>
    <row r="78" spans="2:23" x14ac:dyDescent="0.3">
      <c r="B78" s="18" t="s">
        <v>37</v>
      </c>
      <c r="C78" s="15"/>
      <c r="D78" s="17"/>
      <c r="E78" s="14"/>
      <c r="F78" s="15" t="s">
        <v>46</v>
      </c>
      <c r="G78" s="17" t="s">
        <v>60</v>
      </c>
      <c r="H78" s="14">
        <v>1</v>
      </c>
      <c r="I78" s="15" t="s">
        <v>46</v>
      </c>
      <c r="J78" s="17" t="s">
        <v>60</v>
      </c>
      <c r="K78" s="14">
        <v>1</v>
      </c>
      <c r="L78" s="15" t="s">
        <v>46</v>
      </c>
      <c r="M78" s="17" t="s">
        <v>60</v>
      </c>
      <c r="N78" s="14">
        <v>1</v>
      </c>
      <c r="O78" s="15" t="s">
        <v>46</v>
      </c>
      <c r="P78" s="17" t="s">
        <v>61</v>
      </c>
      <c r="Q78" s="14">
        <v>1</v>
      </c>
      <c r="R78" s="15" t="s">
        <v>63</v>
      </c>
      <c r="S78" s="17" t="s">
        <v>60</v>
      </c>
      <c r="T78" s="14">
        <v>1</v>
      </c>
      <c r="U78" s="15"/>
      <c r="V78" s="17"/>
      <c r="W78" s="14"/>
    </row>
    <row r="79" spans="2:23" x14ac:dyDescent="0.3">
      <c r="B79" s="18" t="s">
        <v>7</v>
      </c>
      <c r="C79" s="15" t="s">
        <v>46</v>
      </c>
      <c r="D79" s="17" t="s">
        <v>59</v>
      </c>
      <c r="E79" s="14">
        <v>1</v>
      </c>
      <c r="F79" s="15" t="s">
        <v>46</v>
      </c>
      <c r="G79" s="17" t="s">
        <v>60</v>
      </c>
      <c r="H79" s="14">
        <v>1</v>
      </c>
      <c r="I79" s="15" t="s">
        <v>46</v>
      </c>
      <c r="J79" s="17" t="s">
        <v>60</v>
      </c>
      <c r="K79" s="14">
        <v>1</v>
      </c>
      <c r="L79" s="15" t="s">
        <v>46</v>
      </c>
      <c r="M79" s="17" t="s">
        <v>60</v>
      </c>
      <c r="N79" s="14">
        <v>1</v>
      </c>
      <c r="O79" s="15" t="s">
        <v>46</v>
      </c>
      <c r="P79" s="17" t="s">
        <v>61</v>
      </c>
      <c r="Q79" s="14">
        <v>1</v>
      </c>
      <c r="R79" s="15" t="s">
        <v>63</v>
      </c>
      <c r="S79" s="17" t="s">
        <v>60</v>
      </c>
      <c r="T79" s="14">
        <v>1</v>
      </c>
      <c r="U79" s="15"/>
      <c r="V79" s="17"/>
      <c r="W79" s="14"/>
    </row>
    <row r="80" spans="2:23" x14ac:dyDescent="0.3">
      <c r="B80" s="18" t="s">
        <v>143</v>
      </c>
      <c r="C80" s="15"/>
      <c r="D80" s="17"/>
      <c r="E80" s="14"/>
      <c r="F80" s="15"/>
      <c r="G80" s="17"/>
      <c r="H80" s="14"/>
      <c r="I80" s="15"/>
      <c r="J80" s="17"/>
      <c r="K80" s="14"/>
      <c r="L80" s="15"/>
      <c r="M80" s="17"/>
      <c r="N80" s="14"/>
      <c r="O80" s="15" t="s">
        <v>46</v>
      </c>
      <c r="P80" s="17" t="s">
        <v>61</v>
      </c>
      <c r="Q80" s="14">
        <v>1</v>
      </c>
      <c r="R80" s="15" t="s">
        <v>57</v>
      </c>
      <c r="S80" s="17" t="s">
        <v>60</v>
      </c>
      <c r="T80" s="14">
        <v>1</v>
      </c>
      <c r="U80" s="15"/>
      <c r="V80" s="17"/>
      <c r="W80" s="14"/>
    </row>
    <row r="81" spans="2:23" x14ac:dyDescent="0.3">
      <c r="B81" s="11" t="s">
        <v>40</v>
      </c>
      <c r="C81" s="15" t="s">
        <v>46</v>
      </c>
      <c r="D81" s="17" t="s">
        <v>59</v>
      </c>
      <c r="E81" s="14">
        <v>1</v>
      </c>
      <c r="F81" s="15" t="s">
        <v>46</v>
      </c>
      <c r="G81" s="17" t="s">
        <v>60</v>
      </c>
      <c r="H81" s="14">
        <v>1</v>
      </c>
      <c r="I81" s="15" t="s">
        <v>46</v>
      </c>
      <c r="J81" s="17" t="s">
        <v>60</v>
      </c>
      <c r="K81" s="14">
        <v>1</v>
      </c>
      <c r="L81" s="15" t="s">
        <v>46</v>
      </c>
      <c r="M81" s="17" t="s">
        <v>60</v>
      </c>
      <c r="N81" s="14">
        <v>1</v>
      </c>
      <c r="O81" s="15" t="s">
        <v>46</v>
      </c>
      <c r="P81" s="17" t="s">
        <v>61</v>
      </c>
      <c r="Q81" s="14">
        <v>1</v>
      </c>
      <c r="R81" s="15" t="s">
        <v>63</v>
      </c>
      <c r="S81" s="17" t="s">
        <v>60</v>
      </c>
      <c r="T81" s="14">
        <v>1</v>
      </c>
      <c r="U81" s="15"/>
      <c r="V81" s="17"/>
      <c r="W81" s="14"/>
    </row>
    <row r="82" spans="2:23" x14ac:dyDescent="0.3">
      <c r="B82" s="11" t="s">
        <v>41</v>
      </c>
      <c r="C82" s="15"/>
      <c r="D82" s="17"/>
      <c r="E82" s="14"/>
      <c r="F82" s="15"/>
      <c r="G82" s="17"/>
      <c r="H82" s="14"/>
      <c r="I82" s="15" t="s">
        <v>46</v>
      </c>
      <c r="J82" s="17" t="s">
        <v>60</v>
      </c>
      <c r="K82" s="14">
        <v>1</v>
      </c>
      <c r="L82" s="15"/>
      <c r="M82" s="17"/>
      <c r="N82" s="14"/>
      <c r="O82" s="15" t="s">
        <v>46</v>
      </c>
      <c r="P82" s="17" t="s">
        <v>61</v>
      </c>
      <c r="Q82" s="14">
        <v>1</v>
      </c>
      <c r="R82" s="15" t="s">
        <v>63</v>
      </c>
      <c r="S82" s="17" t="s">
        <v>60</v>
      </c>
      <c r="T82" s="14">
        <v>1</v>
      </c>
      <c r="U82" s="15"/>
      <c r="V82" s="17"/>
      <c r="W82" s="14"/>
    </row>
    <row r="83" spans="2:23" x14ac:dyDescent="0.3">
      <c r="B83" s="18" t="s">
        <v>42</v>
      </c>
      <c r="C83" s="15" t="s">
        <v>46</v>
      </c>
      <c r="D83" s="17" t="s">
        <v>59</v>
      </c>
      <c r="E83" s="14">
        <v>1</v>
      </c>
      <c r="F83" s="15" t="s">
        <v>46</v>
      </c>
      <c r="G83" s="17" t="s">
        <v>60</v>
      </c>
      <c r="H83" s="14">
        <v>1</v>
      </c>
      <c r="I83" s="15" t="s">
        <v>46</v>
      </c>
      <c r="J83" s="17" t="s">
        <v>60</v>
      </c>
      <c r="K83" s="14">
        <v>1</v>
      </c>
      <c r="L83" s="15" t="s">
        <v>46</v>
      </c>
      <c r="M83" s="17" t="s">
        <v>60</v>
      </c>
      <c r="N83" s="14">
        <v>1</v>
      </c>
      <c r="O83" s="15" t="s">
        <v>46</v>
      </c>
      <c r="P83" s="17" t="s">
        <v>61</v>
      </c>
      <c r="Q83" s="14">
        <v>1</v>
      </c>
      <c r="R83" s="15" t="s">
        <v>63</v>
      </c>
      <c r="S83" s="17" t="s">
        <v>60</v>
      </c>
      <c r="T83" s="14">
        <v>1</v>
      </c>
      <c r="U83" s="15"/>
      <c r="V83" s="17"/>
      <c r="W83" s="14"/>
    </row>
    <row r="84" spans="2:23" x14ac:dyDescent="0.3">
      <c r="B84" s="18" t="s">
        <v>43</v>
      </c>
      <c r="C84" s="15" t="s">
        <v>46</v>
      </c>
      <c r="D84" s="17" t="s">
        <v>59</v>
      </c>
      <c r="E84" s="14">
        <v>1</v>
      </c>
      <c r="F84" s="15"/>
      <c r="G84" s="17"/>
      <c r="H84" s="14"/>
      <c r="I84" s="15" t="s">
        <v>46</v>
      </c>
      <c r="J84" s="17" t="s">
        <v>60</v>
      </c>
      <c r="K84" s="14">
        <v>1</v>
      </c>
      <c r="L84" s="15" t="s">
        <v>46</v>
      </c>
      <c r="M84" s="17" t="s">
        <v>60</v>
      </c>
      <c r="N84" s="14">
        <v>1</v>
      </c>
      <c r="O84" s="15" t="s">
        <v>46</v>
      </c>
      <c r="P84" s="17" t="s">
        <v>61</v>
      </c>
      <c r="Q84" s="14">
        <v>1</v>
      </c>
      <c r="R84" s="15" t="s">
        <v>63</v>
      </c>
      <c r="S84" s="17" t="s">
        <v>60</v>
      </c>
      <c r="T84" s="14">
        <v>1</v>
      </c>
      <c r="U84" s="15"/>
      <c r="V84" s="17"/>
      <c r="W84" s="14"/>
    </row>
    <row r="85" spans="2:23" x14ac:dyDescent="0.3">
      <c r="B85" s="11" t="s">
        <v>44</v>
      </c>
      <c r="C85" s="15" t="s">
        <v>46</v>
      </c>
      <c r="D85" s="17" t="s">
        <v>59</v>
      </c>
      <c r="E85" s="14">
        <v>1</v>
      </c>
      <c r="F85" s="15" t="s">
        <v>46</v>
      </c>
      <c r="G85" s="17" t="s">
        <v>50</v>
      </c>
      <c r="H85" s="14">
        <v>1</v>
      </c>
      <c r="I85" s="15" t="s">
        <v>46</v>
      </c>
      <c r="J85" s="17" t="s">
        <v>50</v>
      </c>
      <c r="K85" s="14">
        <v>1</v>
      </c>
      <c r="L85" s="15" t="s">
        <v>46</v>
      </c>
      <c r="M85" s="17" t="s">
        <v>60</v>
      </c>
      <c r="N85" s="14">
        <v>1</v>
      </c>
      <c r="O85" s="15" t="s">
        <v>46</v>
      </c>
      <c r="P85" s="17" t="s">
        <v>61</v>
      </c>
      <c r="Q85" s="14">
        <v>1</v>
      </c>
      <c r="R85" s="15" t="s">
        <v>63</v>
      </c>
      <c r="S85" s="17" t="s">
        <v>60</v>
      </c>
      <c r="T85" s="14">
        <v>1</v>
      </c>
      <c r="U85" s="15"/>
      <c r="V85" s="17"/>
      <c r="W85" s="14"/>
    </row>
    <row r="87" spans="2:23" ht="15" thickBot="1" x14ac:dyDescent="0.35"/>
    <row r="88" spans="2:23" x14ac:dyDescent="0.3">
      <c r="B88" s="2" t="s">
        <v>5</v>
      </c>
      <c r="C88" s="67">
        <v>46139</v>
      </c>
      <c r="D88" s="68"/>
      <c r="E88" s="69"/>
      <c r="F88" s="67">
        <v>46140</v>
      </c>
      <c r="G88" s="68"/>
      <c r="H88" s="69"/>
      <c r="I88" s="67">
        <v>46141</v>
      </c>
      <c r="J88" s="68"/>
      <c r="K88" s="69"/>
      <c r="L88" s="67">
        <v>46142</v>
      </c>
      <c r="M88" s="68"/>
      <c r="N88" s="69"/>
      <c r="O88" s="67">
        <v>46143</v>
      </c>
      <c r="P88" s="68"/>
      <c r="Q88" s="69"/>
      <c r="R88" s="67">
        <v>46144</v>
      </c>
      <c r="S88" s="68"/>
      <c r="T88" s="69"/>
    </row>
    <row r="89" spans="2:23" ht="15" thickBot="1" x14ac:dyDescent="0.35">
      <c r="B89" s="4" t="s">
        <v>0</v>
      </c>
      <c r="C89" s="5" t="s">
        <v>1</v>
      </c>
      <c r="D89" s="6" t="s">
        <v>2</v>
      </c>
      <c r="E89" s="7" t="s">
        <v>3</v>
      </c>
      <c r="F89" s="5" t="s">
        <v>1</v>
      </c>
      <c r="G89" s="6" t="s">
        <v>2</v>
      </c>
      <c r="H89" s="14">
        <v>1</v>
      </c>
      <c r="I89" s="5" t="s">
        <v>1</v>
      </c>
      <c r="J89" s="6" t="s">
        <v>2</v>
      </c>
      <c r="K89" s="7" t="s">
        <v>3</v>
      </c>
      <c r="L89" s="5" t="s">
        <v>1</v>
      </c>
      <c r="M89" s="6" t="s">
        <v>2</v>
      </c>
      <c r="N89" s="7" t="s">
        <v>3</v>
      </c>
      <c r="O89" s="5" t="s">
        <v>1</v>
      </c>
      <c r="P89" s="6" t="s">
        <v>2</v>
      </c>
      <c r="Q89" s="7" t="s">
        <v>3</v>
      </c>
      <c r="R89" s="5" t="s">
        <v>1</v>
      </c>
      <c r="S89" s="6" t="s">
        <v>2</v>
      </c>
      <c r="T89" s="7" t="s">
        <v>3</v>
      </c>
    </row>
    <row r="90" spans="2:23" x14ac:dyDescent="0.3">
      <c r="B90" s="11" t="s">
        <v>6</v>
      </c>
      <c r="C90" s="12" t="s">
        <v>49</v>
      </c>
      <c r="D90" s="13" t="s">
        <v>49</v>
      </c>
      <c r="E90" s="14">
        <v>1</v>
      </c>
      <c r="F90" s="12" t="s">
        <v>49</v>
      </c>
      <c r="G90" s="13" t="s">
        <v>49</v>
      </c>
      <c r="H90" s="14">
        <v>1</v>
      </c>
      <c r="I90" s="12" t="s">
        <v>49</v>
      </c>
      <c r="J90" s="13" t="s">
        <v>49</v>
      </c>
      <c r="K90" s="14">
        <v>1</v>
      </c>
      <c r="L90" s="12" t="s">
        <v>49</v>
      </c>
      <c r="M90" s="13" t="s">
        <v>49</v>
      </c>
      <c r="N90" s="14">
        <v>1</v>
      </c>
      <c r="O90" s="12" t="s">
        <v>49</v>
      </c>
      <c r="P90" s="13" t="s">
        <v>49</v>
      </c>
      <c r="Q90" s="14">
        <v>1</v>
      </c>
      <c r="R90" s="12" t="s">
        <v>49</v>
      </c>
      <c r="S90" s="13" t="s">
        <v>49</v>
      </c>
      <c r="T90" s="14">
        <v>1</v>
      </c>
    </row>
    <row r="91" spans="2:23" x14ac:dyDescent="0.3">
      <c r="B91" s="11" t="s">
        <v>10</v>
      </c>
      <c r="C91" s="16" t="s">
        <v>49</v>
      </c>
      <c r="D91" s="17" t="s">
        <v>49</v>
      </c>
      <c r="E91" s="14">
        <v>1</v>
      </c>
      <c r="F91" s="16" t="s">
        <v>49</v>
      </c>
      <c r="G91" s="17" t="s">
        <v>49</v>
      </c>
      <c r="H91" s="14">
        <v>1</v>
      </c>
      <c r="I91" s="16" t="s">
        <v>49</v>
      </c>
      <c r="J91" s="17" t="s">
        <v>49</v>
      </c>
      <c r="K91" s="14">
        <v>1</v>
      </c>
      <c r="L91" s="16" t="s">
        <v>49</v>
      </c>
      <c r="M91" s="17" t="s">
        <v>49</v>
      </c>
      <c r="N91" s="14">
        <v>1</v>
      </c>
      <c r="O91" s="16" t="s">
        <v>49</v>
      </c>
      <c r="P91" s="17" t="s">
        <v>49</v>
      </c>
      <c r="Q91" s="14">
        <v>1</v>
      </c>
      <c r="R91" s="16" t="s">
        <v>49</v>
      </c>
      <c r="S91" s="17" t="s">
        <v>49</v>
      </c>
      <c r="T91" s="14">
        <v>1</v>
      </c>
    </row>
    <row r="92" spans="2:23" x14ac:dyDescent="0.3">
      <c r="B92" s="11" t="s">
        <v>22</v>
      </c>
      <c r="C92" s="16" t="s">
        <v>48</v>
      </c>
      <c r="D92" s="17" t="s">
        <v>48</v>
      </c>
      <c r="E92" s="14">
        <v>1</v>
      </c>
      <c r="F92" s="16" t="s">
        <v>48</v>
      </c>
      <c r="G92" s="17" t="s">
        <v>48</v>
      </c>
      <c r="H92" s="14">
        <v>1</v>
      </c>
      <c r="I92" s="16" t="s">
        <v>48</v>
      </c>
      <c r="J92" s="17" t="s">
        <v>48</v>
      </c>
      <c r="K92" s="14">
        <v>1</v>
      </c>
      <c r="L92" s="16" t="s">
        <v>48</v>
      </c>
      <c r="M92" s="17" t="s">
        <v>48</v>
      </c>
      <c r="N92" s="14">
        <v>1</v>
      </c>
      <c r="O92" s="16" t="s">
        <v>49</v>
      </c>
      <c r="P92" s="17" t="s">
        <v>49</v>
      </c>
      <c r="Q92" s="14">
        <v>1</v>
      </c>
      <c r="R92" s="16" t="s">
        <v>48</v>
      </c>
      <c r="S92" s="17" t="s">
        <v>48</v>
      </c>
      <c r="T92" s="14">
        <v>1</v>
      </c>
    </row>
    <row r="93" spans="2:23" x14ac:dyDescent="0.3">
      <c r="B93" s="11" t="s">
        <v>36</v>
      </c>
      <c r="C93" s="16" t="s">
        <v>51</v>
      </c>
      <c r="D93" s="17" t="s">
        <v>50</v>
      </c>
      <c r="E93" s="14">
        <v>1</v>
      </c>
      <c r="F93" s="16" t="s">
        <v>51</v>
      </c>
      <c r="G93" s="17" t="s">
        <v>50</v>
      </c>
      <c r="H93" s="14">
        <v>1</v>
      </c>
      <c r="I93" s="16" t="s">
        <v>51</v>
      </c>
      <c r="J93" s="17" t="s">
        <v>50</v>
      </c>
      <c r="K93" s="14">
        <v>1</v>
      </c>
      <c r="L93" s="16" t="s">
        <v>51</v>
      </c>
      <c r="M93" s="17" t="s">
        <v>50</v>
      </c>
      <c r="N93" s="14">
        <v>1</v>
      </c>
      <c r="O93" s="16" t="s">
        <v>51</v>
      </c>
      <c r="P93" s="17" t="s">
        <v>50</v>
      </c>
      <c r="Q93" s="14">
        <v>1</v>
      </c>
      <c r="R93" s="16" t="s">
        <v>51</v>
      </c>
      <c r="S93" s="17" t="s">
        <v>50</v>
      </c>
      <c r="T93" s="14">
        <v>1</v>
      </c>
    </row>
    <row r="94" spans="2:23" x14ac:dyDescent="0.3">
      <c r="B94" s="11" t="s">
        <v>38</v>
      </c>
      <c r="C94" s="16" t="s">
        <v>51</v>
      </c>
      <c r="D94" s="17" t="s">
        <v>50</v>
      </c>
      <c r="E94" s="14">
        <v>1</v>
      </c>
      <c r="F94" s="16" t="s">
        <v>51</v>
      </c>
      <c r="G94" s="17" t="s">
        <v>50</v>
      </c>
      <c r="H94" s="14">
        <v>1</v>
      </c>
      <c r="I94" s="16" t="s">
        <v>51</v>
      </c>
      <c r="J94" s="17" t="s">
        <v>50</v>
      </c>
      <c r="K94" s="14">
        <v>1</v>
      </c>
      <c r="L94" s="16" t="s">
        <v>51</v>
      </c>
      <c r="M94" s="17" t="s">
        <v>50</v>
      </c>
      <c r="N94" s="14">
        <v>1</v>
      </c>
      <c r="O94" s="16" t="s">
        <v>51</v>
      </c>
      <c r="P94" s="17" t="s">
        <v>50</v>
      </c>
      <c r="Q94" s="14">
        <v>1</v>
      </c>
      <c r="R94" s="16" t="s">
        <v>51</v>
      </c>
      <c r="S94" s="17" t="s">
        <v>50</v>
      </c>
      <c r="T94" s="14">
        <v>1</v>
      </c>
    </row>
    <row r="95" spans="2:23" x14ac:dyDescent="0.3">
      <c r="B95" s="18" t="s">
        <v>11</v>
      </c>
      <c r="C95" s="15" t="s">
        <v>63</v>
      </c>
      <c r="D95" s="17" t="s">
        <v>60</v>
      </c>
      <c r="E95" s="14">
        <v>1</v>
      </c>
      <c r="F95" s="15" t="s">
        <v>63</v>
      </c>
      <c r="G95" s="17" t="s">
        <v>60</v>
      </c>
      <c r="H95" s="14">
        <v>1</v>
      </c>
      <c r="I95" s="15" t="s">
        <v>63</v>
      </c>
      <c r="J95" s="17" t="s">
        <v>60</v>
      </c>
      <c r="K95" s="14">
        <v>1</v>
      </c>
      <c r="L95" s="15" t="s">
        <v>67</v>
      </c>
      <c r="M95" s="17" t="s">
        <v>61</v>
      </c>
      <c r="N95" s="14">
        <v>1</v>
      </c>
      <c r="O95" s="15" t="s">
        <v>69</v>
      </c>
      <c r="P95" s="17" t="s">
        <v>60</v>
      </c>
      <c r="Q95" s="14">
        <v>1</v>
      </c>
      <c r="R95" s="15" t="s">
        <v>70</v>
      </c>
      <c r="S95" s="17" t="s">
        <v>71</v>
      </c>
      <c r="T95" s="14">
        <v>1</v>
      </c>
    </row>
    <row r="96" spans="2:23" x14ac:dyDescent="0.3">
      <c r="B96" s="11" t="s">
        <v>12</v>
      </c>
      <c r="C96" s="15" t="s">
        <v>63</v>
      </c>
      <c r="D96" s="17" t="s">
        <v>60</v>
      </c>
      <c r="E96" s="14">
        <v>1</v>
      </c>
      <c r="F96" s="15" t="s">
        <v>63</v>
      </c>
      <c r="G96" s="17" t="s">
        <v>60</v>
      </c>
      <c r="H96" s="14">
        <v>1</v>
      </c>
      <c r="I96" s="15" t="s">
        <v>63</v>
      </c>
      <c r="J96" s="17" t="s">
        <v>60</v>
      </c>
      <c r="K96" s="14">
        <v>1</v>
      </c>
      <c r="L96" s="15" t="s">
        <v>67</v>
      </c>
      <c r="M96" s="17" t="s">
        <v>61</v>
      </c>
      <c r="N96" s="14">
        <v>1</v>
      </c>
      <c r="O96" s="15" t="s">
        <v>69</v>
      </c>
      <c r="P96" s="17" t="s">
        <v>60</v>
      </c>
      <c r="Q96" s="14">
        <v>1</v>
      </c>
      <c r="R96" s="15" t="s">
        <v>70</v>
      </c>
      <c r="S96" s="17" t="s">
        <v>71</v>
      </c>
      <c r="T96" s="14">
        <v>1</v>
      </c>
    </row>
    <row r="97" spans="2:20" x14ac:dyDescent="0.3">
      <c r="B97" s="18" t="s">
        <v>13</v>
      </c>
      <c r="C97" s="15" t="s">
        <v>63</v>
      </c>
      <c r="D97" s="17" t="s">
        <v>60</v>
      </c>
      <c r="E97" s="14">
        <v>1</v>
      </c>
      <c r="F97" s="15" t="s">
        <v>63</v>
      </c>
      <c r="G97" s="17" t="s">
        <v>60</v>
      </c>
      <c r="H97" s="14">
        <v>1</v>
      </c>
      <c r="I97" s="15" t="s">
        <v>63</v>
      </c>
      <c r="J97" s="17" t="s">
        <v>60</v>
      </c>
      <c r="K97" s="14">
        <v>1</v>
      </c>
      <c r="L97" s="15" t="s">
        <v>67</v>
      </c>
      <c r="M97" s="17" t="s">
        <v>61</v>
      </c>
      <c r="N97" s="14">
        <v>1</v>
      </c>
      <c r="O97" s="15" t="s">
        <v>69</v>
      </c>
      <c r="P97" s="17" t="s">
        <v>60</v>
      </c>
      <c r="Q97" s="14">
        <v>1</v>
      </c>
      <c r="R97" s="15" t="s">
        <v>70</v>
      </c>
      <c r="S97" s="17" t="s">
        <v>71</v>
      </c>
      <c r="T97" s="14">
        <v>1</v>
      </c>
    </row>
    <row r="98" spans="2:20" x14ac:dyDescent="0.3">
      <c r="B98" s="11" t="s">
        <v>14</v>
      </c>
      <c r="C98" s="15" t="s">
        <v>63</v>
      </c>
      <c r="D98" s="17" t="s">
        <v>60</v>
      </c>
      <c r="E98" s="14">
        <v>1</v>
      </c>
      <c r="F98" s="15" t="s">
        <v>63</v>
      </c>
      <c r="G98" s="17" t="s">
        <v>60</v>
      </c>
      <c r="H98" s="14">
        <v>1</v>
      </c>
      <c r="I98" s="15" t="s">
        <v>63</v>
      </c>
      <c r="J98" s="17" t="s">
        <v>60</v>
      </c>
      <c r="K98" s="14">
        <v>1</v>
      </c>
      <c r="L98" s="15" t="s">
        <v>67</v>
      </c>
      <c r="M98" s="17" t="s">
        <v>61</v>
      </c>
      <c r="N98" s="14">
        <v>1</v>
      </c>
      <c r="O98" s="15" t="s">
        <v>69</v>
      </c>
      <c r="P98" s="17" t="s">
        <v>60</v>
      </c>
      <c r="Q98" s="14">
        <v>1</v>
      </c>
      <c r="R98" s="15" t="s">
        <v>70</v>
      </c>
      <c r="S98" s="17" t="s">
        <v>71</v>
      </c>
      <c r="T98" s="14">
        <v>1</v>
      </c>
    </row>
    <row r="99" spans="2:20" x14ac:dyDescent="0.3">
      <c r="B99" s="18" t="s">
        <v>15</v>
      </c>
      <c r="C99" s="15" t="s">
        <v>63</v>
      </c>
      <c r="D99" s="17" t="s">
        <v>60</v>
      </c>
      <c r="E99" s="14">
        <v>1</v>
      </c>
      <c r="F99" s="15" t="s">
        <v>63</v>
      </c>
      <c r="G99" s="17" t="s">
        <v>60</v>
      </c>
      <c r="H99" s="14">
        <v>1</v>
      </c>
      <c r="I99" s="15" t="s">
        <v>63</v>
      </c>
      <c r="J99" s="17" t="s">
        <v>60</v>
      </c>
      <c r="K99" s="14">
        <v>1</v>
      </c>
      <c r="L99" s="15" t="s">
        <v>67</v>
      </c>
      <c r="M99" s="17" t="s">
        <v>61</v>
      </c>
      <c r="N99" s="14">
        <v>1</v>
      </c>
      <c r="O99" s="15" t="s">
        <v>69</v>
      </c>
      <c r="P99" s="17" t="s">
        <v>60</v>
      </c>
      <c r="Q99" s="14">
        <v>1</v>
      </c>
      <c r="R99" s="15" t="s">
        <v>70</v>
      </c>
      <c r="S99" s="17" t="s">
        <v>71</v>
      </c>
      <c r="T99" s="14">
        <v>1</v>
      </c>
    </row>
    <row r="100" spans="2:20" x14ac:dyDescent="0.3">
      <c r="B100" s="11" t="s">
        <v>16</v>
      </c>
      <c r="C100" s="15" t="s">
        <v>63</v>
      </c>
      <c r="D100" s="17" t="s">
        <v>60</v>
      </c>
      <c r="E100" s="14">
        <v>1</v>
      </c>
      <c r="F100" s="15" t="s">
        <v>63</v>
      </c>
      <c r="G100" s="17" t="s">
        <v>60</v>
      </c>
      <c r="H100" s="14">
        <v>1</v>
      </c>
      <c r="I100" s="15" t="s">
        <v>63</v>
      </c>
      <c r="J100" s="17" t="s">
        <v>60</v>
      </c>
      <c r="K100" s="14">
        <v>1</v>
      </c>
      <c r="L100" s="15" t="s">
        <v>67</v>
      </c>
      <c r="M100" s="17" t="s">
        <v>61</v>
      </c>
      <c r="N100" s="14">
        <v>1</v>
      </c>
      <c r="O100" s="15" t="s">
        <v>69</v>
      </c>
      <c r="P100" s="17" t="s">
        <v>60</v>
      </c>
      <c r="Q100" s="14">
        <v>1</v>
      </c>
      <c r="R100" s="15" t="s">
        <v>70</v>
      </c>
      <c r="S100" s="17" t="s">
        <v>71</v>
      </c>
      <c r="T100" s="14">
        <v>1</v>
      </c>
    </row>
    <row r="101" spans="2:20" x14ac:dyDescent="0.3">
      <c r="B101" s="18" t="s">
        <v>17</v>
      </c>
      <c r="C101" s="15" t="s">
        <v>63</v>
      </c>
      <c r="D101" s="17" t="s">
        <v>60</v>
      </c>
      <c r="E101" s="14">
        <v>1</v>
      </c>
      <c r="F101" s="15" t="s">
        <v>63</v>
      </c>
      <c r="G101" s="17" t="s">
        <v>60</v>
      </c>
      <c r="H101" s="14">
        <v>1</v>
      </c>
      <c r="I101" s="15" t="s">
        <v>63</v>
      </c>
      <c r="J101" s="17" t="s">
        <v>60</v>
      </c>
      <c r="K101" s="14">
        <v>1</v>
      </c>
      <c r="L101" s="15" t="s">
        <v>67</v>
      </c>
      <c r="M101" s="17" t="s">
        <v>61</v>
      </c>
      <c r="N101" s="14">
        <v>1</v>
      </c>
      <c r="O101" s="15" t="s">
        <v>69</v>
      </c>
      <c r="P101" s="17" t="s">
        <v>60</v>
      </c>
      <c r="Q101" s="14">
        <v>1</v>
      </c>
      <c r="R101" s="15" t="s">
        <v>70</v>
      </c>
      <c r="S101" s="17" t="s">
        <v>71</v>
      </c>
      <c r="T101" s="14">
        <v>1</v>
      </c>
    </row>
    <row r="102" spans="2:20" x14ac:dyDescent="0.3">
      <c r="B102" s="11" t="s">
        <v>18</v>
      </c>
      <c r="C102" s="15" t="s">
        <v>63</v>
      </c>
      <c r="D102" s="17" t="s">
        <v>60</v>
      </c>
      <c r="E102" s="14">
        <v>1</v>
      </c>
      <c r="F102" s="15" t="s">
        <v>63</v>
      </c>
      <c r="G102" s="17" t="s">
        <v>60</v>
      </c>
      <c r="H102" s="14">
        <v>1</v>
      </c>
      <c r="I102" s="15" t="s">
        <v>66</v>
      </c>
      <c r="J102" s="17" t="s">
        <v>65</v>
      </c>
      <c r="K102" s="14">
        <v>1</v>
      </c>
      <c r="L102" s="15" t="s">
        <v>66</v>
      </c>
      <c r="M102" s="17" t="s">
        <v>68</v>
      </c>
      <c r="N102" s="14">
        <v>1</v>
      </c>
      <c r="O102" s="15" t="s">
        <v>69</v>
      </c>
      <c r="P102" s="17" t="s">
        <v>60</v>
      </c>
      <c r="Q102" s="14">
        <v>1</v>
      </c>
      <c r="R102" s="15" t="s">
        <v>70</v>
      </c>
      <c r="S102" s="17" t="s">
        <v>71</v>
      </c>
      <c r="T102" s="14">
        <v>1</v>
      </c>
    </row>
    <row r="103" spans="2:20" x14ac:dyDescent="0.3">
      <c r="B103" s="18" t="s">
        <v>19</v>
      </c>
      <c r="C103" s="15" t="s">
        <v>63</v>
      </c>
      <c r="D103" s="17" t="s">
        <v>60</v>
      </c>
      <c r="E103" s="14">
        <v>1</v>
      </c>
      <c r="F103" s="15" t="s">
        <v>63</v>
      </c>
      <c r="G103" s="17" t="s">
        <v>60</v>
      </c>
      <c r="H103" s="14">
        <v>1</v>
      </c>
      <c r="I103" s="15" t="s">
        <v>63</v>
      </c>
      <c r="J103" s="17" t="s">
        <v>60</v>
      </c>
      <c r="K103" s="14">
        <v>1</v>
      </c>
      <c r="L103" s="15" t="s">
        <v>67</v>
      </c>
      <c r="M103" s="17" t="s">
        <v>61</v>
      </c>
      <c r="N103" s="14">
        <v>1</v>
      </c>
      <c r="O103" s="15" t="s">
        <v>69</v>
      </c>
      <c r="P103" s="17" t="s">
        <v>60</v>
      </c>
      <c r="Q103" s="14">
        <v>1</v>
      </c>
      <c r="R103" s="15" t="s">
        <v>70</v>
      </c>
      <c r="S103" s="17" t="s">
        <v>71</v>
      </c>
      <c r="T103" s="14">
        <v>1</v>
      </c>
    </row>
    <row r="104" spans="2:20" x14ac:dyDescent="0.3">
      <c r="B104" s="11" t="s">
        <v>20</v>
      </c>
      <c r="C104" s="15" t="s">
        <v>64</v>
      </c>
      <c r="D104" s="17" t="s">
        <v>62</v>
      </c>
      <c r="E104" s="14">
        <v>1</v>
      </c>
      <c r="F104" s="15" t="s">
        <v>64</v>
      </c>
      <c r="G104" s="17" t="s">
        <v>62</v>
      </c>
      <c r="H104" s="14">
        <v>1</v>
      </c>
      <c r="I104" s="15" t="s">
        <v>63</v>
      </c>
      <c r="J104" s="17" t="s">
        <v>60</v>
      </c>
      <c r="K104" s="14">
        <v>1</v>
      </c>
      <c r="L104" s="15" t="s">
        <v>67</v>
      </c>
      <c r="M104" s="17" t="s">
        <v>61</v>
      </c>
      <c r="N104" s="14">
        <v>1</v>
      </c>
      <c r="O104" s="15" t="s">
        <v>69</v>
      </c>
      <c r="P104" s="17" t="s">
        <v>60</v>
      </c>
      <c r="Q104" s="14">
        <v>1</v>
      </c>
      <c r="R104" s="15" t="s">
        <v>70</v>
      </c>
      <c r="S104" s="17" t="s">
        <v>71</v>
      </c>
      <c r="T104" s="14">
        <v>1</v>
      </c>
    </row>
    <row r="105" spans="2:20" x14ac:dyDescent="0.3">
      <c r="B105" s="18" t="s">
        <v>21</v>
      </c>
      <c r="C105" s="15" t="s">
        <v>63</v>
      </c>
      <c r="D105" s="17" t="s">
        <v>60</v>
      </c>
      <c r="E105" s="14">
        <v>1</v>
      </c>
      <c r="F105" s="15" t="s">
        <v>63</v>
      </c>
      <c r="G105" s="17" t="s">
        <v>60</v>
      </c>
      <c r="H105" s="14">
        <v>1</v>
      </c>
      <c r="I105" s="15" t="s">
        <v>63</v>
      </c>
      <c r="J105" s="17" t="s">
        <v>60</v>
      </c>
      <c r="K105" s="14">
        <v>1</v>
      </c>
      <c r="L105" s="15" t="s">
        <v>67</v>
      </c>
      <c r="M105" s="17" t="s">
        <v>61</v>
      </c>
      <c r="N105" s="14">
        <v>1</v>
      </c>
      <c r="O105" s="15" t="s">
        <v>69</v>
      </c>
      <c r="P105" s="17" t="s">
        <v>60</v>
      </c>
      <c r="Q105" s="14">
        <v>1</v>
      </c>
      <c r="R105" s="15" t="s">
        <v>70</v>
      </c>
      <c r="S105" s="17" t="s">
        <v>71</v>
      </c>
      <c r="T105" s="14">
        <v>1</v>
      </c>
    </row>
    <row r="106" spans="2:20" x14ac:dyDescent="0.3">
      <c r="B106" s="11" t="s">
        <v>8</v>
      </c>
      <c r="C106" s="15" t="s">
        <v>63</v>
      </c>
      <c r="D106" s="17" t="s">
        <v>60</v>
      </c>
      <c r="E106" s="14">
        <v>1</v>
      </c>
      <c r="F106" s="15" t="s">
        <v>63</v>
      </c>
      <c r="G106" s="17" t="s">
        <v>60</v>
      </c>
      <c r="H106" s="14">
        <v>1</v>
      </c>
      <c r="I106" s="15" t="s">
        <v>63</v>
      </c>
      <c r="J106" s="17" t="s">
        <v>60</v>
      </c>
      <c r="K106" s="14">
        <v>1</v>
      </c>
      <c r="L106" s="15" t="s">
        <v>67</v>
      </c>
      <c r="M106" s="17" t="s">
        <v>61</v>
      </c>
      <c r="N106" s="14">
        <v>1</v>
      </c>
      <c r="O106" s="15" t="s">
        <v>69</v>
      </c>
      <c r="P106" s="17" t="s">
        <v>60</v>
      </c>
      <c r="Q106" s="14">
        <v>1</v>
      </c>
      <c r="R106" s="15" t="s">
        <v>70</v>
      </c>
      <c r="S106" s="17" t="s">
        <v>71</v>
      </c>
      <c r="T106" s="14">
        <v>1</v>
      </c>
    </row>
    <row r="107" spans="2:20" x14ac:dyDescent="0.3">
      <c r="B107" s="18" t="s">
        <v>23</v>
      </c>
      <c r="C107" s="15" t="s">
        <v>63</v>
      </c>
      <c r="D107" s="17" t="s">
        <v>60</v>
      </c>
      <c r="E107" s="14">
        <v>1</v>
      </c>
      <c r="F107" s="15" t="s">
        <v>63</v>
      </c>
      <c r="G107" s="17" t="s">
        <v>60</v>
      </c>
      <c r="H107" s="14">
        <v>1</v>
      </c>
      <c r="I107" s="15" t="s">
        <v>66</v>
      </c>
      <c r="J107" s="17" t="s">
        <v>65</v>
      </c>
      <c r="K107" s="14">
        <v>1</v>
      </c>
      <c r="L107" s="15" t="s">
        <v>67</v>
      </c>
      <c r="M107" s="17" t="s">
        <v>61</v>
      </c>
      <c r="N107" s="14">
        <v>1</v>
      </c>
      <c r="O107" s="15" t="s">
        <v>69</v>
      </c>
      <c r="P107" s="17" t="s">
        <v>60</v>
      </c>
      <c r="Q107" s="14">
        <v>1</v>
      </c>
      <c r="R107" s="15" t="s">
        <v>70</v>
      </c>
      <c r="S107" s="17" t="s">
        <v>71</v>
      </c>
      <c r="T107" s="14">
        <v>1</v>
      </c>
    </row>
    <row r="108" spans="2:20" x14ac:dyDescent="0.3">
      <c r="B108" s="11" t="s">
        <v>92</v>
      </c>
      <c r="C108" s="15" t="s">
        <v>63</v>
      </c>
      <c r="D108" s="17" t="s">
        <v>60</v>
      </c>
      <c r="E108" s="14">
        <v>1</v>
      </c>
      <c r="F108" s="15" t="s">
        <v>63</v>
      </c>
      <c r="G108" s="17" t="s">
        <v>60</v>
      </c>
      <c r="H108" s="14">
        <v>1</v>
      </c>
      <c r="I108" s="15" t="s">
        <v>63</v>
      </c>
      <c r="J108" s="17" t="s">
        <v>60</v>
      </c>
      <c r="K108" s="14">
        <v>1</v>
      </c>
      <c r="L108" s="15" t="s">
        <v>67</v>
      </c>
      <c r="M108" s="17" t="s">
        <v>61</v>
      </c>
      <c r="N108" s="14">
        <v>1</v>
      </c>
      <c r="O108" s="15" t="s">
        <v>69</v>
      </c>
      <c r="P108" s="17" t="s">
        <v>60</v>
      </c>
      <c r="Q108" s="14">
        <v>1</v>
      </c>
      <c r="R108" s="15" t="s">
        <v>70</v>
      </c>
      <c r="S108" s="17" t="s">
        <v>71</v>
      </c>
      <c r="T108" s="14">
        <v>1</v>
      </c>
    </row>
    <row r="109" spans="2:20" x14ac:dyDescent="0.3">
      <c r="B109" s="18" t="s">
        <v>25</v>
      </c>
      <c r="C109" s="15" t="s">
        <v>63</v>
      </c>
      <c r="D109" s="17" t="s">
        <v>60</v>
      </c>
      <c r="E109" s="14">
        <v>1</v>
      </c>
      <c r="F109" s="15" t="s">
        <v>63</v>
      </c>
      <c r="G109" s="17" t="s">
        <v>60</v>
      </c>
      <c r="H109" s="14">
        <v>1</v>
      </c>
      <c r="I109" s="15" t="s">
        <v>63</v>
      </c>
      <c r="J109" s="17" t="s">
        <v>60</v>
      </c>
      <c r="K109" s="14">
        <v>1</v>
      </c>
      <c r="L109" s="15" t="s">
        <v>67</v>
      </c>
      <c r="M109" s="17" t="s">
        <v>61</v>
      </c>
      <c r="N109" s="14">
        <v>1</v>
      </c>
      <c r="O109" s="15" t="s">
        <v>69</v>
      </c>
      <c r="P109" s="17" t="s">
        <v>60</v>
      </c>
      <c r="Q109" s="14">
        <v>1</v>
      </c>
      <c r="R109" s="15" t="s">
        <v>70</v>
      </c>
      <c r="S109" s="17" t="s">
        <v>71</v>
      </c>
      <c r="T109" s="14">
        <v>1</v>
      </c>
    </row>
    <row r="110" spans="2:20" x14ac:dyDescent="0.3">
      <c r="B110" s="11" t="s">
        <v>26</v>
      </c>
      <c r="C110" s="15" t="s">
        <v>63</v>
      </c>
      <c r="D110" s="17" t="s">
        <v>60</v>
      </c>
      <c r="E110" s="14">
        <v>1</v>
      </c>
      <c r="F110" s="15" t="s">
        <v>63</v>
      </c>
      <c r="G110" s="17" t="s">
        <v>60</v>
      </c>
      <c r="H110" s="14">
        <v>1</v>
      </c>
      <c r="I110" s="15" t="s">
        <v>63</v>
      </c>
      <c r="J110" s="17" t="s">
        <v>60</v>
      </c>
      <c r="K110" s="14">
        <v>1</v>
      </c>
      <c r="L110" s="15" t="s">
        <v>67</v>
      </c>
      <c r="M110" s="17" t="s">
        <v>61</v>
      </c>
      <c r="N110" s="14">
        <v>1</v>
      </c>
      <c r="O110" s="15" t="s">
        <v>69</v>
      </c>
      <c r="P110" s="17" t="s">
        <v>60</v>
      </c>
      <c r="Q110" s="14">
        <v>1</v>
      </c>
      <c r="R110" s="15" t="s">
        <v>70</v>
      </c>
      <c r="S110" s="17" t="s">
        <v>71</v>
      </c>
      <c r="T110" s="14">
        <v>1</v>
      </c>
    </row>
    <row r="111" spans="2:20" x14ac:dyDescent="0.3">
      <c r="B111" s="18" t="s">
        <v>27</v>
      </c>
      <c r="C111" s="15" t="s">
        <v>63</v>
      </c>
      <c r="D111" s="17" t="s">
        <v>60</v>
      </c>
      <c r="E111" s="14">
        <v>1</v>
      </c>
      <c r="F111" s="15" t="s">
        <v>63</v>
      </c>
      <c r="G111" s="17" t="s">
        <v>60</v>
      </c>
      <c r="H111" s="14">
        <v>1</v>
      </c>
      <c r="I111" s="15" t="s">
        <v>63</v>
      </c>
      <c r="J111" s="17" t="s">
        <v>60</v>
      </c>
      <c r="K111" s="14">
        <v>1</v>
      </c>
      <c r="L111" s="15" t="s">
        <v>67</v>
      </c>
      <c r="M111" s="17" t="s">
        <v>61</v>
      </c>
      <c r="N111" s="14">
        <v>1</v>
      </c>
      <c r="O111" s="15" t="s">
        <v>69</v>
      </c>
      <c r="P111" s="17" t="s">
        <v>60</v>
      </c>
      <c r="Q111" s="14">
        <v>1</v>
      </c>
      <c r="R111" s="15" t="s">
        <v>70</v>
      </c>
      <c r="S111" s="17" t="s">
        <v>71</v>
      </c>
      <c r="T111" s="14">
        <v>1</v>
      </c>
    </row>
    <row r="112" spans="2:20" x14ac:dyDescent="0.3">
      <c r="B112" s="11" t="s">
        <v>28</v>
      </c>
      <c r="C112" s="15" t="s">
        <v>63</v>
      </c>
      <c r="D112" s="17" t="s">
        <v>60</v>
      </c>
      <c r="E112" s="14">
        <v>1</v>
      </c>
      <c r="F112" s="15" t="s">
        <v>63</v>
      </c>
      <c r="G112" s="17" t="s">
        <v>60</v>
      </c>
      <c r="H112" s="14">
        <v>1</v>
      </c>
      <c r="I112" s="15" t="s">
        <v>63</v>
      </c>
      <c r="J112" s="17" t="s">
        <v>60</v>
      </c>
      <c r="K112" s="14">
        <v>1</v>
      </c>
      <c r="L112" s="15" t="s">
        <v>67</v>
      </c>
      <c r="M112" s="17" t="s">
        <v>61</v>
      </c>
      <c r="N112" s="14">
        <v>1</v>
      </c>
      <c r="O112" s="15" t="s">
        <v>69</v>
      </c>
      <c r="P112" s="17" t="s">
        <v>60</v>
      </c>
      <c r="Q112" s="14">
        <v>1</v>
      </c>
      <c r="R112" s="15" t="s">
        <v>70</v>
      </c>
      <c r="S112" s="17" t="s">
        <v>71</v>
      </c>
      <c r="T112" s="14">
        <v>1</v>
      </c>
    </row>
    <row r="113" spans="2:20" x14ac:dyDescent="0.3">
      <c r="B113" s="18" t="s">
        <v>29</v>
      </c>
      <c r="C113" s="15" t="s">
        <v>63</v>
      </c>
      <c r="D113" s="17" t="s">
        <v>60</v>
      </c>
      <c r="E113" s="14">
        <v>1</v>
      </c>
      <c r="F113" s="15" t="s">
        <v>63</v>
      </c>
      <c r="G113" s="17" t="s">
        <v>60</v>
      </c>
      <c r="H113" s="14">
        <v>1</v>
      </c>
      <c r="I113" s="15" t="s">
        <v>63</v>
      </c>
      <c r="J113" s="17" t="s">
        <v>60</v>
      </c>
      <c r="K113" s="14">
        <v>1</v>
      </c>
      <c r="L113" s="15" t="s">
        <v>67</v>
      </c>
      <c r="M113" s="17" t="s">
        <v>61</v>
      </c>
      <c r="N113" s="14">
        <v>1</v>
      </c>
      <c r="O113" s="15" t="s">
        <v>69</v>
      </c>
      <c r="P113" s="17" t="s">
        <v>60</v>
      </c>
      <c r="Q113" s="14">
        <v>1</v>
      </c>
      <c r="R113" s="15" t="s">
        <v>70</v>
      </c>
      <c r="S113" s="17" t="s">
        <v>71</v>
      </c>
      <c r="T113" s="14">
        <v>1</v>
      </c>
    </row>
    <row r="114" spans="2:20" x14ac:dyDescent="0.3">
      <c r="B114" s="11" t="s">
        <v>30</v>
      </c>
      <c r="C114" s="15" t="s">
        <v>63</v>
      </c>
      <c r="D114" s="17" t="s">
        <v>60</v>
      </c>
      <c r="E114" s="14">
        <v>1</v>
      </c>
      <c r="F114" s="15" t="s">
        <v>63</v>
      </c>
      <c r="G114" s="17" t="s">
        <v>60</v>
      </c>
      <c r="H114" s="14">
        <v>1</v>
      </c>
      <c r="I114" s="15" t="s">
        <v>63</v>
      </c>
      <c r="J114" s="17" t="s">
        <v>60</v>
      </c>
      <c r="K114" s="14">
        <v>1</v>
      </c>
      <c r="L114" s="15" t="s">
        <v>67</v>
      </c>
      <c r="M114" s="17" t="s">
        <v>61</v>
      </c>
      <c r="N114" s="14">
        <v>1</v>
      </c>
      <c r="O114" s="15" t="s">
        <v>69</v>
      </c>
      <c r="P114" s="17" t="s">
        <v>60</v>
      </c>
      <c r="Q114" s="14">
        <v>1</v>
      </c>
      <c r="R114" s="15" t="s">
        <v>70</v>
      </c>
      <c r="S114" s="17" t="s">
        <v>71</v>
      </c>
      <c r="T114" s="14">
        <v>1</v>
      </c>
    </row>
    <row r="115" spans="2:20" x14ac:dyDescent="0.3">
      <c r="B115" s="18" t="s">
        <v>31</v>
      </c>
      <c r="C115" s="15" t="s">
        <v>63</v>
      </c>
      <c r="D115" s="17" t="s">
        <v>60</v>
      </c>
      <c r="E115" s="14">
        <v>1</v>
      </c>
      <c r="F115" s="15" t="s">
        <v>63</v>
      </c>
      <c r="G115" s="17" t="s">
        <v>60</v>
      </c>
      <c r="H115" s="14">
        <v>1</v>
      </c>
      <c r="I115" s="15" t="s">
        <v>63</v>
      </c>
      <c r="J115" s="17" t="s">
        <v>60</v>
      </c>
      <c r="K115" s="14">
        <v>1</v>
      </c>
      <c r="L115" s="15" t="s">
        <v>67</v>
      </c>
      <c r="M115" s="17" t="s">
        <v>61</v>
      </c>
      <c r="N115" s="14">
        <v>1</v>
      </c>
      <c r="O115" s="15" t="s">
        <v>69</v>
      </c>
      <c r="P115" s="17" t="s">
        <v>60</v>
      </c>
      <c r="Q115" s="14">
        <v>1</v>
      </c>
      <c r="R115" s="15" t="s">
        <v>70</v>
      </c>
      <c r="S115" s="17" t="s">
        <v>71</v>
      </c>
      <c r="T115" s="14">
        <v>1</v>
      </c>
    </row>
    <row r="116" spans="2:20" x14ac:dyDescent="0.3">
      <c r="B116" s="11" t="s">
        <v>32</v>
      </c>
      <c r="C116" s="15"/>
      <c r="D116" s="17"/>
      <c r="E116" s="14"/>
      <c r="F116" s="15" t="s">
        <v>63</v>
      </c>
      <c r="G116" s="17" t="s">
        <v>60</v>
      </c>
      <c r="H116" s="14">
        <v>1</v>
      </c>
      <c r="I116" s="15" t="s">
        <v>63</v>
      </c>
      <c r="J116" s="17" t="s">
        <v>60</v>
      </c>
      <c r="K116" s="14">
        <v>1</v>
      </c>
      <c r="L116" s="15" t="s">
        <v>66</v>
      </c>
      <c r="M116" s="17" t="s">
        <v>68</v>
      </c>
      <c r="N116" s="14">
        <v>1</v>
      </c>
      <c r="O116" s="15" t="s">
        <v>69</v>
      </c>
      <c r="P116" s="17" t="s">
        <v>60</v>
      </c>
      <c r="Q116" s="14">
        <v>1</v>
      </c>
      <c r="R116" s="15" t="s">
        <v>70</v>
      </c>
      <c r="S116" s="17" t="s">
        <v>71</v>
      </c>
      <c r="T116" s="14">
        <v>1</v>
      </c>
    </row>
    <row r="117" spans="2:20" x14ac:dyDescent="0.3">
      <c r="B117" s="18" t="s">
        <v>33</v>
      </c>
      <c r="C117" s="15" t="s">
        <v>63</v>
      </c>
      <c r="D117" s="17" t="s">
        <v>60</v>
      </c>
      <c r="E117" s="14">
        <v>1</v>
      </c>
      <c r="F117" s="15" t="s">
        <v>63</v>
      </c>
      <c r="G117" s="17" t="s">
        <v>60</v>
      </c>
      <c r="H117" s="14">
        <v>1</v>
      </c>
      <c r="I117" s="15" t="s">
        <v>63</v>
      </c>
      <c r="J117" s="17" t="s">
        <v>60</v>
      </c>
      <c r="K117" s="14">
        <v>1</v>
      </c>
      <c r="L117" s="15" t="s">
        <v>67</v>
      </c>
      <c r="M117" s="17" t="s">
        <v>61</v>
      </c>
      <c r="N117" s="14">
        <v>1</v>
      </c>
      <c r="O117" s="15" t="s">
        <v>69</v>
      </c>
      <c r="P117" s="17" t="s">
        <v>60</v>
      </c>
      <c r="Q117" s="14">
        <v>1</v>
      </c>
      <c r="R117" s="15" t="s">
        <v>70</v>
      </c>
      <c r="S117" s="17" t="s">
        <v>71</v>
      </c>
      <c r="T117" s="14">
        <v>1</v>
      </c>
    </row>
    <row r="118" spans="2:20" x14ac:dyDescent="0.3">
      <c r="B118" s="11" t="s">
        <v>34</v>
      </c>
      <c r="C118" s="15" t="s">
        <v>63</v>
      </c>
      <c r="D118" s="17" t="s">
        <v>60</v>
      </c>
      <c r="E118" s="14">
        <v>1</v>
      </c>
      <c r="F118" s="15" t="s">
        <v>63</v>
      </c>
      <c r="G118" s="17" t="s">
        <v>60</v>
      </c>
      <c r="H118" s="14">
        <v>1</v>
      </c>
      <c r="I118" s="15" t="s">
        <v>63</v>
      </c>
      <c r="J118" s="17" t="s">
        <v>60</v>
      </c>
      <c r="K118" s="14">
        <v>1</v>
      </c>
      <c r="L118" s="15" t="s">
        <v>67</v>
      </c>
      <c r="M118" s="17" t="s">
        <v>61</v>
      </c>
      <c r="N118" s="14">
        <v>1</v>
      </c>
      <c r="O118" s="15" t="s">
        <v>69</v>
      </c>
      <c r="P118" s="17" t="s">
        <v>60</v>
      </c>
      <c r="Q118" s="14">
        <v>1</v>
      </c>
      <c r="R118" s="15" t="s">
        <v>70</v>
      </c>
      <c r="S118" s="17" t="s">
        <v>71</v>
      </c>
      <c r="T118" s="14">
        <v>1</v>
      </c>
    </row>
    <row r="119" spans="2:20" x14ac:dyDescent="0.3">
      <c r="B119" s="18" t="s">
        <v>35</v>
      </c>
      <c r="C119" s="15" t="s">
        <v>63</v>
      </c>
      <c r="D119" s="17" t="s">
        <v>60</v>
      </c>
      <c r="E119" s="14">
        <v>1</v>
      </c>
      <c r="F119" s="15" t="s">
        <v>63</v>
      </c>
      <c r="G119" s="17" t="s">
        <v>60</v>
      </c>
      <c r="H119" s="14">
        <v>1</v>
      </c>
      <c r="I119" s="15" t="s">
        <v>63</v>
      </c>
      <c r="J119" s="17" t="s">
        <v>60</v>
      </c>
      <c r="K119" s="14">
        <v>1</v>
      </c>
      <c r="L119" s="15" t="s">
        <v>67</v>
      </c>
      <c r="M119" s="17" t="s">
        <v>61</v>
      </c>
      <c r="N119" s="14">
        <v>1</v>
      </c>
      <c r="O119" s="15" t="s">
        <v>69</v>
      </c>
      <c r="P119" s="17" t="s">
        <v>60</v>
      </c>
      <c r="Q119" s="14">
        <v>1</v>
      </c>
      <c r="R119" s="15" t="s">
        <v>70</v>
      </c>
      <c r="S119" s="17" t="s">
        <v>71</v>
      </c>
      <c r="T119" s="14">
        <v>1</v>
      </c>
    </row>
    <row r="120" spans="2:20" x14ac:dyDescent="0.3">
      <c r="B120" s="18" t="s">
        <v>9</v>
      </c>
      <c r="C120" s="15" t="s">
        <v>63</v>
      </c>
      <c r="D120" s="17" t="s">
        <v>60</v>
      </c>
      <c r="E120" s="14">
        <v>1</v>
      </c>
      <c r="F120" s="15" t="s">
        <v>63</v>
      </c>
      <c r="G120" s="17" t="s">
        <v>60</v>
      </c>
      <c r="H120" s="14">
        <v>1</v>
      </c>
      <c r="I120" s="15" t="s">
        <v>63</v>
      </c>
      <c r="J120" s="17" t="s">
        <v>60</v>
      </c>
      <c r="K120" s="14">
        <v>1</v>
      </c>
      <c r="L120" s="15" t="s">
        <v>67</v>
      </c>
      <c r="M120" s="17" t="s">
        <v>61</v>
      </c>
      <c r="N120" s="14">
        <v>1</v>
      </c>
      <c r="O120" s="15" t="s">
        <v>69</v>
      </c>
      <c r="P120" s="17" t="s">
        <v>60</v>
      </c>
      <c r="Q120" s="14">
        <v>1</v>
      </c>
      <c r="R120" s="15" t="s">
        <v>70</v>
      </c>
      <c r="S120" s="17" t="s">
        <v>71</v>
      </c>
      <c r="T120" s="14">
        <v>1</v>
      </c>
    </row>
    <row r="121" spans="2:20" x14ac:dyDescent="0.3">
      <c r="B121" s="18" t="s">
        <v>37</v>
      </c>
      <c r="C121" s="15" t="s">
        <v>63</v>
      </c>
      <c r="D121" s="17" t="s">
        <v>60</v>
      </c>
      <c r="E121" s="14">
        <v>1</v>
      </c>
      <c r="F121" s="15" t="s">
        <v>63</v>
      </c>
      <c r="G121" s="17" t="s">
        <v>60</v>
      </c>
      <c r="H121" s="14">
        <v>1</v>
      </c>
      <c r="I121" s="15" t="s">
        <v>63</v>
      </c>
      <c r="J121" s="17" t="s">
        <v>60</v>
      </c>
      <c r="K121" s="14">
        <v>1</v>
      </c>
      <c r="L121" s="15" t="s">
        <v>67</v>
      </c>
      <c r="M121" s="17" t="s">
        <v>61</v>
      </c>
      <c r="N121" s="14">
        <v>1</v>
      </c>
      <c r="O121" s="15" t="s">
        <v>69</v>
      </c>
      <c r="P121" s="17" t="s">
        <v>60</v>
      </c>
      <c r="Q121" s="14">
        <v>1</v>
      </c>
      <c r="R121" s="15" t="s">
        <v>70</v>
      </c>
      <c r="S121" s="17" t="s">
        <v>71</v>
      </c>
      <c r="T121" s="14">
        <v>1</v>
      </c>
    </row>
    <row r="122" spans="2:20" x14ac:dyDescent="0.3">
      <c r="B122" s="18" t="s">
        <v>7</v>
      </c>
      <c r="C122" s="15" t="s">
        <v>63</v>
      </c>
      <c r="D122" s="17" t="s">
        <v>60</v>
      </c>
      <c r="E122" s="14">
        <v>1</v>
      </c>
      <c r="F122" s="15" t="s">
        <v>63</v>
      </c>
      <c r="G122" s="17" t="s">
        <v>60</v>
      </c>
      <c r="H122" s="14">
        <v>1</v>
      </c>
      <c r="I122" s="15" t="s">
        <v>63</v>
      </c>
      <c r="J122" s="17" t="s">
        <v>60</v>
      </c>
      <c r="K122" s="14">
        <v>1</v>
      </c>
      <c r="L122" s="15" t="s">
        <v>67</v>
      </c>
      <c r="M122" s="17" t="s">
        <v>61</v>
      </c>
      <c r="N122" s="14">
        <v>1</v>
      </c>
      <c r="O122" s="15" t="s">
        <v>69</v>
      </c>
      <c r="P122" s="17" t="s">
        <v>60</v>
      </c>
      <c r="Q122" s="14">
        <v>1</v>
      </c>
      <c r="R122" s="15" t="s">
        <v>70</v>
      </c>
      <c r="S122" s="17" t="s">
        <v>71</v>
      </c>
      <c r="T122" s="14">
        <v>1</v>
      </c>
    </row>
    <row r="123" spans="2:20" x14ac:dyDescent="0.3">
      <c r="B123" s="18" t="s">
        <v>143</v>
      </c>
      <c r="C123" s="15" t="s">
        <v>63</v>
      </c>
      <c r="D123" s="17" t="s">
        <v>60</v>
      </c>
      <c r="E123" s="14">
        <v>1</v>
      </c>
      <c r="F123" s="15" t="s">
        <v>63</v>
      </c>
      <c r="G123" s="17" t="s">
        <v>60</v>
      </c>
      <c r="H123" s="14">
        <v>1</v>
      </c>
      <c r="I123" s="15" t="s">
        <v>63</v>
      </c>
      <c r="J123" s="17" t="s">
        <v>60</v>
      </c>
      <c r="K123" s="14">
        <v>1</v>
      </c>
      <c r="L123" s="15" t="s">
        <v>67</v>
      </c>
      <c r="M123" s="17" t="s">
        <v>61</v>
      </c>
      <c r="N123" s="14">
        <v>1</v>
      </c>
      <c r="O123" s="15" t="s">
        <v>69</v>
      </c>
      <c r="P123" s="17" t="s">
        <v>60</v>
      </c>
      <c r="Q123" s="14">
        <v>1</v>
      </c>
      <c r="R123" s="15" t="s">
        <v>70</v>
      </c>
      <c r="S123" s="17" t="s">
        <v>71</v>
      </c>
      <c r="T123" s="14">
        <v>1</v>
      </c>
    </row>
    <row r="124" spans="2:20" x14ac:dyDescent="0.3">
      <c r="B124" s="11" t="s">
        <v>40</v>
      </c>
      <c r="C124" s="15" t="s">
        <v>63</v>
      </c>
      <c r="D124" s="17" t="s">
        <v>60</v>
      </c>
      <c r="E124" s="14">
        <v>1</v>
      </c>
      <c r="F124" s="15" t="s">
        <v>63</v>
      </c>
      <c r="G124" s="17" t="s">
        <v>60</v>
      </c>
      <c r="H124" s="14">
        <v>1</v>
      </c>
      <c r="I124" s="15" t="s">
        <v>63</v>
      </c>
      <c r="J124" s="17" t="s">
        <v>60</v>
      </c>
      <c r="K124" s="14">
        <v>1</v>
      </c>
      <c r="L124" s="15" t="s">
        <v>67</v>
      </c>
      <c r="M124" s="17" t="s">
        <v>61</v>
      </c>
      <c r="N124" s="14">
        <v>1</v>
      </c>
      <c r="O124" s="15" t="s">
        <v>69</v>
      </c>
      <c r="P124" s="17" t="s">
        <v>60</v>
      </c>
      <c r="Q124" s="14">
        <v>1</v>
      </c>
      <c r="R124" s="15" t="s">
        <v>70</v>
      </c>
      <c r="S124" s="17" t="s">
        <v>71</v>
      </c>
      <c r="T124" s="14">
        <v>1</v>
      </c>
    </row>
    <row r="125" spans="2:20" x14ac:dyDescent="0.3">
      <c r="B125" s="11" t="s">
        <v>41</v>
      </c>
      <c r="C125" s="15" t="s">
        <v>63</v>
      </c>
      <c r="D125" s="17" t="s">
        <v>60</v>
      </c>
      <c r="E125" s="14">
        <v>1</v>
      </c>
      <c r="F125" s="15" t="s">
        <v>63</v>
      </c>
      <c r="G125" s="17" t="s">
        <v>60</v>
      </c>
      <c r="H125" s="14">
        <v>1</v>
      </c>
      <c r="I125" s="15" t="s">
        <v>63</v>
      </c>
      <c r="J125" s="17" t="s">
        <v>60</v>
      </c>
      <c r="K125" s="14">
        <v>1</v>
      </c>
      <c r="L125" s="15" t="s">
        <v>67</v>
      </c>
      <c r="M125" s="17" t="s">
        <v>61</v>
      </c>
      <c r="N125" s="14">
        <v>1</v>
      </c>
      <c r="O125" s="15" t="s">
        <v>69</v>
      </c>
      <c r="P125" s="17" t="s">
        <v>60</v>
      </c>
      <c r="Q125" s="14">
        <v>1</v>
      </c>
      <c r="R125" s="15" t="s">
        <v>70</v>
      </c>
      <c r="S125" s="17" t="s">
        <v>71</v>
      </c>
      <c r="T125" s="14">
        <v>1</v>
      </c>
    </row>
    <row r="126" spans="2:20" x14ac:dyDescent="0.3">
      <c r="B126" s="18" t="s">
        <v>42</v>
      </c>
      <c r="C126" s="15" t="s">
        <v>63</v>
      </c>
      <c r="D126" s="17" t="s">
        <v>60</v>
      </c>
      <c r="E126" s="14">
        <v>1</v>
      </c>
      <c r="F126" s="15" t="s">
        <v>63</v>
      </c>
      <c r="G126" s="17" t="s">
        <v>60</v>
      </c>
      <c r="H126" s="14">
        <v>1</v>
      </c>
      <c r="I126" s="15" t="s">
        <v>63</v>
      </c>
      <c r="J126" s="17" t="s">
        <v>60</v>
      </c>
      <c r="K126" s="14">
        <v>1</v>
      </c>
      <c r="L126" s="15" t="s">
        <v>67</v>
      </c>
      <c r="M126" s="17" t="s">
        <v>61</v>
      </c>
      <c r="N126" s="14">
        <v>1</v>
      </c>
      <c r="O126" s="15" t="s">
        <v>69</v>
      </c>
      <c r="P126" s="17" t="s">
        <v>60</v>
      </c>
      <c r="Q126" s="14">
        <v>1</v>
      </c>
      <c r="R126" s="15" t="s">
        <v>70</v>
      </c>
      <c r="S126" s="17" t="s">
        <v>71</v>
      </c>
      <c r="T126" s="14">
        <v>1</v>
      </c>
    </row>
    <row r="127" spans="2:20" x14ac:dyDescent="0.3">
      <c r="B127" s="18" t="s">
        <v>43</v>
      </c>
      <c r="C127" s="15" t="s">
        <v>63</v>
      </c>
      <c r="D127" s="17" t="s">
        <v>60</v>
      </c>
      <c r="E127" s="14">
        <v>1</v>
      </c>
      <c r="F127" s="15" t="s">
        <v>63</v>
      </c>
      <c r="G127" s="17" t="s">
        <v>60</v>
      </c>
      <c r="H127" s="14">
        <v>1</v>
      </c>
      <c r="I127" s="15" t="s">
        <v>63</v>
      </c>
      <c r="J127" s="17" t="s">
        <v>60</v>
      </c>
      <c r="K127" s="14">
        <v>1</v>
      </c>
      <c r="L127" s="15" t="s">
        <v>66</v>
      </c>
      <c r="M127" s="17" t="s">
        <v>68</v>
      </c>
      <c r="N127" s="14">
        <v>1</v>
      </c>
      <c r="O127" s="15" t="s">
        <v>69</v>
      </c>
      <c r="P127" s="17" t="s">
        <v>60</v>
      </c>
      <c r="Q127" s="14">
        <v>1</v>
      </c>
      <c r="R127" s="15" t="s">
        <v>70</v>
      </c>
      <c r="S127" s="17" t="s">
        <v>71</v>
      </c>
      <c r="T127" s="14">
        <v>1</v>
      </c>
    </row>
    <row r="128" spans="2:20" x14ac:dyDescent="0.3">
      <c r="B128" s="11" t="s">
        <v>44</v>
      </c>
      <c r="C128" s="15" t="s">
        <v>63</v>
      </c>
      <c r="D128" s="17" t="s">
        <v>60</v>
      </c>
      <c r="E128" s="14">
        <v>1</v>
      </c>
      <c r="F128" s="15" t="s">
        <v>63</v>
      </c>
      <c r="G128" s="17" t="s">
        <v>60</v>
      </c>
      <c r="H128" s="14">
        <v>1</v>
      </c>
      <c r="I128" s="15" t="s">
        <v>63</v>
      </c>
      <c r="J128" s="17" t="s">
        <v>60</v>
      </c>
      <c r="K128" s="14">
        <v>1</v>
      </c>
      <c r="L128" s="15" t="s">
        <v>67</v>
      </c>
      <c r="M128" s="17" t="s">
        <v>61</v>
      </c>
      <c r="N128" s="14">
        <v>1</v>
      </c>
      <c r="O128" s="15" t="s">
        <v>69</v>
      </c>
      <c r="P128" s="17" t="s">
        <v>60</v>
      </c>
      <c r="Q128" s="14">
        <v>1</v>
      </c>
      <c r="R128" s="15" t="s">
        <v>70</v>
      </c>
      <c r="S128" s="17" t="s">
        <v>71</v>
      </c>
      <c r="T128" s="14">
        <v>1</v>
      </c>
    </row>
    <row r="130" spans="2:20" ht="15" thickBot="1" x14ac:dyDescent="0.35"/>
    <row r="131" spans="2:20" x14ac:dyDescent="0.3">
      <c r="B131" s="2" t="s">
        <v>5</v>
      </c>
      <c r="C131" s="67">
        <v>46146</v>
      </c>
      <c r="D131" s="68"/>
      <c r="E131" s="69"/>
      <c r="F131" s="67">
        <v>46147</v>
      </c>
      <c r="G131" s="68"/>
      <c r="H131" s="69"/>
      <c r="I131" s="67">
        <v>46148</v>
      </c>
      <c r="J131" s="68"/>
      <c r="K131" s="69"/>
      <c r="L131" s="67">
        <v>46149</v>
      </c>
      <c r="M131" s="68"/>
      <c r="N131" s="69"/>
      <c r="O131" s="67">
        <v>46150</v>
      </c>
      <c r="P131" s="68"/>
      <c r="Q131" s="69"/>
      <c r="R131" s="67">
        <v>46151</v>
      </c>
      <c r="S131" s="68"/>
      <c r="T131" s="69"/>
    </row>
    <row r="132" spans="2:20" ht="15" thickBot="1" x14ac:dyDescent="0.35">
      <c r="B132" s="4" t="s">
        <v>0</v>
      </c>
      <c r="C132" s="19" t="s">
        <v>1</v>
      </c>
      <c r="D132" s="6" t="s">
        <v>2</v>
      </c>
      <c r="E132" s="7" t="s">
        <v>3</v>
      </c>
      <c r="F132" s="5" t="s">
        <v>1</v>
      </c>
      <c r="G132" s="6" t="s">
        <v>2</v>
      </c>
      <c r="H132" s="7" t="s">
        <v>3</v>
      </c>
      <c r="I132" s="5" t="s">
        <v>1</v>
      </c>
      <c r="J132" s="6" t="s">
        <v>2</v>
      </c>
      <c r="K132" s="7" t="s">
        <v>3</v>
      </c>
      <c r="L132" s="5" t="s">
        <v>1</v>
      </c>
      <c r="M132" s="6" t="s">
        <v>2</v>
      </c>
      <c r="N132" s="7" t="s">
        <v>3</v>
      </c>
      <c r="O132" s="5" t="s">
        <v>1</v>
      </c>
      <c r="P132" s="6" t="s">
        <v>2</v>
      </c>
      <c r="Q132" s="7" t="s">
        <v>3</v>
      </c>
      <c r="R132" s="5" t="s">
        <v>1</v>
      </c>
      <c r="S132" s="6" t="s">
        <v>2</v>
      </c>
      <c r="T132" s="7" t="s">
        <v>3</v>
      </c>
    </row>
    <row r="133" spans="2:20" x14ac:dyDescent="0.3">
      <c r="B133" s="11" t="s">
        <v>6</v>
      </c>
      <c r="C133" s="17" t="s">
        <v>49</v>
      </c>
      <c r="D133" s="13" t="s">
        <v>49</v>
      </c>
      <c r="E133" s="14">
        <v>1</v>
      </c>
      <c r="F133" s="12" t="s">
        <v>49</v>
      </c>
      <c r="G133" s="13" t="s">
        <v>49</v>
      </c>
      <c r="H133" s="14">
        <v>1</v>
      </c>
      <c r="I133" s="12" t="s">
        <v>49</v>
      </c>
      <c r="J133" s="13" t="s">
        <v>49</v>
      </c>
      <c r="K133" s="14">
        <v>1</v>
      </c>
      <c r="L133" s="12" t="s">
        <v>49</v>
      </c>
      <c r="M133" s="13" t="s">
        <v>49</v>
      </c>
      <c r="N133" s="14">
        <v>1</v>
      </c>
      <c r="O133" s="12" t="s">
        <v>49</v>
      </c>
      <c r="P133" s="13" t="s">
        <v>49</v>
      </c>
      <c r="Q133" s="14">
        <v>1</v>
      </c>
      <c r="R133" s="12" t="s">
        <v>49</v>
      </c>
      <c r="S133" s="13" t="s">
        <v>49</v>
      </c>
      <c r="T133" s="14">
        <v>1</v>
      </c>
    </row>
    <row r="134" spans="2:20" x14ac:dyDescent="0.3">
      <c r="B134" s="11" t="s">
        <v>10</v>
      </c>
      <c r="C134" s="17" t="s">
        <v>49</v>
      </c>
      <c r="D134" s="17" t="s">
        <v>49</v>
      </c>
      <c r="E134" s="14">
        <v>1</v>
      </c>
      <c r="F134" s="16" t="s">
        <v>49</v>
      </c>
      <c r="G134" s="17" t="s">
        <v>49</v>
      </c>
      <c r="H134" s="14">
        <v>1</v>
      </c>
      <c r="I134" s="16" t="s">
        <v>49</v>
      </c>
      <c r="J134" s="17" t="s">
        <v>49</v>
      </c>
      <c r="K134" s="14">
        <v>1</v>
      </c>
      <c r="L134" s="16" t="s">
        <v>49</v>
      </c>
      <c r="M134" s="17" t="s">
        <v>49</v>
      </c>
      <c r="N134" s="14">
        <v>1</v>
      </c>
      <c r="O134" s="16" t="s">
        <v>49</v>
      </c>
      <c r="P134" s="17" t="s">
        <v>49</v>
      </c>
      <c r="Q134" s="14">
        <v>1</v>
      </c>
      <c r="R134" s="16" t="s">
        <v>49</v>
      </c>
      <c r="S134" s="17" t="s">
        <v>49</v>
      </c>
      <c r="T134" s="14">
        <v>1</v>
      </c>
    </row>
    <row r="135" spans="2:20" x14ac:dyDescent="0.3">
      <c r="B135" s="11" t="s">
        <v>22</v>
      </c>
      <c r="C135" s="17" t="s">
        <v>48</v>
      </c>
      <c r="D135" s="17" t="s">
        <v>48</v>
      </c>
      <c r="E135" s="14">
        <v>1</v>
      </c>
      <c r="F135" s="16" t="s">
        <v>48</v>
      </c>
      <c r="G135" s="17" t="s">
        <v>48</v>
      </c>
      <c r="H135" s="14">
        <v>1</v>
      </c>
      <c r="I135" s="16" t="s">
        <v>48</v>
      </c>
      <c r="J135" s="17" t="s">
        <v>48</v>
      </c>
      <c r="K135" s="14">
        <v>1</v>
      </c>
      <c r="L135" s="16" t="s">
        <v>48</v>
      </c>
      <c r="M135" s="17" t="s">
        <v>48</v>
      </c>
      <c r="N135" s="14">
        <v>1</v>
      </c>
      <c r="O135" s="16" t="s">
        <v>48</v>
      </c>
      <c r="P135" s="17" t="s">
        <v>48</v>
      </c>
      <c r="Q135" s="14">
        <v>1</v>
      </c>
      <c r="R135" s="16" t="s">
        <v>48</v>
      </c>
      <c r="S135" s="17" t="s">
        <v>48</v>
      </c>
      <c r="T135" s="14">
        <v>1</v>
      </c>
    </row>
    <row r="136" spans="2:20" x14ac:dyDescent="0.3">
      <c r="B136" s="11" t="s">
        <v>36</v>
      </c>
      <c r="C136" s="17" t="s">
        <v>51</v>
      </c>
      <c r="D136" s="17" t="s">
        <v>50</v>
      </c>
      <c r="E136" s="14">
        <v>1</v>
      </c>
      <c r="F136" s="16" t="s">
        <v>51</v>
      </c>
      <c r="G136" s="17" t="s">
        <v>50</v>
      </c>
      <c r="H136" s="14">
        <v>1</v>
      </c>
      <c r="I136" s="16" t="s">
        <v>51</v>
      </c>
      <c r="J136" s="17" t="s">
        <v>50</v>
      </c>
      <c r="K136" s="14">
        <v>1</v>
      </c>
      <c r="L136" s="16" t="s">
        <v>51</v>
      </c>
      <c r="M136" s="17" t="s">
        <v>50</v>
      </c>
      <c r="N136" s="14">
        <v>1</v>
      </c>
      <c r="O136" s="16" t="s">
        <v>51</v>
      </c>
      <c r="P136" s="17" t="s">
        <v>50</v>
      </c>
      <c r="Q136" s="14">
        <v>1</v>
      </c>
      <c r="R136" s="16" t="s">
        <v>51</v>
      </c>
      <c r="S136" s="17" t="s">
        <v>50</v>
      </c>
      <c r="T136" s="14">
        <v>1</v>
      </c>
    </row>
    <row r="137" spans="2:20" x14ac:dyDescent="0.3">
      <c r="B137" s="11" t="s">
        <v>38</v>
      </c>
      <c r="C137" s="17" t="s">
        <v>51</v>
      </c>
      <c r="D137" s="17" t="s">
        <v>50</v>
      </c>
      <c r="E137" s="14">
        <v>1</v>
      </c>
      <c r="F137" s="16" t="s">
        <v>51</v>
      </c>
      <c r="G137" s="17" t="s">
        <v>50</v>
      </c>
      <c r="H137" s="14">
        <v>1</v>
      </c>
      <c r="I137" s="16" t="s">
        <v>51</v>
      </c>
      <c r="J137" s="17" t="s">
        <v>50</v>
      </c>
      <c r="K137" s="14">
        <v>1</v>
      </c>
      <c r="L137" s="16" t="s">
        <v>51</v>
      </c>
      <c r="M137" s="17" t="s">
        <v>50</v>
      </c>
      <c r="N137" s="14">
        <v>1</v>
      </c>
      <c r="O137" s="16" t="s">
        <v>51</v>
      </c>
      <c r="P137" s="17" t="s">
        <v>50</v>
      </c>
      <c r="Q137" s="14">
        <v>1</v>
      </c>
      <c r="R137" s="16" t="s">
        <v>51</v>
      </c>
      <c r="S137" s="17" t="s">
        <v>50</v>
      </c>
      <c r="T137" s="14">
        <v>1</v>
      </c>
    </row>
    <row r="138" spans="2:20" x14ac:dyDescent="0.3">
      <c r="B138" s="18" t="s">
        <v>11</v>
      </c>
      <c r="C138" s="15" t="s">
        <v>72</v>
      </c>
      <c r="D138" s="17" t="s">
        <v>60</v>
      </c>
      <c r="E138" s="14">
        <v>1</v>
      </c>
      <c r="F138" s="15" t="s">
        <v>72</v>
      </c>
      <c r="G138" s="17" t="s">
        <v>60</v>
      </c>
      <c r="H138" s="14">
        <v>1</v>
      </c>
      <c r="I138" s="15" t="s">
        <v>63</v>
      </c>
      <c r="J138" s="23" t="s">
        <v>118</v>
      </c>
      <c r="K138" s="14">
        <v>5</v>
      </c>
      <c r="L138" s="15" t="s">
        <v>72</v>
      </c>
      <c r="M138" s="23" t="s">
        <v>117</v>
      </c>
      <c r="N138" s="14">
        <v>5</v>
      </c>
      <c r="O138" s="15" t="s">
        <v>72</v>
      </c>
      <c r="P138" s="17" t="s">
        <v>60</v>
      </c>
      <c r="Q138" s="14">
        <v>1</v>
      </c>
      <c r="R138" s="15" t="s">
        <v>78</v>
      </c>
      <c r="S138" s="17" t="s">
        <v>60</v>
      </c>
      <c r="T138" s="14">
        <v>1</v>
      </c>
    </row>
    <row r="139" spans="2:20" x14ac:dyDescent="0.3">
      <c r="B139" s="11" t="s">
        <v>12</v>
      </c>
      <c r="C139" s="15" t="s">
        <v>72</v>
      </c>
      <c r="D139" s="17" t="s">
        <v>60</v>
      </c>
      <c r="E139" s="14">
        <v>1</v>
      </c>
      <c r="F139" s="15" t="s">
        <v>72</v>
      </c>
      <c r="G139" s="17" t="s">
        <v>60</v>
      </c>
      <c r="H139" s="14">
        <v>1</v>
      </c>
      <c r="I139" s="15" t="s">
        <v>64</v>
      </c>
      <c r="J139" s="17" t="s">
        <v>50</v>
      </c>
      <c r="K139" s="14">
        <v>1</v>
      </c>
      <c r="L139" s="15" t="s">
        <v>64</v>
      </c>
      <c r="M139" s="17" t="s">
        <v>50</v>
      </c>
      <c r="N139" s="14">
        <v>1</v>
      </c>
      <c r="O139" s="15" t="s">
        <v>72</v>
      </c>
      <c r="P139" s="17" t="s">
        <v>60</v>
      </c>
      <c r="Q139" s="14">
        <v>1</v>
      </c>
      <c r="R139" s="15" t="s">
        <v>78</v>
      </c>
      <c r="S139" s="17" t="s">
        <v>60</v>
      </c>
      <c r="T139" s="14">
        <v>1</v>
      </c>
    </row>
    <row r="140" spans="2:20" x14ac:dyDescent="0.3">
      <c r="B140" s="18" t="s">
        <v>13</v>
      </c>
      <c r="C140" s="15" t="s">
        <v>72</v>
      </c>
      <c r="D140" s="17" t="s">
        <v>60</v>
      </c>
      <c r="E140" s="14">
        <v>1</v>
      </c>
      <c r="F140" s="15" t="s">
        <v>72</v>
      </c>
      <c r="G140" s="17" t="s">
        <v>60</v>
      </c>
      <c r="H140" s="14">
        <v>1</v>
      </c>
      <c r="I140" s="15" t="s">
        <v>72</v>
      </c>
      <c r="J140" s="17" t="s">
        <v>60</v>
      </c>
      <c r="K140" s="14">
        <v>1</v>
      </c>
      <c r="L140" s="15" t="s">
        <v>72</v>
      </c>
      <c r="M140" s="17" t="s">
        <v>60</v>
      </c>
      <c r="N140" s="14">
        <v>1</v>
      </c>
      <c r="O140" s="15" t="s">
        <v>72</v>
      </c>
      <c r="P140" s="17" t="s">
        <v>60</v>
      </c>
      <c r="Q140" s="14">
        <v>1</v>
      </c>
      <c r="R140" s="15" t="s">
        <v>78</v>
      </c>
      <c r="S140" s="17" t="s">
        <v>60</v>
      </c>
      <c r="T140" s="14">
        <v>1</v>
      </c>
    </row>
    <row r="141" spans="2:20" x14ac:dyDescent="0.3">
      <c r="B141" s="11" t="s">
        <v>14</v>
      </c>
      <c r="C141" s="15" t="s">
        <v>72</v>
      </c>
      <c r="D141" s="17" t="s">
        <v>60</v>
      </c>
      <c r="E141" s="14">
        <v>1</v>
      </c>
      <c r="F141" s="15" t="s">
        <v>69</v>
      </c>
      <c r="G141" s="17" t="s">
        <v>60</v>
      </c>
      <c r="H141" s="14">
        <v>1</v>
      </c>
      <c r="I141" s="15" t="s">
        <v>72</v>
      </c>
      <c r="J141" s="17" t="s">
        <v>60</v>
      </c>
      <c r="K141" s="14">
        <v>1</v>
      </c>
      <c r="L141" s="15" t="s">
        <v>72</v>
      </c>
      <c r="M141" s="17" t="s">
        <v>60</v>
      </c>
      <c r="N141" s="14">
        <v>1</v>
      </c>
      <c r="O141" s="15" t="s">
        <v>72</v>
      </c>
      <c r="P141" s="17" t="s">
        <v>60</v>
      </c>
      <c r="Q141" s="14">
        <v>1</v>
      </c>
      <c r="R141" s="15" t="s">
        <v>78</v>
      </c>
      <c r="S141" s="17" t="s">
        <v>60</v>
      </c>
      <c r="T141" s="14">
        <v>1</v>
      </c>
    </row>
    <row r="142" spans="2:20" x14ac:dyDescent="0.3">
      <c r="B142" s="18" t="s">
        <v>15</v>
      </c>
      <c r="C142" s="15" t="s">
        <v>72</v>
      </c>
      <c r="D142" s="17" t="s">
        <v>60</v>
      </c>
      <c r="E142" s="14">
        <v>1</v>
      </c>
      <c r="F142" s="15" t="s">
        <v>51</v>
      </c>
      <c r="G142" s="17" t="s">
        <v>50</v>
      </c>
      <c r="H142" s="14">
        <v>1</v>
      </c>
      <c r="I142" s="15" t="s">
        <v>74</v>
      </c>
      <c r="J142" s="17" t="s">
        <v>50</v>
      </c>
      <c r="K142" s="14">
        <v>1</v>
      </c>
      <c r="L142" s="15" t="s">
        <v>46</v>
      </c>
      <c r="M142" s="17" t="s">
        <v>75</v>
      </c>
      <c r="N142" s="14">
        <v>1</v>
      </c>
      <c r="O142" s="15" t="s">
        <v>46</v>
      </c>
      <c r="P142" s="17" t="s">
        <v>75</v>
      </c>
      <c r="Q142" s="14">
        <v>1</v>
      </c>
      <c r="R142" s="15" t="s">
        <v>78</v>
      </c>
      <c r="S142" s="17" t="s">
        <v>60</v>
      </c>
      <c r="T142" s="14">
        <v>1</v>
      </c>
    </row>
    <row r="143" spans="2:20" x14ac:dyDescent="0.3">
      <c r="B143" s="11" t="s">
        <v>16</v>
      </c>
      <c r="C143" s="15" t="s">
        <v>72</v>
      </c>
      <c r="D143" s="17" t="s">
        <v>60</v>
      </c>
      <c r="E143" s="14">
        <v>1</v>
      </c>
      <c r="F143" s="15" t="s">
        <v>72</v>
      </c>
      <c r="G143" s="17" t="s">
        <v>60</v>
      </c>
      <c r="H143" s="14">
        <v>1</v>
      </c>
      <c r="I143" s="15" t="s">
        <v>63</v>
      </c>
      <c r="J143" s="23" t="s">
        <v>118</v>
      </c>
      <c r="K143" s="14">
        <v>4</v>
      </c>
      <c r="L143" s="15" t="s">
        <v>72</v>
      </c>
      <c r="M143" s="23" t="s">
        <v>117</v>
      </c>
      <c r="N143" s="14">
        <v>5</v>
      </c>
      <c r="O143" s="15" t="s">
        <v>72</v>
      </c>
      <c r="P143" s="17" t="s">
        <v>60</v>
      </c>
      <c r="Q143" s="14">
        <v>1</v>
      </c>
      <c r="R143" s="15" t="s">
        <v>78</v>
      </c>
      <c r="S143" s="17" t="s">
        <v>60</v>
      </c>
      <c r="T143" s="14">
        <v>1</v>
      </c>
    </row>
    <row r="144" spans="2:20" x14ac:dyDescent="0.3">
      <c r="B144" s="18" t="s">
        <v>17</v>
      </c>
      <c r="C144" s="15" t="s">
        <v>72</v>
      </c>
      <c r="D144" s="17" t="s">
        <v>60</v>
      </c>
      <c r="E144" s="14">
        <v>1</v>
      </c>
      <c r="F144" s="15" t="s">
        <v>69</v>
      </c>
      <c r="G144" s="17" t="s">
        <v>60</v>
      </c>
      <c r="H144" s="14">
        <v>1</v>
      </c>
      <c r="I144" s="15" t="s">
        <v>72</v>
      </c>
      <c r="J144" s="17" t="s">
        <v>60</v>
      </c>
      <c r="K144" s="14">
        <v>1</v>
      </c>
      <c r="L144" s="15" t="s">
        <v>72</v>
      </c>
      <c r="M144" s="17" t="s">
        <v>60</v>
      </c>
      <c r="N144" s="14">
        <v>1</v>
      </c>
      <c r="O144" s="15" t="s">
        <v>72</v>
      </c>
      <c r="P144" s="17" t="s">
        <v>60</v>
      </c>
      <c r="Q144" s="14">
        <v>1</v>
      </c>
      <c r="R144" s="15" t="s">
        <v>78</v>
      </c>
      <c r="S144" s="17" t="s">
        <v>60</v>
      </c>
      <c r="T144" s="14">
        <v>1</v>
      </c>
    </row>
    <row r="145" spans="2:20" x14ac:dyDescent="0.3">
      <c r="B145" s="11" t="s">
        <v>18</v>
      </c>
      <c r="C145" s="15" t="s">
        <v>72</v>
      </c>
      <c r="D145" s="17" t="s">
        <v>60</v>
      </c>
      <c r="E145" s="14">
        <v>1</v>
      </c>
      <c r="F145" s="15" t="s">
        <v>72</v>
      </c>
      <c r="G145" s="17" t="s">
        <v>60</v>
      </c>
      <c r="H145" s="14">
        <v>1</v>
      </c>
      <c r="I145" s="15" t="s">
        <v>72</v>
      </c>
      <c r="J145" s="17" t="s">
        <v>60</v>
      </c>
      <c r="K145" s="14">
        <v>1</v>
      </c>
      <c r="L145" s="15" t="s">
        <v>46</v>
      </c>
      <c r="M145" s="17" t="s">
        <v>75</v>
      </c>
      <c r="N145" s="14">
        <v>1</v>
      </c>
      <c r="O145" s="15" t="s">
        <v>46</v>
      </c>
      <c r="P145" s="17" t="s">
        <v>75</v>
      </c>
      <c r="Q145" s="14">
        <v>1</v>
      </c>
      <c r="R145" s="15" t="s">
        <v>78</v>
      </c>
      <c r="S145" s="17" t="s">
        <v>60</v>
      </c>
      <c r="T145" s="14">
        <v>1</v>
      </c>
    </row>
    <row r="146" spans="2:20" x14ac:dyDescent="0.3">
      <c r="B146" s="18" t="s">
        <v>19</v>
      </c>
      <c r="C146" s="15" t="s">
        <v>72</v>
      </c>
      <c r="D146" s="17" t="s">
        <v>60</v>
      </c>
      <c r="E146" s="14">
        <v>1</v>
      </c>
      <c r="F146" s="15" t="s">
        <v>72</v>
      </c>
      <c r="G146" s="17" t="s">
        <v>60</v>
      </c>
      <c r="H146" s="14">
        <v>1</v>
      </c>
      <c r="I146" s="15" t="s">
        <v>63</v>
      </c>
      <c r="J146" s="23" t="s">
        <v>118</v>
      </c>
      <c r="K146" s="14">
        <v>4</v>
      </c>
      <c r="L146" s="15" t="s">
        <v>72</v>
      </c>
      <c r="M146" s="23" t="s">
        <v>117</v>
      </c>
      <c r="N146" s="14">
        <v>5</v>
      </c>
      <c r="O146" s="15" t="s">
        <v>72</v>
      </c>
      <c r="P146" s="17" t="s">
        <v>60</v>
      </c>
      <c r="Q146" s="14">
        <v>1</v>
      </c>
      <c r="R146" s="15" t="s">
        <v>78</v>
      </c>
      <c r="S146" s="17" t="s">
        <v>60</v>
      </c>
      <c r="T146" s="14">
        <v>1</v>
      </c>
    </row>
    <row r="147" spans="2:20" x14ac:dyDescent="0.3">
      <c r="B147" s="11" t="s">
        <v>20</v>
      </c>
      <c r="C147" s="15" t="s">
        <v>72</v>
      </c>
      <c r="D147" s="17" t="s">
        <v>60</v>
      </c>
      <c r="E147" s="14">
        <v>1</v>
      </c>
      <c r="F147" s="15" t="s">
        <v>72</v>
      </c>
      <c r="G147" s="17" t="s">
        <v>60</v>
      </c>
      <c r="H147" s="14">
        <v>1</v>
      </c>
      <c r="I147" s="15" t="s">
        <v>64</v>
      </c>
      <c r="J147" s="17" t="s">
        <v>50</v>
      </c>
      <c r="K147" s="14">
        <v>1</v>
      </c>
      <c r="L147" s="15" t="s">
        <v>64</v>
      </c>
      <c r="M147" s="17" t="s">
        <v>50</v>
      </c>
      <c r="N147" s="14">
        <v>1</v>
      </c>
      <c r="O147" s="15" t="s">
        <v>76</v>
      </c>
      <c r="P147" s="17" t="s">
        <v>65</v>
      </c>
      <c r="Q147" s="14">
        <v>1</v>
      </c>
      <c r="R147" s="15" t="s">
        <v>78</v>
      </c>
      <c r="S147" s="17" t="s">
        <v>60</v>
      </c>
      <c r="T147" s="14">
        <v>1</v>
      </c>
    </row>
    <row r="148" spans="2:20" x14ac:dyDescent="0.3">
      <c r="B148" s="18" t="s">
        <v>21</v>
      </c>
      <c r="C148" s="15" t="s">
        <v>72</v>
      </c>
      <c r="D148" s="17" t="s">
        <v>60</v>
      </c>
      <c r="E148" s="14">
        <v>1</v>
      </c>
      <c r="F148" s="15" t="s">
        <v>69</v>
      </c>
      <c r="G148" s="17" t="s">
        <v>60</v>
      </c>
      <c r="H148" s="14">
        <v>1</v>
      </c>
      <c r="I148" s="15" t="s">
        <v>72</v>
      </c>
      <c r="J148" s="17" t="s">
        <v>60</v>
      </c>
      <c r="K148" s="14">
        <v>1</v>
      </c>
      <c r="L148" s="15" t="s">
        <v>56</v>
      </c>
      <c r="M148" s="17" t="s">
        <v>50</v>
      </c>
      <c r="N148" s="14">
        <v>1</v>
      </c>
      <c r="O148" s="15" t="s">
        <v>72</v>
      </c>
      <c r="P148" s="17" t="s">
        <v>60</v>
      </c>
      <c r="Q148" s="14">
        <v>1</v>
      </c>
      <c r="R148" s="15" t="s">
        <v>78</v>
      </c>
      <c r="S148" s="17" t="s">
        <v>60</v>
      </c>
      <c r="T148" s="14">
        <v>1</v>
      </c>
    </row>
    <row r="149" spans="2:20" x14ac:dyDescent="0.3">
      <c r="B149" s="11" t="s">
        <v>8</v>
      </c>
      <c r="C149" s="15" t="s">
        <v>72</v>
      </c>
      <c r="D149" s="17" t="s">
        <v>60</v>
      </c>
      <c r="E149" s="14">
        <v>1</v>
      </c>
      <c r="F149" s="15" t="s">
        <v>69</v>
      </c>
      <c r="G149" s="17" t="s">
        <v>60</v>
      </c>
      <c r="H149" s="14">
        <v>1</v>
      </c>
      <c r="I149" s="15" t="s">
        <v>74</v>
      </c>
      <c r="J149" s="17" t="s">
        <v>50</v>
      </c>
      <c r="K149" s="14">
        <v>1</v>
      </c>
      <c r="L149" s="15" t="s">
        <v>72</v>
      </c>
      <c r="M149" s="17" t="s">
        <v>60</v>
      </c>
      <c r="N149" s="14">
        <v>1</v>
      </c>
      <c r="O149" s="15" t="s">
        <v>72</v>
      </c>
      <c r="P149" s="17" t="s">
        <v>60</v>
      </c>
      <c r="Q149" s="14">
        <v>1</v>
      </c>
      <c r="R149" s="15" t="s">
        <v>78</v>
      </c>
      <c r="S149" s="17" t="s">
        <v>60</v>
      </c>
      <c r="T149" s="14">
        <v>1</v>
      </c>
    </row>
    <row r="150" spans="2:20" x14ac:dyDescent="0.3">
      <c r="B150" s="18" t="s">
        <v>23</v>
      </c>
      <c r="C150" s="15" t="s">
        <v>72</v>
      </c>
      <c r="D150" s="17" t="s">
        <v>60</v>
      </c>
      <c r="E150" s="14">
        <v>1</v>
      </c>
      <c r="F150" s="15" t="s">
        <v>72</v>
      </c>
      <c r="G150" s="17" t="s">
        <v>60</v>
      </c>
      <c r="H150" s="14">
        <v>1</v>
      </c>
      <c r="I150" s="15" t="s">
        <v>72</v>
      </c>
      <c r="J150" s="17" t="s">
        <v>60</v>
      </c>
      <c r="K150" s="14">
        <v>1</v>
      </c>
      <c r="L150" s="15" t="s">
        <v>56</v>
      </c>
      <c r="M150" s="17" t="s">
        <v>50</v>
      </c>
      <c r="N150" s="14">
        <v>1</v>
      </c>
      <c r="O150" s="15" t="s">
        <v>72</v>
      </c>
      <c r="P150" s="17" t="s">
        <v>60</v>
      </c>
      <c r="Q150" s="14">
        <v>1</v>
      </c>
      <c r="R150" s="15" t="s">
        <v>78</v>
      </c>
      <c r="S150" s="17" t="s">
        <v>60</v>
      </c>
      <c r="T150" s="14">
        <v>1</v>
      </c>
    </row>
    <row r="151" spans="2:20" x14ac:dyDescent="0.3">
      <c r="B151" s="11" t="s">
        <v>92</v>
      </c>
      <c r="C151" s="15" t="s">
        <v>72</v>
      </c>
      <c r="D151" s="17" t="s">
        <v>60</v>
      </c>
      <c r="E151" s="14">
        <v>1</v>
      </c>
      <c r="F151" s="15" t="s">
        <v>69</v>
      </c>
      <c r="G151" s="17" t="s">
        <v>60</v>
      </c>
      <c r="H151" s="14">
        <v>1</v>
      </c>
      <c r="I151" s="15" t="s">
        <v>64</v>
      </c>
      <c r="J151" s="17" t="s">
        <v>50</v>
      </c>
      <c r="K151" s="14">
        <v>1</v>
      </c>
      <c r="L151" s="15" t="s">
        <v>56</v>
      </c>
      <c r="M151" s="17" t="s">
        <v>50</v>
      </c>
      <c r="N151" s="14">
        <v>1</v>
      </c>
      <c r="O151" s="15" t="s">
        <v>72</v>
      </c>
      <c r="P151" s="17" t="s">
        <v>60</v>
      </c>
      <c r="Q151" s="14">
        <v>1</v>
      </c>
      <c r="R151" s="15" t="s">
        <v>78</v>
      </c>
      <c r="S151" s="17" t="s">
        <v>60</v>
      </c>
      <c r="T151" s="14">
        <v>1</v>
      </c>
    </row>
    <row r="152" spans="2:20" x14ac:dyDescent="0.3">
      <c r="B152" s="18" t="s">
        <v>25</v>
      </c>
      <c r="C152" s="15" t="s">
        <v>72</v>
      </c>
      <c r="D152" s="17" t="s">
        <v>60</v>
      </c>
      <c r="E152" s="14">
        <v>1</v>
      </c>
      <c r="F152" s="15" t="s">
        <v>69</v>
      </c>
      <c r="G152" s="17" t="s">
        <v>60</v>
      </c>
      <c r="H152" s="14">
        <v>1</v>
      </c>
      <c r="I152" s="15" t="s">
        <v>72</v>
      </c>
      <c r="J152" s="17" t="s">
        <v>60</v>
      </c>
      <c r="K152" s="14">
        <v>1</v>
      </c>
      <c r="L152" s="15" t="s">
        <v>72</v>
      </c>
      <c r="M152" s="17" t="s">
        <v>60</v>
      </c>
      <c r="N152" s="14">
        <v>1</v>
      </c>
      <c r="O152" s="15" t="s">
        <v>72</v>
      </c>
      <c r="P152" s="17" t="s">
        <v>60</v>
      </c>
      <c r="Q152" s="14">
        <v>1</v>
      </c>
      <c r="R152" s="15" t="s">
        <v>78</v>
      </c>
      <c r="S152" s="17" t="s">
        <v>60</v>
      </c>
      <c r="T152" s="14">
        <v>1</v>
      </c>
    </row>
    <row r="153" spans="2:20" x14ac:dyDescent="0.3">
      <c r="B153" s="11" t="s">
        <v>26</v>
      </c>
      <c r="C153" s="15" t="s">
        <v>72</v>
      </c>
      <c r="D153" s="17" t="s">
        <v>60</v>
      </c>
      <c r="E153" s="14">
        <v>1</v>
      </c>
      <c r="F153" s="15" t="s">
        <v>72</v>
      </c>
      <c r="G153" s="17" t="s">
        <v>60</v>
      </c>
      <c r="H153" s="14">
        <v>1</v>
      </c>
      <c r="I153" s="15" t="s">
        <v>63</v>
      </c>
      <c r="J153" s="23" t="s">
        <v>118</v>
      </c>
      <c r="K153" s="14">
        <v>4</v>
      </c>
      <c r="L153" s="15" t="s">
        <v>72</v>
      </c>
      <c r="M153" s="23" t="s">
        <v>117</v>
      </c>
      <c r="N153" s="14">
        <v>5</v>
      </c>
      <c r="O153" s="15" t="s">
        <v>72</v>
      </c>
      <c r="P153" s="17" t="s">
        <v>60</v>
      </c>
      <c r="Q153" s="14">
        <v>1</v>
      </c>
      <c r="R153" s="15" t="s">
        <v>78</v>
      </c>
      <c r="S153" s="17" t="s">
        <v>60</v>
      </c>
      <c r="T153" s="14">
        <v>1</v>
      </c>
    </row>
    <row r="154" spans="2:20" x14ac:dyDescent="0.3">
      <c r="B154" s="18" t="s">
        <v>27</v>
      </c>
      <c r="C154" s="15" t="s">
        <v>72</v>
      </c>
      <c r="D154" s="17" t="s">
        <v>60</v>
      </c>
      <c r="E154" s="14">
        <v>1</v>
      </c>
      <c r="F154" s="15" t="s">
        <v>69</v>
      </c>
      <c r="G154" s="17" t="s">
        <v>60</v>
      </c>
      <c r="H154" s="14">
        <v>1</v>
      </c>
      <c r="I154" s="15" t="s">
        <v>72</v>
      </c>
      <c r="J154" s="17" t="s">
        <v>60</v>
      </c>
      <c r="K154" s="14">
        <v>1</v>
      </c>
      <c r="L154" s="15" t="s">
        <v>72</v>
      </c>
      <c r="M154" s="17" t="s">
        <v>60</v>
      </c>
      <c r="N154" s="14">
        <v>1</v>
      </c>
      <c r="O154" s="15" t="s">
        <v>72</v>
      </c>
      <c r="P154" s="23" t="s">
        <v>117</v>
      </c>
      <c r="Q154" s="14">
        <v>3</v>
      </c>
      <c r="R154" s="15" t="s">
        <v>78</v>
      </c>
      <c r="S154" s="17" t="s">
        <v>60</v>
      </c>
      <c r="T154" s="14">
        <v>1</v>
      </c>
    </row>
    <row r="155" spans="2:20" x14ac:dyDescent="0.3">
      <c r="B155" s="11" t="s">
        <v>28</v>
      </c>
      <c r="C155" s="15" t="s">
        <v>72</v>
      </c>
      <c r="D155" s="17" t="s">
        <v>60</v>
      </c>
      <c r="E155" s="14">
        <v>1</v>
      </c>
      <c r="F155" s="15" t="s">
        <v>72</v>
      </c>
      <c r="G155" s="17" t="s">
        <v>60</v>
      </c>
      <c r="H155" s="14">
        <v>1</v>
      </c>
      <c r="I155" s="15" t="s">
        <v>63</v>
      </c>
      <c r="J155" s="23" t="s">
        <v>118</v>
      </c>
      <c r="K155" s="14">
        <v>4</v>
      </c>
      <c r="L155" s="15" t="s">
        <v>72</v>
      </c>
      <c r="M155" s="23" t="s">
        <v>117</v>
      </c>
      <c r="N155" s="14">
        <v>5</v>
      </c>
      <c r="O155" s="15" t="s">
        <v>72</v>
      </c>
      <c r="P155" s="17" t="s">
        <v>60</v>
      </c>
      <c r="Q155" s="14">
        <v>1</v>
      </c>
      <c r="R155" s="15" t="s">
        <v>78</v>
      </c>
      <c r="S155" s="17" t="s">
        <v>60</v>
      </c>
      <c r="T155" s="14">
        <v>1</v>
      </c>
    </row>
    <row r="156" spans="2:20" x14ac:dyDescent="0.3">
      <c r="B156" s="18" t="s">
        <v>29</v>
      </c>
      <c r="C156" s="15" t="s">
        <v>72</v>
      </c>
      <c r="D156" s="17" t="s">
        <v>60</v>
      </c>
      <c r="E156" s="14">
        <v>1</v>
      </c>
      <c r="F156" s="15" t="s">
        <v>72</v>
      </c>
      <c r="G156" s="17" t="s">
        <v>60</v>
      </c>
      <c r="H156" s="14">
        <v>1</v>
      </c>
      <c r="I156" s="15" t="s">
        <v>64</v>
      </c>
      <c r="J156" s="17" t="s">
        <v>50</v>
      </c>
      <c r="K156" s="14">
        <v>1</v>
      </c>
      <c r="L156" s="15" t="s">
        <v>72</v>
      </c>
      <c r="M156" s="17" t="s">
        <v>60</v>
      </c>
      <c r="N156" s="14">
        <v>1</v>
      </c>
      <c r="O156" s="15" t="s">
        <v>72</v>
      </c>
      <c r="P156" s="17" t="s">
        <v>60</v>
      </c>
      <c r="Q156" s="14">
        <v>1</v>
      </c>
      <c r="R156" s="15" t="s">
        <v>78</v>
      </c>
      <c r="S156" s="17" t="s">
        <v>60</v>
      </c>
      <c r="T156" s="14">
        <v>1</v>
      </c>
    </row>
    <row r="157" spans="2:20" x14ac:dyDescent="0.3">
      <c r="B157" s="11" t="s">
        <v>30</v>
      </c>
      <c r="C157" s="15"/>
      <c r="D157" s="17"/>
      <c r="E157" s="14"/>
      <c r="F157" s="15" t="s">
        <v>73</v>
      </c>
      <c r="G157" s="17"/>
      <c r="H157" s="14">
        <v>1</v>
      </c>
      <c r="I157" s="15" t="s">
        <v>73</v>
      </c>
      <c r="J157" s="17"/>
      <c r="K157" s="14">
        <v>1</v>
      </c>
      <c r="L157" s="15" t="s">
        <v>64</v>
      </c>
      <c r="M157" s="17" t="s">
        <v>50</v>
      </c>
      <c r="N157" s="14">
        <v>1</v>
      </c>
      <c r="O157" s="15" t="s">
        <v>46</v>
      </c>
      <c r="P157" s="17" t="s">
        <v>77</v>
      </c>
      <c r="Q157" s="14">
        <v>1</v>
      </c>
      <c r="R157" s="15" t="s">
        <v>78</v>
      </c>
      <c r="S157" s="17" t="s">
        <v>60</v>
      </c>
      <c r="T157" s="14">
        <v>1</v>
      </c>
    </row>
    <row r="158" spans="2:20" x14ac:dyDescent="0.3">
      <c r="B158" s="18" t="s">
        <v>31</v>
      </c>
      <c r="C158" s="15" t="s">
        <v>72</v>
      </c>
      <c r="D158" s="17" t="s">
        <v>60</v>
      </c>
      <c r="E158" s="14">
        <v>1</v>
      </c>
      <c r="F158" s="15" t="s">
        <v>72</v>
      </c>
      <c r="G158" s="17" t="s">
        <v>60</v>
      </c>
      <c r="H158" s="14">
        <v>1</v>
      </c>
      <c r="I158" s="15" t="s">
        <v>72</v>
      </c>
      <c r="J158" s="17" t="s">
        <v>60</v>
      </c>
      <c r="K158" s="14">
        <v>1</v>
      </c>
      <c r="L158" s="15" t="s">
        <v>46</v>
      </c>
      <c r="M158" s="17" t="s">
        <v>75</v>
      </c>
      <c r="N158" s="14">
        <v>1</v>
      </c>
      <c r="O158" s="15" t="s">
        <v>72</v>
      </c>
      <c r="P158" s="17" t="s">
        <v>60</v>
      </c>
      <c r="Q158" s="14">
        <v>1</v>
      </c>
      <c r="R158" s="15" t="s">
        <v>78</v>
      </c>
      <c r="S158" s="17" t="s">
        <v>60</v>
      </c>
      <c r="T158" s="14">
        <v>1</v>
      </c>
    </row>
    <row r="159" spans="2:20" x14ac:dyDescent="0.3">
      <c r="B159" s="11" t="s">
        <v>32</v>
      </c>
      <c r="C159" s="15"/>
      <c r="D159" s="17"/>
      <c r="E159" s="14"/>
      <c r="F159" s="15" t="s">
        <v>72</v>
      </c>
      <c r="G159" s="17" t="s">
        <v>60</v>
      </c>
      <c r="H159" s="14">
        <v>1</v>
      </c>
      <c r="I159" s="15" t="s">
        <v>64</v>
      </c>
      <c r="J159" s="17" t="s">
        <v>50</v>
      </c>
      <c r="K159" s="14">
        <v>1</v>
      </c>
      <c r="L159" s="15" t="s">
        <v>72</v>
      </c>
      <c r="M159" s="17" t="s">
        <v>60</v>
      </c>
      <c r="N159" s="14">
        <v>1</v>
      </c>
      <c r="O159" s="15" t="s">
        <v>72</v>
      </c>
      <c r="P159" s="17" t="s">
        <v>60</v>
      </c>
      <c r="Q159" s="14">
        <v>1</v>
      </c>
      <c r="R159" s="15" t="s">
        <v>78</v>
      </c>
      <c r="S159" s="17" t="s">
        <v>60</v>
      </c>
      <c r="T159" s="14">
        <v>1</v>
      </c>
    </row>
    <row r="160" spans="2:20" x14ac:dyDescent="0.3">
      <c r="B160" s="18" t="s">
        <v>33</v>
      </c>
      <c r="C160" s="15" t="s">
        <v>72</v>
      </c>
      <c r="D160" s="17" t="s">
        <v>60</v>
      </c>
      <c r="E160" s="14">
        <v>1</v>
      </c>
      <c r="F160" s="15" t="s">
        <v>69</v>
      </c>
      <c r="G160" s="17" t="s">
        <v>60</v>
      </c>
      <c r="H160" s="14">
        <v>1</v>
      </c>
      <c r="I160" s="15" t="s">
        <v>72</v>
      </c>
      <c r="J160" s="17" t="s">
        <v>60</v>
      </c>
      <c r="K160" s="14">
        <v>1</v>
      </c>
      <c r="L160" s="15" t="s">
        <v>46</v>
      </c>
      <c r="M160" s="17" t="s">
        <v>75</v>
      </c>
      <c r="N160" s="14">
        <v>1</v>
      </c>
      <c r="O160" s="15" t="s">
        <v>46</v>
      </c>
      <c r="P160" s="17" t="s">
        <v>77</v>
      </c>
      <c r="Q160" s="14">
        <v>1</v>
      </c>
      <c r="R160" s="15" t="s">
        <v>78</v>
      </c>
      <c r="S160" s="17" t="s">
        <v>60</v>
      </c>
      <c r="T160" s="14">
        <v>1</v>
      </c>
    </row>
    <row r="161" spans="2:20" x14ac:dyDescent="0.3">
      <c r="B161" s="11" t="s">
        <v>34</v>
      </c>
      <c r="C161" s="15" t="s">
        <v>72</v>
      </c>
      <c r="D161" s="17" t="s">
        <v>60</v>
      </c>
      <c r="E161" s="14">
        <v>1</v>
      </c>
      <c r="F161" s="15" t="s">
        <v>69</v>
      </c>
      <c r="G161" s="17" t="s">
        <v>60</v>
      </c>
      <c r="H161" s="14">
        <v>1</v>
      </c>
      <c r="I161" s="15" t="s">
        <v>63</v>
      </c>
      <c r="J161" s="23" t="s">
        <v>118</v>
      </c>
      <c r="K161" s="14">
        <v>4</v>
      </c>
      <c r="L161" s="15" t="s">
        <v>72</v>
      </c>
      <c r="M161" s="23" t="s">
        <v>117</v>
      </c>
      <c r="N161" s="14">
        <v>5</v>
      </c>
      <c r="O161" s="15" t="s">
        <v>72</v>
      </c>
      <c r="P161" s="17" t="s">
        <v>60</v>
      </c>
      <c r="Q161" s="14">
        <v>1</v>
      </c>
      <c r="R161" s="15" t="s">
        <v>78</v>
      </c>
      <c r="S161" s="17" t="s">
        <v>60</v>
      </c>
      <c r="T161" s="14">
        <v>1</v>
      </c>
    </row>
    <row r="162" spans="2:20" x14ac:dyDescent="0.3">
      <c r="B162" s="18" t="s">
        <v>35</v>
      </c>
      <c r="C162" s="15" t="s">
        <v>72</v>
      </c>
      <c r="D162" s="17" t="s">
        <v>60</v>
      </c>
      <c r="E162" s="14">
        <v>1</v>
      </c>
      <c r="F162" s="15" t="s">
        <v>69</v>
      </c>
      <c r="G162" s="17" t="s">
        <v>60</v>
      </c>
      <c r="H162" s="14">
        <v>1</v>
      </c>
      <c r="I162" s="15" t="s">
        <v>72</v>
      </c>
      <c r="J162" s="17" t="s">
        <v>60</v>
      </c>
      <c r="K162" s="14">
        <v>1</v>
      </c>
      <c r="L162" s="15" t="s">
        <v>46</v>
      </c>
      <c r="M162" s="17" t="s">
        <v>75</v>
      </c>
      <c r="N162" s="14">
        <v>1</v>
      </c>
      <c r="O162" s="15" t="s">
        <v>46</v>
      </c>
      <c r="P162" s="17" t="s">
        <v>77</v>
      </c>
      <c r="Q162" s="14">
        <v>1</v>
      </c>
      <c r="R162" s="15" t="s">
        <v>78</v>
      </c>
      <c r="S162" s="17" t="s">
        <v>60</v>
      </c>
      <c r="T162" s="14">
        <v>1</v>
      </c>
    </row>
    <row r="163" spans="2:20" x14ac:dyDescent="0.3">
      <c r="B163" s="18" t="s">
        <v>9</v>
      </c>
      <c r="C163" s="15" t="s">
        <v>72</v>
      </c>
      <c r="D163" s="17" t="s">
        <v>60</v>
      </c>
      <c r="E163" s="14">
        <v>1</v>
      </c>
      <c r="F163" s="15" t="s">
        <v>72</v>
      </c>
      <c r="G163" s="17" t="s">
        <v>60</v>
      </c>
      <c r="H163" s="14">
        <v>1</v>
      </c>
      <c r="I163" s="15" t="s">
        <v>63</v>
      </c>
      <c r="J163" s="23" t="s">
        <v>118</v>
      </c>
      <c r="K163" s="14">
        <v>4</v>
      </c>
      <c r="L163" s="15" t="s">
        <v>72</v>
      </c>
      <c r="M163" s="17" t="s">
        <v>60</v>
      </c>
      <c r="N163" s="14">
        <v>1</v>
      </c>
      <c r="O163" s="15" t="s">
        <v>72</v>
      </c>
      <c r="P163" s="17" t="s">
        <v>60</v>
      </c>
      <c r="Q163" s="14">
        <v>1</v>
      </c>
      <c r="R163" s="15" t="s">
        <v>78</v>
      </c>
      <c r="S163" s="17" t="s">
        <v>60</v>
      </c>
      <c r="T163" s="14">
        <v>1</v>
      </c>
    </row>
    <row r="164" spans="2:20" x14ac:dyDescent="0.3">
      <c r="B164" s="18" t="s">
        <v>37</v>
      </c>
      <c r="C164" s="15" t="s">
        <v>72</v>
      </c>
      <c r="D164" s="17" t="s">
        <v>60</v>
      </c>
      <c r="E164" s="14">
        <v>1</v>
      </c>
      <c r="F164" s="15" t="s">
        <v>72</v>
      </c>
      <c r="G164" s="17" t="s">
        <v>60</v>
      </c>
      <c r="H164" s="14">
        <v>1</v>
      </c>
      <c r="I164" s="15" t="s">
        <v>64</v>
      </c>
      <c r="J164" s="17" t="s">
        <v>50</v>
      </c>
      <c r="K164" s="14">
        <v>1</v>
      </c>
      <c r="L164" s="15" t="s">
        <v>72</v>
      </c>
      <c r="M164" s="17" t="s">
        <v>60</v>
      </c>
      <c r="N164" s="14">
        <v>1</v>
      </c>
      <c r="O164" s="15" t="s">
        <v>72</v>
      </c>
      <c r="P164" s="17" t="s">
        <v>60</v>
      </c>
      <c r="Q164" s="14">
        <v>1</v>
      </c>
      <c r="R164" s="15" t="s">
        <v>78</v>
      </c>
      <c r="S164" s="17" t="s">
        <v>60</v>
      </c>
      <c r="T164" s="14">
        <v>1</v>
      </c>
    </row>
    <row r="165" spans="2:20" x14ac:dyDescent="0.3">
      <c r="B165" s="18" t="s">
        <v>7</v>
      </c>
      <c r="C165" s="15" t="s">
        <v>72</v>
      </c>
      <c r="D165" s="17" t="s">
        <v>60</v>
      </c>
      <c r="E165" s="14">
        <v>1</v>
      </c>
      <c r="F165" s="15" t="s">
        <v>69</v>
      </c>
      <c r="G165" s="17" t="s">
        <v>60</v>
      </c>
      <c r="H165" s="14">
        <v>1</v>
      </c>
      <c r="I165" s="15" t="s">
        <v>63</v>
      </c>
      <c r="J165" s="23" t="s">
        <v>118</v>
      </c>
      <c r="K165" s="14">
        <v>4</v>
      </c>
      <c r="L165" s="15" t="s">
        <v>72</v>
      </c>
      <c r="M165" s="17" t="s">
        <v>60</v>
      </c>
      <c r="N165" s="14">
        <v>1</v>
      </c>
      <c r="O165" s="15" t="s">
        <v>72</v>
      </c>
      <c r="P165" s="17" t="s">
        <v>60</v>
      </c>
      <c r="Q165" s="14">
        <v>1</v>
      </c>
      <c r="R165" s="15" t="s">
        <v>78</v>
      </c>
      <c r="S165" s="17" t="s">
        <v>60</v>
      </c>
      <c r="T165" s="14">
        <v>1</v>
      </c>
    </row>
    <row r="166" spans="2:20" x14ac:dyDescent="0.3">
      <c r="B166" s="18" t="s">
        <v>143</v>
      </c>
      <c r="C166" s="15" t="s">
        <v>72</v>
      </c>
      <c r="D166" s="17" t="s">
        <v>60</v>
      </c>
      <c r="E166" s="14">
        <v>1</v>
      </c>
      <c r="F166" s="15" t="s">
        <v>69</v>
      </c>
      <c r="G166" s="17" t="s">
        <v>60</v>
      </c>
      <c r="H166" s="14">
        <v>1</v>
      </c>
      <c r="I166" s="15" t="s">
        <v>63</v>
      </c>
      <c r="J166" s="23" t="s">
        <v>118</v>
      </c>
      <c r="K166" s="14">
        <v>4</v>
      </c>
      <c r="L166" s="15" t="s">
        <v>72</v>
      </c>
      <c r="M166" s="23" t="s">
        <v>117</v>
      </c>
      <c r="N166" s="14">
        <v>5</v>
      </c>
      <c r="O166" s="15" t="s">
        <v>72</v>
      </c>
      <c r="P166" s="17" t="s">
        <v>60</v>
      </c>
      <c r="Q166" s="14">
        <v>1</v>
      </c>
      <c r="R166" s="15" t="s">
        <v>78</v>
      </c>
      <c r="S166" s="17" t="s">
        <v>60</v>
      </c>
      <c r="T166" s="14">
        <v>1</v>
      </c>
    </row>
    <row r="167" spans="2:20" x14ac:dyDescent="0.3">
      <c r="B167" s="11" t="s">
        <v>40</v>
      </c>
      <c r="C167" s="15" t="s">
        <v>72</v>
      </c>
      <c r="D167" s="17" t="s">
        <v>60</v>
      </c>
      <c r="E167" s="14">
        <v>1</v>
      </c>
      <c r="F167" s="15" t="s">
        <v>72</v>
      </c>
      <c r="G167" s="17" t="s">
        <v>60</v>
      </c>
      <c r="H167" s="14">
        <v>1</v>
      </c>
      <c r="I167" s="15" t="s">
        <v>72</v>
      </c>
      <c r="J167" s="17" t="s">
        <v>60</v>
      </c>
      <c r="K167" s="14">
        <v>1</v>
      </c>
      <c r="L167" s="15" t="s">
        <v>72</v>
      </c>
      <c r="M167" s="17" t="s">
        <v>60</v>
      </c>
      <c r="N167" s="14">
        <v>1</v>
      </c>
      <c r="O167" s="15" t="s">
        <v>72</v>
      </c>
      <c r="P167" s="23" t="s">
        <v>117</v>
      </c>
      <c r="Q167" s="14">
        <v>3</v>
      </c>
      <c r="R167" s="15" t="s">
        <v>78</v>
      </c>
      <c r="S167" s="17" t="s">
        <v>60</v>
      </c>
      <c r="T167" s="14">
        <v>1</v>
      </c>
    </row>
    <row r="168" spans="2:20" x14ac:dyDescent="0.3">
      <c r="B168" s="11" t="s">
        <v>41</v>
      </c>
      <c r="C168" s="15" t="s">
        <v>72</v>
      </c>
      <c r="D168" s="17" t="s">
        <v>60</v>
      </c>
      <c r="E168" s="14">
        <v>1</v>
      </c>
      <c r="F168" s="15" t="s">
        <v>69</v>
      </c>
      <c r="G168" s="17" t="s">
        <v>60</v>
      </c>
      <c r="H168" s="14">
        <v>1</v>
      </c>
      <c r="I168" s="15" t="s">
        <v>64</v>
      </c>
      <c r="J168" s="17" t="s">
        <v>50</v>
      </c>
      <c r="K168" s="14">
        <v>1</v>
      </c>
      <c r="L168" s="15" t="s">
        <v>72</v>
      </c>
      <c r="M168" s="17" t="s">
        <v>60</v>
      </c>
      <c r="N168" s="14">
        <v>1</v>
      </c>
      <c r="O168" s="15" t="s">
        <v>72</v>
      </c>
      <c r="P168" s="17" t="s">
        <v>60</v>
      </c>
      <c r="Q168" s="14">
        <v>1</v>
      </c>
      <c r="R168" s="15" t="s">
        <v>78</v>
      </c>
      <c r="S168" s="17" t="s">
        <v>60</v>
      </c>
      <c r="T168" s="14">
        <v>1</v>
      </c>
    </row>
    <row r="169" spans="2:20" x14ac:dyDescent="0.3">
      <c r="B169" s="18" t="s">
        <v>42</v>
      </c>
      <c r="C169" s="15" t="s">
        <v>72</v>
      </c>
      <c r="D169" s="17" t="s">
        <v>60</v>
      </c>
      <c r="E169" s="14">
        <v>1</v>
      </c>
      <c r="F169" s="15" t="s">
        <v>69</v>
      </c>
      <c r="G169" s="17" t="s">
        <v>60</v>
      </c>
      <c r="H169" s="14">
        <v>1</v>
      </c>
      <c r="I169" s="15" t="s">
        <v>72</v>
      </c>
      <c r="J169" s="17" t="s">
        <v>60</v>
      </c>
      <c r="K169" s="14">
        <v>1</v>
      </c>
      <c r="L169" s="15" t="s">
        <v>72</v>
      </c>
      <c r="M169" s="17" t="s">
        <v>60</v>
      </c>
      <c r="N169" s="14">
        <v>1</v>
      </c>
      <c r="O169" s="15" t="s">
        <v>72</v>
      </c>
      <c r="P169" s="23" t="s">
        <v>117</v>
      </c>
      <c r="Q169" s="14">
        <v>4</v>
      </c>
      <c r="R169" s="15" t="s">
        <v>78</v>
      </c>
      <c r="S169" s="17" t="s">
        <v>60</v>
      </c>
      <c r="T169" s="14">
        <v>1</v>
      </c>
    </row>
    <row r="170" spans="2:20" x14ac:dyDescent="0.3">
      <c r="B170" s="18" t="s">
        <v>43</v>
      </c>
      <c r="C170" s="15" t="s">
        <v>72</v>
      </c>
      <c r="D170" s="17" t="s">
        <v>60</v>
      </c>
      <c r="E170" s="14">
        <v>1</v>
      </c>
      <c r="F170" s="15" t="s">
        <v>73</v>
      </c>
      <c r="G170" s="17"/>
      <c r="H170" s="14">
        <v>1</v>
      </c>
      <c r="I170" s="15" t="s">
        <v>73</v>
      </c>
      <c r="J170" s="17"/>
      <c r="K170" s="14"/>
      <c r="L170" s="15" t="s">
        <v>46</v>
      </c>
      <c r="M170" s="17" t="s">
        <v>75</v>
      </c>
      <c r="N170" s="14">
        <v>1</v>
      </c>
      <c r="O170" s="15" t="s">
        <v>46</v>
      </c>
      <c r="P170" s="17" t="s">
        <v>77</v>
      </c>
      <c r="Q170" s="14">
        <v>1</v>
      </c>
      <c r="R170" s="15" t="s">
        <v>78</v>
      </c>
      <c r="S170" s="17" t="s">
        <v>60</v>
      </c>
      <c r="T170" s="14">
        <v>1</v>
      </c>
    </row>
    <row r="171" spans="2:20" x14ac:dyDescent="0.3">
      <c r="B171" s="11" t="s">
        <v>44</v>
      </c>
      <c r="C171" s="15" t="s">
        <v>72</v>
      </c>
      <c r="D171" s="17" t="s">
        <v>60</v>
      </c>
      <c r="E171" s="14">
        <v>1</v>
      </c>
      <c r="F171" s="15" t="s">
        <v>69</v>
      </c>
      <c r="G171" s="17" t="s">
        <v>60</v>
      </c>
      <c r="H171" s="14">
        <v>1</v>
      </c>
      <c r="I171" s="15" t="s">
        <v>72</v>
      </c>
      <c r="J171" s="17" t="s">
        <v>60</v>
      </c>
      <c r="K171" s="14">
        <v>1</v>
      </c>
      <c r="L171" s="15" t="s">
        <v>72</v>
      </c>
      <c r="M171" s="17" t="s">
        <v>60</v>
      </c>
      <c r="N171" s="14">
        <v>1</v>
      </c>
      <c r="O171" s="15" t="s">
        <v>46</v>
      </c>
      <c r="P171" s="17" t="s">
        <v>77</v>
      </c>
      <c r="Q171" s="14">
        <v>1</v>
      </c>
      <c r="R171" s="15" t="s">
        <v>78</v>
      </c>
      <c r="S171" s="17" t="s">
        <v>60</v>
      </c>
      <c r="T171" s="14">
        <v>1</v>
      </c>
    </row>
    <row r="173" spans="2:20" ht="15" thickBot="1" x14ac:dyDescent="0.35"/>
    <row r="174" spans="2:20" x14ac:dyDescent="0.3">
      <c r="B174" s="2" t="s">
        <v>5</v>
      </c>
      <c r="C174" s="67">
        <v>46153</v>
      </c>
      <c r="D174" s="68"/>
      <c r="E174" s="69"/>
      <c r="F174" s="67">
        <v>46154</v>
      </c>
      <c r="G174" s="68"/>
      <c r="H174" s="68"/>
      <c r="I174" s="70">
        <v>46155</v>
      </c>
      <c r="J174" s="70"/>
      <c r="K174" s="70"/>
      <c r="L174" s="66"/>
      <c r="M174" s="66"/>
      <c r="N174" s="66"/>
      <c r="O174" s="66"/>
      <c r="P174" s="66"/>
      <c r="Q174" s="66"/>
      <c r="R174" s="66"/>
      <c r="S174" s="66"/>
      <c r="T174" s="66"/>
    </row>
    <row r="175" spans="2:20" x14ac:dyDescent="0.3">
      <c r="B175" s="20" t="s">
        <v>0</v>
      </c>
      <c r="C175" s="20" t="s">
        <v>1</v>
      </c>
      <c r="D175" s="20" t="s">
        <v>2</v>
      </c>
      <c r="E175" s="21" t="s">
        <v>3</v>
      </c>
      <c r="F175" s="19" t="s">
        <v>1</v>
      </c>
      <c r="G175" s="20" t="s">
        <v>2</v>
      </c>
      <c r="H175" s="4" t="s">
        <v>3</v>
      </c>
      <c r="I175" s="20" t="s">
        <v>1</v>
      </c>
      <c r="J175" s="20" t="s">
        <v>2</v>
      </c>
      <c r="K175" s="20" t="s">
        <v>3</v>
      </c>
      <c r="L175" s="9"/>
      <c r="M175" s="9"/>
      <c r="N175" s="9"/>
      <c r="O175" s="9"/>
      <c r="P175" s="9"/>
      <c r="Q175" s="9"/>
      <c r="R175" s="9"/>
      <c r="S175" s="9"/>
      <c r="T175" s="9"/>
    </row>
    <row r="176" spans="2:20" x14ac:dyDescent="0.3">
      <c r="B176" s="11" t="s">
        <v>6</v>
      </c>
      <c r="C176" s="17" t="s">
        <v>49</v>
      </c>
      <c r="D176" s="13" t="s">
        <v>49</v>
      </c>
      <c r="E176" s="14">
        <v>1</v>
      </c>
      <c r="F176" s="12" t="s">
        <v>49</v>
      </c>
      <c r="G176" s="13" t="s">
        <v>49</v>
      </c>
      <c r="H176" s="14">
        <v>1</v>
      </c>
      <c r="I176" s="12" t="s">
        <v>49</v>
      </c>
      <c r="J176" s="13" t="s">
        <v>49</v>
      </c>
      <c r="K176" s="14">
        <v>1</v>
      </c>
      <c r="L176" s="9"/>
      <c r="M176" s="9"/>
      <c r="N176" s="9"/>
      <c r="O176" s="9"/>
      <c r="P176" s="9"/>
      <c r="Q176" s="9"/>
      <c r="R176" s="9"/>
      <c r="S176" s="9"/>
      <c r="T176" s="9"/>
    </row>
    <row r="177" spans="1:20" x14ac:dyDescent="0.3">
      <c r="B177" s="11" t="s">
        <v>10</v>
      </c>
      <c r="C177" s="17" t="s">
        <v>49</v>
      </c>
      <c r="D177" s="17" t="s">
        <v>49</v>
      </c>
      <c r="E177" s="14">
        <v>1</v>
      </c>
      <c r="F177" s="16" t="s">
        <v>49</v>
      </c>
      <c r="G177" s="17" t="s">
        <v>49</v>
      </c>
      <c r="H177" s="14">
        <v>1</v>
      </c>
      <c r="I177" s="16" t="s">
        <v>49</v>
      </c>
      <c r="J177" s="17" t="s">
        <v>49</v>
      </c>
      <c r="K177" s="14">
        <v>1</v>
      </c>
      <c r="L177" s="9"/>
      <c r="M177" s="9"/>
      <c r="N177" s="9"/>
      <c r="O177" s="9"/>
      <c r="P177" s="9"/>
      <c r="Q177" s="9"/>
      <c r="R177" s="9"/>
      <c r="S177" s="9"/>
      <c r="T177" s="9"/>
    </row>
    <row r="178" spans="1:20" x14ac:dyDescent="0.3">
      <c r="B178" s="11" t="s">
        <v>22</v>
      </c>
      <c r="C178" s="17" t="s">
        <v>48</v>
      </c>
      <c r="D178" s="17" t="s">
        <v>48</v>
      </c>
      <c r="E178" s="14">
        <v>1</v>
      </c>
      <c r="F178" s="16" t="s">
        <v>48</v>
      </c>
      <c r="G178" s="17" t="s">
        <v>48</v>
      </c>
      <c r="H178" s="14">
        <v>1</v>
      </c>
      <c r="I178" s="16" t="s">
        <v>48</v>
      </c>
      <c r="J178" s="17" t="s">
        <v>48</v>
      </c>
      <c r="K178" s="14">
        <v>1</v>
      </c>
      <c r="L178" s="9"/>
      <c r="M178" s="9"/>
      <c r="N178" s="9"/>
      <c r="O178" s="9"/>
      <c r="P178" s="9"/>
      <c r="Q178" s="9"/>
      <c r="R178" s="9"/>
      <c r="S178" s="9"/>
      <c r="T178" s="9"/>
    </row>
    <row r="179" spans="1:20" x14ac:dyDescent="0.3">
      <c r="B179" s="11" t="s">
        <v>36</v>
      </c>
      <c r="C179" s="17" t="s">
        <v>51</v>
      </c>
      <c r="D179" s="17" t="s">
        <v>50</v>
      </c>
      <c r="E179" s="14">
        <v>1</v>
      </c>
      <c r="F179" s="16" t="s">
        <v>51</v>
      </c>
      <c r="G179" s="17" t="s">
        <v>50</v>
      </c>
      <c r="H179" s="14">
        <v>1</v>
      </c>
      <c r="I179" s="16" t="s">
        <v>51</v>
      </c>
      <c r="J179" s="17" t="s">
        <v>50</v>
      </c>
      <c r="K179" s="14">
        <v>1</v>
      </c>
      <c r="L179" s="9"/>
      <c r="M179" s="9"/>
      <c r="N179" s="9"/>
      <c r="O179" s="9"/>
      <c r="P179" s="9"/>
      <c r="Q179" s="9"/>
      <c r="R179" s="9"/>
      <c r="S179" s="9"/>
      <c r="T179" s="9"/>
    </row>
    <row r="180" spans="1:20" x14ac:dyDescent="0.3">
      <c r="B180" s="11" t="s">
        <v>38</v>
      </c>
      <c r="C180" s="17" t="s">
        <v>51</v>
      </c>
      <c r="D180" s="17" t="s">
        <v>50</v>
      </c>
      <c r="E180" s="14">
        <v>1</v>
      </c>
      <c r="F180" s="16" t="s">
        <v>51</v>
      </c>
      <c r="G180" s="17" t="s">
        <v>50</v>
      </c>
      <c r="H180" s="14">
        <v>1</v>
      </c>
      <c r="I180" s="16" t="s">
        <v>51</v>
      </c>
      <c r="J180" s="17" t="s">
        <v>50</v>
      </c>
      <c r="K180" s="14">
        <v>1</v>
      </c>
      <c r="L180" s="9"/>
      <c r="M180" s="9"/>
      <c r="N180" s="9"/>
      <c r="O180" s="9"/>
      <c r="P180" s="9"/>
      <c r="Q180" s="9"/>
      <c r="R180" s="9"/>
      <c r="S180" s="9"/>
      <c r="T180" s="9"/>
    </row>
    <row r="181" spans="1:20" customFormat="1" ht="15.6" x14ac:dyDescent="0.3">
      <c r="A181" s="1"/>
      <c r="B181" s="22" t="s">
        <v>80</v>
      </c>
      <c r="C181" s="22" t="s">
        <v>113</v>
      </c>
      <c r="D181" s="22" t="s">
        <v>75</v>
      </c>
      <c r="E181" s="22">
        <v>1</v>
      </c>
      <c r="F181" s="22" t="s">
        <v>114</v>
      </c>
      <c r="G181" s="22" t="s">
        <v>60</v>
      </c>
      <c r="H181" s="22">
        <v>1</v>
      </c>
      <c r="I181" s="22"/>
      <c r="J181" s="22"/>
      <c r="K181" s="22"/>
    </row>
    <row r="182" spans="1:20" customFormat="1" ht="15.6" x14ac:dyDescent="0.3">
      <c r="A182" s="1"/>
      <c r="B182" s="22" t="s">
        <v>81</v>
      </c>
      <c r="C182" s="22" t="s">
        <v>114</v>
      </c>
      <c r="D182" s="22" t="s">
        <v>60</v>
      </c>
      <c r="E182" s="22">
        <v>1</v>
      </c>
      <c r="F182" s="22" t="s">
        <v>114</v>
      </c>
      <c r="G182" s="22" t="s">
        <v>60</v>
      </c>
      <c r="H182" s="22">
        <v>1</v>
      </c>
      <c r="I182" s="22" t="s">
        <v>114</v>
      </c>
      <c r="J182" s="22" t="s">
        <v>60</v>
      </c>
      <c r="K182" s="22">
        <v>1</v>
      </c>
    </row>
    <row r="183" spans="1:20" customFormat="1" ht="15.6" x14ac:dyDescent="0.3">
      <c r="A183" s="1"/>
      <c r="B183" s="22" t="s">
        <v>82</v>
      </c>
      <c r="C183" s="22" t="s">
        <v>114</v>
      </c>
      <c r="D183" s="22" t="s">
        <v>60</v>
      </c>
      <c r="E183" s="22">
        <v>1</v>
      </c>
      <c r="F183" s="22" t="s">
        <v>114</v>
      </c>
      <c r="G183" s="22" t="s">
        <v>60</v>
      </c>
      <c r="H183" s="22">
        <v>1</v>
      </c>
      <c r="I183" s="22" t="s">
        <v>114</v>
      </c>
      <c r="J183" s="22" t="s">
        <v>60</v>
      </c>
      <c r="K183" s="22">
        <v>1</v>
      </c>
    </row>
    <row r="184" spans="1:20" customFormat="1" ht="15.6" x14ac:dyDescent="0.3">
      <c r="A184" s="1"/>
      <c r="B184" s="22" t="s">
        <v>83</v>
      </c>
      <c r="C184" s="22" t="s">
        <v>113</v>
      </c>
      <c r="D184" s="22" t="s">
        <v>75</v>
      </c>
      <c r="E184" s="22">
        <v>1</v>
      </c>
      <c r="F184" s="22" t="s">
        <v>113</v>
      </c>
      <c r="G184" s="22" t="s">
        <v>75</v>
      </c>
      <c r="H184" s="22">
        <v>1</v>
      </c>
      <c r="I184" s="22" t="s">
        <v>114</v>
      </c>
      <c r="J184" s="22" t="s">
        <v>60</v>
      </c>
      <c r="K184" s="22">
        <v>1</v>
      </c>
    </row>
    <row r="185" spans="1:20" customFormat="1" ht="15.6" x14ac:dyDescent="0.3">
      <c r="A185" s="1"/>
      <c r="B185" s="22" t="s">
        <v>84</v>
      </c>
      <c r="C185" s="22" t="s">
        <v>113</v>
      </c>
      <c r="D185" s="22" t="s">
        <v>75</v>
      </c>
      <c r="E185" s="22">
        <v>1</v>
      </c>
      <c r="F185" s="22" t="s">
        <v>113</v>
      </c>
      <c r="G185" s="22" t="s">
        <v>75</v>
      </c>
      <c r="H185" s="22">
        <v>1</v>
      </c>
      <c r="I185" s="22" t="s">
        <v>114</v>
      </c>
      <c r="J185" s="22" t="s">
        <v>60</v>
      </c>
      <c r="K185" s="22">
        <v>1</v>
      </c>
    </row>
    <row r="186" spans="1:20" customFormat="1" ht="15.6" x14ac:dyDescent="0.3">
      <c r="A186" s="1"/>
      <c r="B186" s="22" t="s">
        <v>85</v>
      </c>
      <c r="C186" s="22" t="s">
        <v>114</v>
      </c>
      <c r="D186" s="22" t="s">
        <v>60</v>
      </c>
      <c r="E186" s="22">
        <v>1</v>
      </c>
      <c r="F186" s="22" t="s">
        <v>114</v>
      </c>
      <c r="G186" s="22" t="s">
        <v>60</v>
      </c>
      <c r="H186" s="22">
        <v>1</v>
      </c>
      <c r="I186" s="22" t="s">
        <v>114</v>
      </c>
      <c r="J186" s="22" t="s">
        <v>60</v>
      </c>
      <c r="K186" s="22">
        <v>1</v>
      </c>
    </row>
    <row r="187" spans="1:20" customFormat="1" ht="15.6" x14ac:dyDescent="0.3">
      <c r="A187" s="1"/>
      <c r="B187" s="22" t="s">
        <v>86</v>
      </c>
      <c r="C187" s="22" t="s">
        <v>114</v>
      </c>
      <c r="D187" s="22" t="s">
        <v>60</v>
      </c>
      <c r="E187" s="22">
        <v>1</v>
      </c>
      <c r="F187" s="22" t="s">
        <v>114</v>
      </c>
      <c r="G187" s="22" t="s">
        <v>60</v>
      </c>
      <c r="H187" s="22">
        <v>1</v>
      </c>
      <c r="I187" s="22" t="s">
        <v>114</v>
      </c>
      <c r="J187" s="22" t="s">
        <v>60</v>
      </c>
      <c r="K187" s="22">
        <v>1</v>
      </c>
    </row>
    <row r="188" spans="1:20" customFormat="1" ht="15.6" x14ac:dyDescent="0.3">
      <c r="A188" s="1"/>
      <c r="B188" s="22" t="s">
        <v>87</v>
      </c>
      <c r="C188" s="22" t="s">
        <v>114</v>
      </c>
      <c r="D188" s="22" t="s">
        <v>60</v>
      </c>
      <c r="E188" s="22">
        <v>1</v>
      </c>
      <c r="F188" s="22" t="s">
        <v>114</v>
      </c>
      <c r="G188" s="22" t="s">
        <v>60</v>
      </c>
      <c r="H188" s="22">
        <v>1</v>
      </c>
      <c r="I188" s="22"/>
      <c r="J188" s="22"/>
      <c r="K188" s="22"/>
    </row>
    <row r="189" spans="1:20" customFormat="1" ht="15.6" x14ac:dyDescent="0.3">
      <c r="A189" s="1"/>
      <c r="B189" s="22" t="s">
        <v>88</v>
      </c>
      <c r="C189" s="22" t="s">
        <v>114</v>
      </c>
      <c r="D189" s="22" t="s">
        <v>60</v>
      </c>
      <c r="E189" s="22">
        <v>1</v>
      </c>
      <c r="F189" s="22" t="s">
        <v>114</v>
      </c>
      <c r="G189" s="22" t="s">
        <v>60</v>
      </c>
      <c r="H189" s="22">
        <v>1</v>
      </c>
      <c r="I189" s="22" t="s">
        <v>114</v>
      </c>
      <c r="J189" s="22" t="s">
        <v>60</v>
      </c>
      <c r="K189" s="22">
        <v>1</v>
      </c>
    </row>
    <row r="190" spans="1:20" customFormat="1" ht="15.6" x14ac:dyDescent="0.3">
      <c r="A190" s="1"/>
      <c r="B190" s="22" t="s">
        <v>89</v>
      </c>
      <c r="C190" s="22" t="s">
        <v>114</v>
      </c>
      <c r="D190" s="22" t="s">
        <v>60</v>
      </c>
      <c r="E190" s="22">
        <v>1</v>
      </c>
      <c r="F190" s="22" t="s">
        <v>114</v>
      </c>
      <c r="G190" s="22" t="s">
        <v>60</v>
      </c>
      <c r="H190" s="22">
        <v>1</v>
      </c>
      <c r="I190" s="22" t="s">
        <v>65</v>
      </c>
      <c r="J190" s="22"/>
      <c r="K190" s="22"/>
    </row>
    <row r="191" spans="1:20" customFormat="1" ht="15.6" x14ac:dyDescent="0.3">
      <c r="A191" s="1"/>
      <c r="B191" s="22" t="s">
        <v>90</v>
      </c>
      <c r="C191" s="22" t="s">
        <v>114</v>
      </c>
      <c r="D191" s="22" t="s">
        <v>60</v>
      </c>
      <c r="E191" s="22">
        <v>1</v>
      </c>
      <c r="F191" s="22" t="s">
        <v>115</v>
      </c>
      <c r="G191" s="22" t="s">
        <v>116</v>
      </c>
      <c r="H191" s="22">
        <v>1</v>
      </c>
      <c r="I191" s="22" t="s">
        <v>114</v>
      </c>
      <c r="J191" s="22" t="s">
        <v>60</v>
      </c>
      <c r="K191" s="22">
        <v>1</v>
      </c>
    </row>
    <row r="192" spans="1:20" customFormat="1" ht="15.6" x14ac:dyDescent="0.3">
      <c r="A192" s="1"/>
      <c r="B192" s="22" t="s">
        <v>91</v>
      </c>
      <c r="C192" s="22" t="s">
        <v>114</v>
      </c>
      <c r="D192" s="22" t="s">
        <v>60</v>
      </c>
      <c r="E192" s="22">
        <v>1</v>
      </c>
      <c r="F192" s="22" t="s">
        <v>114</v>
      </c>
      <c r="G192" s="22" t="s">
        <v>60</v>
      </c>
      <c r="H192" s="22">
        <v>1</v>
      </c>
      <c r="I192" s="22"/>
      <c r="J192" s="22"/>
      <c r="K192" s="22"/>
    </row>
    <row r="193" spans="1:11" customFormat="1" ht="15.6" x14ac:dyDescent="0.3">
      <c r="A193" s="1"/>
      <c r="B193" s="22" t="s">
        <v>23</v>
      </c>
      <c r="C193" s="22" t="s">
        <v>114</v>
      </c>
      <c r="D193" s="22" t="s">
        <v>60</v>
      </c>
      <c r="E193" s="22">
        <v>1</v>
      </c>
      <c r="F193" s="22" t="s">
        <v>114</v>
      </c>
      <c r="G193" s="22" t="s">
        <v>60</v>
      </c>
      <c r="H193" s="22">
        <v>1</v>
      </c>
      <c r="I193" s="22" t="s">
        <v>114</v>
      </c>
      <c r="J193" s="22" t="s">
        <v>60</v>
      </c>
      <c r="K193" s="22">
        <v>1</v>
      </c>
    </row>
    <row r="194" spans="1:11" customFormat="1" ht="15.6" x14ac:dyDescent="0.3">
      <c r="A194" s="1"/>
      <c r="B194" s="22" t="s">
        <v>92</v>
      </c>
      <c r="C194" s="22" t="s">
        <v>114</v>
      </c>
      <c r="D194" s="22" t="s">
        <v>60</v>
      </c>
      <c r="E194" s="22">
        <v>1</v>
      </c>
      <c r="F194" s="22" t="s">
        <v>114</v>
      </c>
      <c r="G194" s="22" t="s">
        <v>60</v>
      </c>
      <c r="H194" s="22">
        <v>1</v>
      </c>
      <c r="I194" s="22" t="s">
        <v>114</v>
      </c>
      <c r="J194" s="22" t="s">
        <v>60</v>
      </c>
      <c r="K194" s="22">
        <v>1</v>
      </c>
    </row>
    <row r="195" spans="1:11" customFormat="1" ht="15.6" x14ac:dyDescent="0.3">
      <c r="A195" s="1"/>
      <c r="B195" s="22" t="s">
        <v>93</v>
      </c>
      <c r="C195" s="22" t="s">
        <v>113</v>
      </c>
      <c r="D195" s="22" t="s">
        <v>75</v>
      </c>
      <c r="E195" s="22">
        <v>1</v>
      </c>
      <c r="F195" s="22" t="s">
        <v>113</v>
      </c>
      <c r="G195" s="22" t="s">
        <v>75</v>
      </c>
      <c r="H195" s="22">
        <v>1</v>
      </c>
      <c r="I195" s="22"/>
      <c r="J195" s="22"/>
      <c r="K195" s="22"/>
    </row>
    <row r="196" spans="1:11" customFormat="1" ht="15.6" x14ac:dyDescent="0.3">
      <c r="A196" s="1"/>
      <c r="B196" s="22" t="s">
        <v>94</v>
      </c>
      <c r="C196" s="22" t="s">
        <v>114</v>
      </c>
      <c r="D196" s="22" t="s">
        <v>60</v>
      </c>
      <c r="E196" s="22">
        <v>1</v>
      </c>
      <c r="F196" s="22" t="s">
        <v>114</v>
      </c>
      <c r="G196" s="22" t="s">
        <v>60</v>
      </c>
      <c r="H196" s="22">
        <v>1</v>
      </c>
      <c r="I196" s="22" t="s">
        <v>114</v>
      </c>
      <c r="J196" s="22" t="s">
        <v>60</v>
      </c>
      <c r="K196" s="22">
        <v>1</v>
      </c>
    </row>
    <row r="197" spans="1:11" customFormat="1" ht="15.6" x14ac:dyDescent="0.3">
      <c r="A197" s="1"/>
      <c r="B197" s="22" t="s">
        <v>95</v>
      </c>
      <c r="C197" s="22" t="s">
        <v>114</v>
      </c>
      <c r="D197" s="22" t="s">
        <v>60</v>
      </c>
      <c r="E197" s="22">
        <v>1</v>
      </c>
      <c r="F197" s="22" t="s">
        <v>114</v>
      </c>
      <c r="G197" s="22" t="s">
        <v>60</v>
      </c>
      <c r="H197" s="22">
        <v>1</v>
      </c>
      <c r="I197" s="22" t="s">
        <v>114</v>
      </c>
      <c r="J197" s="22" t="s">
        <v>60</v>
      </c>
      <c r="K197" s="22">
        <v>1</v>
      </c>
    </row>
    <row r="198" spans="1:11" customFormat="1" ht="15.6" x14ac:dyDescent="0.3">
      <c r="A198" s="1"/>
      <c r="B198" s="22" t="s">
        <v>96</v>
      </c>
      <c r="C198" s="22" t="s">
        <v>114</v>
      </c>
      <c r="D198" s="22" t="s">
        <v>60</v>
      </c>
      <c r="E198" s="22">
        <v>1</v>
      </c>
      <c r="F198" s="22" t="s">
        <v>114</v>
      </c>
      <c r="G198" s="22" t="s">
        <v>60</v>
      </c>
      <c r="H198" s="22">
        <v>1</v>
      </c>
      <c r="I198" s="22" t="s">
        <v>114</v>
      </c>
      <c r="J198" s="22" t="s">
        <v>60</v>
      </c>
      <c r="K198" s="22">
        <v>1</v>
      </c>
    </row>
    <row r="199" spans="1:11" customFormat="1" ht="15.6" x14ac:dyDescent="0.3">
      <c r="A199" s="1"/>
      <c r="B199" s="22" t="s">
        <v>97</v>
      </c>
      <c r="C199" s="22" t="s">
        <v>114</v>
      </c>
      <c r="D199" s="22" t="s">
        <v>65</v>
      </c>
      <c r="E199" s="22">
        <v>1</v>
      </c>
      <c r="F199" s="22" t="s">
        <v>114</v>
      </c>
      <c r="G199" s="22" t="s">
        <v>60</v>
      </c>
      <c r="H199" s="22">
        <v>1</v>
      </c>
      <c r="I199" s="22" t="s">
        <v>114</v>
      </c>
      <c r="J199" s="22" t="s">
        <v>60</v>
      </c>
      <c r="K199" s="22">
        <v>1</v>
      </c>
    </row>
    <row r="200" spans="1:11" customFormat="1" ht="15.6" x14ac:dyDescent="0.3">
      <c r="A200" s="1"/>
      <c r="B200" s="22" t="s">
        <v>98</v>
      </c>
      <c r="C200" s="22" t="s">
        <v>114</v>
      </c>
      <c r="D200" s="22" t="s">
        <v>65</v>
      </c>
      <c r="E200" s="22">
        <v>1</v>
      </c>
      <c r="F200" s="22" t="s">
        <v>114</v>
      </c>
      <c r="G200" s="22" t="s">
        <v>60</v>
      </c>
      <c r="H200" s="22">
        <v>1</v>
      </c>
      <c r="I200" s="22" t="s">
        <v>65</v>
      </c>
      <c r="J200" s="22"/>
      <c r="K200" s="22"/>
    </row>
    <row r="201" spans="1:11" customFormat="1" ht="15.6" x14ac:dyDescent="0.3">
      <c r="A201" s="1"/>
      <c r="B201" s="22" t="s">
        <v>99</v>
      </c>
      <c r="C201" s="22" t="s">
        <v>114</v>
      </c>
      <c r="D201" s="22" t="s">
        <v>60</v>
      </c>
      <c r="E201" s="22">
        <v>1</v>
      </c>
      <c r="F201" s="22" t="s">
        <v>114</v>
      </c>
      <c r="G201" s="22" t="s">
        <v>60</v>
      </c>
      <c r="H201" s="22">
        <v>1</v>
      </c>
      <c r="I201" s="22" t="s">
        <v>114</v>
      </c>
      <c r="J201" s="22" t="s">
        <v>60</v>
      </c>
      <c r="K201" s="22">
        <v>1</v>
      </c>
    </row>
    <row r="202" spans="1:11" customFormat="1" ht="15.6" x14ac:dyDescent="0.3">
      <c r="A202" s="1"/>
      <c r="B202" s="22" t="s">
        <v>100</v>
      </c>
      <c r="C202" s="22" t="s">
        <v>113</v>
      </c>
      <c r="D202" s="22" t="s">
        <v>75</v>
      </c>
      <c r="E202" s="22">
        <v>1</v>
      </c>
      <c r="F202" s="22" t="s">
        <v>113</v>
      </c>
      <c r="G202" s="22"/>
      <c r="H202" s="22">
        <v>1</v>
      </c>
      <c r="I202" s="22"/>
      <c r="J202" s="22"/>
      <c r="K202" s="22"/>
    </row>
    <row r="203" spans="1:11" customFormat="1" ht="15.6" x14ac:dyDescent="0.3">
      <c r="A203" s="1"/>
      <c r="B203" s="22" t="s">
        <v>101</v>
      </c>
      <c r="C203" s="22" t="s">
        <v>113</v>
      </c>
      <c r="D203" s="22" t="s">
        <v>75</v>
      </c>
      <c r="E203" s="22">
        <v>1</v>
      </c>
      <c r="F203" s="22" t="s">
        <v>113</v>
      </c>
      <c r="G203" s="22" t="s">
        <v>75</v>
      </c>
      <c r="H203" s="22">
        <v>1</v>
      </c>
      <c r="I203" s="22" t="s">
        <v>114</v>
      </c>
      <c r="J203" s="22" t="s">
        <v>60</v>
      </c>
      <c r="K203" s="22">
        <v>1</v>
      </c>
    </row>
    <row r="204" spans="1:11" customFormat="1" ht="15.6" x14ac:dyDescent="0.3">
      <c r="A204" s="1"/>
      <c r="B204" s="22" t="s">
        <v>102</v>
      </c>
      <c r="C204" s="22"/>
      <c r="D204" s="22"/>
      <c r="E204" s="22"/>
      <c r="F204" s="22" t="s">
        <v>113</v>
      </c>
      <c r="G204" s="22" t="s">
        <v>75</v>
      </c>
      <c r="H204" s="22">
        <v>1</v>
      </c>
      <c r="I204" s="22" t="s">
        <v>114</v>
      </c>
      <c r="J204" s="22" t="s">
        <v>60</v>
      </c>
      <c r="K204" s="22">
        <v>1</v>
      </c>
    </row>
    <row r="205" spans="1:11" customFormat="1" ht="15.6" x14ac:dyDescent="0.3">
      <c r="A205" s="1"/>
      <c r="B205" s="22" t="s">
        <v>103</v>
      </c>
      <c r="C205" s="22" t="s">
        <v>113</v>
      </c>
      <c r="D205" s="22" t="s">
        <v>75</v>
      </c>
      <c r="E205" s="22">
        <v>1</v>
      </c>
      <c r="F205" s="22" t="s">
        <v>114</v>
      </c>
      <c r="G205" s="22" t="s">
        <v>60</v>
      </c>
      <c r="H205" s="22">
        <v>1</v>
      </c>
      <c r="I205" s="22" t="s">
        <v>114</v>
      </c>
      <c r="J205" s="22" t="s">
        <v>60</v>
      </c>
      <c r="K205" s="22">
        <v>1</v>
      </c>
    </row>
    <row r="206" spans="1:11" customFormat="1" ht="15.6" x14ac:dyDescent="0.3">
      <c r="A206" s="1"/>
      <c r="B206" s="22" t="s">
        <v>104</v>
      </c>
      <c r="C206" s="22" t="s">
        <v>114</v>
      </c>
      <c r="D206" s="22" t="s">
        <v>60</v>
      </c>
      <c r="E206" s="22">
        <v>1</v>
      </c>
      <c r="F206" s="22" t="s">
        <v>114</v>
      </c>
      <c r="G206" s="22" t="s">
        <v>60</v>
      </c>
      <c r="H206" s="22">
        <v>1</v>
      </c>
      <c r="I206" s="22" t="s">
        <v>114</v>
      </c>
      <c r="J206" s="22" t="s">
        <v>60</v>
      </c>
      <c r="K206" s="22">
        <v>1</v>
      </c>
    </row>
    <row r="207" spans="1:11" customFormat="1" ht="15.6" x14ac:dyDescent="0.3">
      <c r="A207" s="1"/>
      <c r="B207" s="22" t="s">
        <v>105</v>
      </c>
      <c r="C207" s="22" t="s">
        <v>114</v>
      </c>
      <c r="D207" s="22" t="s">
        <v>60</v>
      </c>
      <c r="E207" s="22">
        <v>1</v>
      </c>
      <c r="F207" s="22" t="s">
        <v>114</v>
      </c>
      <c r="G207" s="22" t="s">
        <v>60</v>
      </c>
      <c r="H207" s="22">
        <v>1</v>
      </c>
      <c r="I207" s="22" t="s">
        <v>114</v>
      </c>
      <c r="J207" s="22" t="s">
        <v>60</v>
      </c>
      <c r="K207" s="22">
        <v>1</v>
      </c>
    </row>
    <row r="208" spans="1:11" customFormat="1" ht="15.6" x14ac:dyDescent="0.3">
      <c r="A208" s="1"/>
      <c r="B208" s="22" t="s">
        <v>106</v>
      </c>
      <c r="C208" s="22" t="s">
        <v>114</v>
      </c>
      <c r="D208" s="22" t="s">
        <v>60</v>
      </c>
      <c r="E208" s="22">
        <v>1</v>
      </c>
      <c r="F208" s="22" t="s">
        <v>114</v>
      </c>
      <c r="G208" s="22" t="s">
        <v>60</v>
      </c>
      <c r="H208" s="22">
        <v>1</v>
      </c>
      <c r="I208" s="22"/>
      <c r="J208" s="22"/>
      <c r="K208" s="22"/>
    </row>
    <row r="209" spans="1:11" customFormat="1" ht="15.6" x14ac:dyDescent="0.3">
      <c r="A209" s="1"/>
      <c r="B209" s="22" t="s">
        <v>107</v>
      </c>
      <c r="C209" s="22" t="s">
        <v>114</v>
      </c>
      <c r="D209" s="22" t="s">
        <v>60</v>
      </c>
      <c r="E209" s="22">
        <v>1</v>
      </c>
      <c r="F209" s="22" t="s">
        <v>114</v>
      </c>
      <c r="G209" s="22" t="s">
        <v>60</v>
      </c>
      <c r="H209" s="22">
        <v>1</v>
      </c>
      <c r="I209" s="22" t="s">
        <v>114</v>
      </c>
      <c r="J209" s="22" t="s">
        <v>60</v>
      </c>
      <c r="K209" s="22">
        <v>1</v>
      </c>
    </row>
    <row r="210" spans="1:11" customFormat="1" ht="15.6" x14ac:dyDescent="0.3">
      <c r="A210" s="1"/>
      <c r="B210" s="22" t="s">
        <v>108</v>
      </c>
      <c r="C210" s="22" t="s">
        <v>114</v>
      </c>
      <c r="D210" s="22" t="s">
        <v>60</v>
      </c>
      <c r="E210" s="22">
        <v>1</v>
      </c>
      <c r="F210" s="22" t="s">
        <v>114</v>
      </c>
      <c r="G210" s="22" t="s">
        <v>60</v>
      </c>
      <c r="H210" s="22">
        <v>1</v>
      </c>
      <c r="I210" s="22" t="s">
        <v>114</v>
      </c>
      <c r="J210" s="22" t="s">
        <v>60</v>
      </c>
      <c r="K210" s="22">
        <v>1</v>
      </c>
    </row>
    <row r="211" spans="1:11" customFormat="1" ht="15.6" x14ac:dyDescent="0.3">
      <c r="A211" s="1"/>
      <c r="B211" s="22" t="s">
        <v>109</v>
      </c>
      <c r="C211" s="22" t="s">
        <v>114</v>
      </c>
      <c r="D211" s="22" t="s">
        <v>60</v>
      </c>
      <c r="E211" s="22">
        <v>1</v>
      </c>
      <c r="F211" s="22" t="s">
        <v>114</v>
      </c>
      <c r="G211" s="22" t="s">
        <v>60</v>
      </c>
      <c r="H211" s="22">
        <v>1</v>
      </c>
      <c r="I211" s="22" t="s">
        <v>114</v>
      </c>
      <c r="J211" s="22" t="s">
        <v>60</v>
      </c>
      <c r="K211" s="22">
        <v>1</v>
      </c>
    </row>
    <row r="212" spans="1:11" customFormat="1" ht="15.6" x14ac:dyDescent="0.3">
      <c r="A212" s="1"/>
      <c r="B212" s="22" t="s">
        <v>110</v>
      </c>
      <c r="C212" s="22" t="s">
        <v>113</v>
      </c>
      <c r="D212" s="22" t="s">
        <v>75</v>
      </c>
      <c r="E212" s="22">
        <v>1</v>
      </c>
      <c r="F212" s="22" t="s">
        <v>113</v>
      </c>
      <c r="G212" s="22" t="s">
        <v>75</v>
      </c>
      <c r="H212" s="22">
        <v>1</v>
      </c>
      <c r="I212" s="22" t="s">
        <v>114</v>
      </c>
      <c r="J212" s="22" t="s">
        <v>60</v>
      </c>
      <c r="K212" s="22">
        <v>1</v>
      </c>
    </row>
    <row r="213" spans="1:11" customFormat="1" ht="15.6" x14ac:dyDescent="0.3">
      <c r="A213" s="1"/>
      <c r="B213" s="22" t="s">
        <v>111</v>
      </c>
      <c r="C213" s="22" t="s">
        <v>113</v>
      </c>
      <c r="D213" s="22" t="s">
        <v>75</v>
      </c>
      <c r="E213" s="22">
        <v>1</v>
      </c>
      <c r="F213" s="22" t="s">
        <v>113</v>
      </c>
      <c r="G213" s="22" t="s">
        <v>75</v>
      </c>
      <c r="H213" s="22">
        <v>1</v>
      </c>
      <c r="I213" s="22" t="s">
        <v>114</v>
      </c>
      <c r="J213" s="22" t="s">
        <v>60</v>
      </c>
      <c r="K213" s="22">
        <v>1</v>
      </c>
    </row>
    <row r="214" spans="1:11" customFormat="1" ht="15.6" x14ac:dyDescent="0.3">
      <c r="A214" s="1"/>
      <c r="B214" s="22" t="s">
        <v>112</v>
      </c>
      <c r="C214" s="22" t="s">
        <v>113</v>
      </c>
      <c r="D214" s="22" t="s">
        <v>75</v>
      </c>
      <c r="E214" s="22">
        <v>1</v>
      </c>
      <c r="F214" s="22" t="s">
        <v>113</v>
      </c>
      <c r="G214" s="22" t="s">
        <v>75</v>
      </c>
      <c r="H214" s="22">
        <v>1</v>
      </c>
      <c r="I214" s="22" t="s">
        <v>114</v>
      </c>
      <c r="J214" s="22" t="s">
        <v>60</v>
      </c>
      <c r="K214" s="22">
        <v>1</v>
      </c>
    </row>
  </sheetData>
  <mergeCells count="32">
    <mergeCell ref="R131:T131"/>
    <mergeCell ref="C131:E131"/>
    <mergeCell ref="F131:H131"/>
    <mergeCell ref="I131:K131"/>
    <mergeCell ref="L131:N131"/>
    <mergeCell ref="O131:Q131"/>
    <mergeCell ref="U45:W45"/>
    <mergeCell ref="C88:E88"/>
    <mergeCell ref="F88:H88"/>
    <mergeCell ref="I88:K88"/>
    <mergeCell ref="L88:N88"/>
    <mergeCell ref="C45:E45"/>
    <mergeCell ref="F45:H45"/>
    <mergeCell ref="I45:K45"/>
    <mergeCell ref="L45:N45"/>
    <mergeCell ref="O45:Q45"/>
    <mergeCell ref="R45:T45"/>
    <mergeCell ref="O88:Q88"/>
    <mergeCell ref="R88:T88"/>
    <mergeCell ref="A2:A3"/>
    <mergeCell ref="C2:E2"/>
    <mergeCell ref="F2:H2"/>
    <mergeCell ref="I2:K2"/>
    <mergeCell ref="R2:T2"/>
    <mergeCell ref="L2:N2"/>
    <mergeCell ref="O2:Q2"/>
    <mergeCell ref="R174:T174"/>
    <mergeCell ref="C174:E174"/>
    <mergeCell ref="F174:H174"/>
    <mergeCell ref="I174:K174"/>
    <mergeCell ref="L174:N174"/>
    <mergeCell ref="O174:Q174"/>
  </mergeCells>
  <phoneticPr fontId="9" type="noConversion"/>
  <pageMargins left="0" right="0" top="0" bottom="0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48ED4-5769-463A-83D5-97ABF18DCE4D}">
  <dimension ref="A1:G1093"/>
  <sheetViews>
    <sheetView topLeftCell="A30" workbookViewId="0">
      <selection activeCell="G6" sqref="G6"/>
    </sheetView>
  </sheetViews>
  <sheetFormatPr baseColWidth="10" defaultRowHeight="15.6" x14ac:dyDescent="0.3"/>
  <cols>
    <col min="3" max="3" width="32.5" bestFit="1" customWidth="1"/>
    <col min="7" max="7" width="20.8984375" style="34" bestFit="1" customWidth="1"/>
  </cols>
  <sheetData>
    <row r="1" spans="1:7" ht="31.2" x14ac:dyDescent="0.3">
      <c r="A1" s="25" t="s">
        <v>5</v>
      </c>
      <c r="B1" s="26" t="s">
        <v>119</v>
      </c>
      <c r="C1" s="27" t="s">
        <v>120</v>
      </c>
      <c r="D1" s="27" t="s">
        <v>121</v>
      </c>
      <c r="E1" s="27" t="s">
        <v>122</v>
      </c>
      <c r="F1" s="27" t="s">
        <v>123</v>
      </c>
      <c r="G1" s="32" t="s">
        <v>124</v>
      </c>
    </row>
    <row r="2" spans="1:7" x14ac:dyDescent="0.3">
      <c r="A2" s="28">
        <v>46125</v>
      </c>
      <c r="B2" s="1">
        <v>1</v>
      </c>
      <c r="C2" s="29" t="s">
        <v>6</v>
      </c>
      <c r="D2" s="1" t="s">
        <v>49</v>
      </c>
      <c r="E2" s="1" t="s">
        <v>49</v>
      </c>
      <c r="F2" s="1">
        <v>1</v>
      </c>
      <c r="G2" s="33" t="str">
        <f>VLOOKUP(E2,ACTIVIDADES!A1:D17,2)</f>
        <v>CAPORAL</v>
      </c>
    </row>
    <row r="3" spans="1:7" x14ac:dyDescent="0.3">
      <c r="A3" s="28">
        <v>46125</v>
      </c>
      <c r="B3" s="1">
        <v>2</v>
      </c>
      <c r="C3" s="29" t="s">
        <v>10</v>
      </c>
      <c r="D3" s="1" t="s">
        <v>49</v>
      </c>
      <c r="E3" s="1" t="s">
        <v>49</v>
      </c>
      <c r="F3" s="1">
        <v>1</v>
      </c>
      <c r="G3" s="33" t="str">
        <f>VLOOKUP(E3,ACTIVIDADES!A1:D17,2)</f>
        <v>CAPORAL</v>
      </c>
    </row>
    <row r="4" spans="1:7" x14ac:dyDescent="0.3">
      <c r="A4" s="28">
        <v>46125</v>
      </c>
      <c r="B4" s="1">
        <v>3</v>
      </c>
      <c r="C4" s="29" t="s">
        <v>22</v>
      </c>
      <c r="D4" s="1" t="s">
        <v>51</v>
      </c>
      <c r="E4" s="1" t="s">
        <v>48</v>
      </c>
      <c r="F4" s="1">
        <v>1</v>
      </c>
      <c r="G4" s="33" t="e">
        <f>VLOOKUP(E4,ACTIVIDADES!A2:D17,2)</f>
        <v>#N/A</v>
      </c>
    </row>
    <row r="5" spans="1:7" x14ac:dyDescent="0.3">
      <c r="A5" s="28">
        <v>46125</v>
      </c>
      <c r="B5" s="1">
        <v>4</v>
      </c>
      <c r="C5" s="29" t="s">
        <v>36</v>
      </c>
      <c r="D5" s="1" t="s">
        <v>51</v>
      </c>
      <c r="E5" s="1" t="s">
        <v>50</v>
      </c>
      <c r="F5" s="1">
        <v>1</v>
      </c>
      <c r="G5" s="33" t="str">
        <f>VLOOKUP(E5,ACTIVIDADES!A3:D18,2)</f>
        <v>HACIENDA</v>
      </c>
    </row>
    <row r="6" spans="1:7" x14ac:dyDescent="0.3">
      <c r="A6" s="28">
        <v>46125</v>
      </c>
      <c r="B6" s="1">
        <v>5</v>
      </c>
      <c r="C6" s="29" t="s">
        <v>38</v>
      </c>
      <c r="D6" s="1" t="s">
        <v>50</v>
      </c>
      <c r="E6" s="1" t="s">
        <v>50</v>
      </c>
      <c r="F6" s="1">
        <v>1</v>
      </c>
      <c r="G6" s="33" t="str">
        <f>VLOOKUP(E6,ACTIVIDADES!A4:D19,2)</f>
        <v>MANTENIMIENTO GENERAL</v>
      </c>
    </row>
    <row r="7" spans="1:7" x14ac:dyDescent="0.3">
      <c r="A7" s="28">
        <v>46125</v>
      </c>
      <c r="B7" s="1">
        <v>6</v>
      </c>
      <c r="C7" s="30" t="s">
        <v>11</v>
      </c>
      <c r="D7" s="1" t="s">
        <v>46</v>
      </c>
      <c r="E7" s="1" t="s">
        <v>59</v>
      </c>
      <c r="F7" s="1">
        <v>1</v>
      </c>
      <c r="G7" s="33" t="str">
        <f>VLOOKUP(E7,ACTIVIDADES!A5:D20,2)</f>
        <v>LIMPIA LOTE</v>
      </c>
    </row>
    <row r="8" spans="1:7" x14ac:dyDescent="0.3">
      <c r="A8" s="28">
        <v>46125</v>
      </c>
      <c r="B8" s="1">
        <v>7</v>
      </c>
      <c r="C8" s="29" t="s">
        <v>12</v>
      </c>
      <c r="D8" s="1" t="s">
        <v>46</v>
      </c>
      <c r="E8" s="1" t="s">
        <v>59</v>
      </c>
      <c r="F8" s="1">
        <v>1</v>
      </c>
      <c r="G8" s="33" t="str">
        <f>VLOOKUP(E8,ACTIVIDADES!A6:D21,2)</f>
        <v>DESCONOCIDA</v>
      </c>
    </row>
    <row r="9" spans="1:7" x14ac:dyDescent="0.3">
      <c r="A9" s="28">
        <v>46125</v>
      </c>
      <c r="B9" s="1">
        <v>8</v>
      </c>
      <c r="C9" s="30" t="s">
        <v>13</v>
      </c>
      <c r="D9" s="1" t="s">
        <v>46</v>
      </c>
      <c r="E9" s="1" t="s">
        <v>59</v>
      </c>
      <c r="F9" s="1">
        <v>1</v>
      </c>
      <c r="G9" s="33" t="str">
        <f>VLOOKUP(E9,ACTIVIDADES!A7:D22,2)</f>
        <v>HACIENDA</v>
      </c>
    </row>
    <row r="10" spans="1:7" x14ac:dyDescent="0.3">
      <c r="A10" s="28">
        <v>46125</v>
      </c>
      <c r="B10" s="1">
        <v>9</v>
      </c>
      <c r="C10" s="29" t="s">
        <v>14</v>
      </c>
      <c r="D10" s="1" t="s">
        <v>58</v>
      </c>
      <c r="E10" s="1" t="s">
        <v>79</v>
      </c>
      <c r="F10" s="1">
        <v>1</v>
      </c>
      <c r="G10" s="33" t="str">
        <f>VLOOKUP(E10,ACTIVIDADES!A8:D23,2)</f>
        <v>DESCONOCIDA</v>
      </c>
    </row>
    <row r="11" spans="1:7" x14ac:dyDescent="0.3">
      <c r="A11" s="28">
        <v>46125</v>
      </c>
      <c r="B11" s="1">
        <v>10</v>
      </c>
      <c r="C11" s="30" t="s">
        <v>15</v>
      </c>
      <c r="D11" s="1"/>
      <c r="E11" s="1"/>
      <c r="F11" s="1"/>
      <c r="G11" s="33" t="e">
        <f>VLOOKUP(E11,ACTIVIDADES!A9:D24,2)</f>
        <v>#N/A</v>
      </c>
    </row>
    <row r="12" spans="1:7" x14ac:dyDescent="0.3">
      <c r="A12" s="28">
        <v>46125</v>
      </c>
      <c r="B12" s="1">
        <v>11</v>
      </c>
      <c r="C12" s="29" t="s">
        <v>16</v>
      </c>
      <c r="D12" s="1"/>
      <c r="E12" s="1"/>
      <c r="F12" s="1"/>
      <c r="G12" s="33" t="e">
        <f>VLOOKUP(E12,ACTIVIDADES!A11:D25,2)</f>
        <v>#N/A</v>
      </c>
    </row>
    <row r="13" spans="1:7" x14ac:dyDescent="0.3">
      <c r="A13" s="28">
        <v>46125</v>
      </c>
      <c r="B13" s="1">
        <v>12</v>
      </c>
      <c r="C13" s="30" t="s">
        <v>17</v>
      </c>
      <c r="D13" s="1" t="s">
        <v>46</v>
      </c>
      <c r="E13" s="1" t="s">
        <v>59</v>
      </c>
      <c r="F13" s="1">
        <v>1</v>
      </c>
      <c r="G13" s="33" t="str">
        <f>VLOOKUP(E13,ACTIVIDADES!A14:D26,2)</f>
        <v>DESCONOCIDA</v>
      </c>
    </row>
    <row r="14" spans="1:7" x14ac:dyDescent="0.3">
      <c r="A14" s="28">
        <v>46125</v>
      </c>
      <c r="B14" s="1">
        <v>13</v>
      </c>
      <c r="C14" s="29" t="s">
        <v>18</v>
      </c>
      <c r="D14" s="1"/>
      <c r="E14" s="1"/>
      <c r="F14" s="1"/>
      <c r="G14" s="33" t="e">
        <f>VLOOKUP(E14,ACTIVIDADES!A17:D27,2)</f>
        <v>#N/A</v>
      </c>
    </row>
    <row r="15" spans="1:7" x14ac:dyDescent="0.3">
      <c r="A15" s="28">
        <v>46125</v>
      </c>
      <c r="B15" s="1">
        <v>14</v>
      </c>
      <c r="C15" s="30" t="s">
        <v>19</v>
      </c>
      <c r="D15" s="1"/>
      <c r="E15" s="1"/>
      <c r="F15" s="1"/>
      <c r="G15" s="33" t="e">
        <f>VLOOKUP(E15,ACTIVIDADES!A18:D28,2)</f>
        <v>#N/A</v>
      </c>
    </row>
    <row r="16" spans="1:7" x14ac:dyDescent="0.3">
      <c r="A16" s="28">
        <v>46125</v>
      </c>
      <c r="B16" s="1">
        <v>15</v>
      </c>
      <c r="C16" s="29" t="s">
        <v>20</v>
      </c>
      <c r="D16" s="1" t="s">
        <v>48</v>
      </c>
      <c r="E16" s="1" t="s">
        <v>48</v>
      </c>
      <c r="F16" s="1">
        <v>1</v>
      </c>
      <c r="G16" s="33" t="e">
        <f>VLOOKUP(E16,ACTIVIDADES!A18:D29,2)</f>
        <v>#N/A</v>
      </c>
    </row>
    <row r="17" spans="1:7" x14ac:dyDescent="0.3">
      <c r="A17" s="28">
        <v>46125</v>
      </c>
      <c r="B17" s="1">
        <v>16</v>
      </c>
      <c r="C17" s="30" t="s">
        <v>21</v>
      </c>
      <c r="D17" s="1" t="s">
        <v>58</v>
      </c>
      <c r="E17" s="31" t="s">
        <v>79</v>
      </c>
      <c r="F17" s="1">
        <v>1</v>
      </c>
      <c r="G17" s="33" t="e">
        <f>VLOOKUP(E17,ACTIVIDADES!A18:D30,2)</f>
        <v>#N/A</v>
      </c>
    </row>
    <row r="18" spans="1:7" x14ac:dyDescent="0.3">
      <c r="A18" s="28">
        <v>46125</v>
      </c>
      <c r="B18" s="1">
        <v>17</v>
      </c>
      <c r="C18" s="29" t="s">
        <v>8</v>
      </c>
      <c r="D18" s="1"/>
      <c r="E18" s="1"/>
      <c r="F18" s="1"/>
      <c r="G18" s="33" t="e">
        <f>VLOOKUP(E18,ACTIVIDADES!A19:D31,2)</f>
        <v>#N/A</v>
      </c>
    </row>
    <row r="19" spans="1:7" x14ac:dyDescent="0.3">
      <c r="A19" s="28">
        <v>46125</v>
      </c>
      <c r="B19" s="1">
        <v>18</v>
      </c>
      <c r="C19" s="30" t="s">
        <v>23</v>
      </c>
      <c r="D19" s="1"/>
      <c r="E19" s="1"/>
      <c r="F19" s="1"/>
      <c r="G19" s="33" t="e">
        <f>VLOOKUP(E19,ACTIVIDADES!A20:D32,2)</f>
        <v>#N/A</v>
      </c>
    </row>
    <row r="20" spans="1:7" x14ac:dyDescent="0.3">
      <c r="A20" s="28">
        <v>46125</v>
      </c>
      <c r="B20" s="1">
        <v>19</v>
      </c>
      <c r="C20" s="29" t="s">
        <v>24</v>
      </c>
      <c r="D20" s="1" t="s">
        <v>46</v>
      </c>
      <c r="E20" s="1" t="s">
        <v>59</v>
      </c>
      <c r="F20" s="1">
        <v>1</v>
      </c>
      <c r="G20" s="33" t="e">
        <f>VLOOKUP(E20,ACTIVIDADES!A21:D33,2)</f>
        <v>#N/A</v>
      </c>
    </row>
    <row r="21" spans="1:7" x14ac:dyDescent="0.3">
      <c r="A21" s="28">
        <v>46125</v>
      </c>
      <c r="B21" s="1">
        <v>20</v>
      </c>
      <c r="C21" s="30" t="s">
        <v>25</v>
      </c>
      <c r="D21" s="1"/>
      <c r="E21" s="1"/>
      <c r="F21" s="1"/>
      <c r="G21" s="33" t="e">
        <f>VLOOKUP(E21,ACTIVIDADES!A22:D34,2)</f>
        <v>#N/A</v>
      </c>
    </row>
    <row r="22" spans="1:7" x14ac:dyDescent="0.3">
      <c r="A22" s="28">
        <v>46125</v>
      </c>
      <c r="B22" s="1">
        <v>21</v>
      </c>
      <c r="C22" s="29" t="s">
        <v>26</v>
      </c>
      <c r="D22" s="1" t="s">
        <v>46</v>
      </c>
      <c r="E22" s="1" t="s">
        <v>59</v>
      </c>
      <c r="F22" s="1">
        <v>1</v>
      </c>
      <c r="G22" s="33" t="e">
        <f>VLOOKUP(E22,ACTIVIDADES!A23:D35,2)</f>
        <v>#N/A</v>
      </c>
    </row>
    <row r="23" spans="1:7" x14ac:dyDescent="0.3">
      <c r="A23" s="28">
        <v>46125</v>
      </c>
      <c r="B23" s="1">
        <v>22</v>
      </c>
      <c r="C23" s="30" t="s">
        <v>27</v>
      </c>
      <c r="D23" s="1" t="s">
        <v>46</v>
      </c>
      <c r="E23" s="1" t="s">
        <v>59</v>
      </c>
      <c r="F23" s="1">
        <v>1</v>
      </c>
      <c r="G23" s="33" t="e">
        <f>VLOOKUP(E23,ACTIVIDADES!A24:D36,2)</f>
        <v>#N/A</v>
      </c>
    </row>
    <row r="24" spans="1:7" x14ac:dyDescent="0.3">
      <c r="A24" s="28">
        <v>46125</v>
      </c>
      <c r="B24" s="1">
        <v>23</v>
      </c>
      <c r="C24" s="29" t="s">
        <v>28</v>
      </c>
      <c r="D24" s="1" t="s">
        <v>46</v>
      </c>
      <c r="E24" s="1" t="s">
        <v>59</v>
      </c>
      <c r="F24" s="1">
        <v>1</v>
      </c>
      <c r="G24" s="33" t="e">
        <f>VLOOKUP(E24,ACTIVIDADES!A25:D37,2)</f>
        <v>#N/A</v>
      </c>
    </row>
    <row r="25" spans="1:7" x14ac:dyDescent="0.3">
      <c r="A25" s="28">
        <v>46125</v>
      </c>
      <c r="B25" s="1">
        <v>24</v>
      </c>
      <c r="C25" s="30" t="s">
        <v>29</v>
      </c>
      <c r="D25" s="1" t="s">
        <v>46</v>
      </c>
      <c r="E25" s="1" t="s">
        <v>59</v>
      </c>
      <c r="F25" s="1">
        <v>1</v>
      </c>
      <c r="G25" s="33" t="e">
        <f>VLOOKUP(E25,ACTIVIDADES!A26:D38,2)</f>
        <v>#N/A</v>
      </c>
    </row>
    <row r="26" spans="1:7" x14ac:dyDescent="0.3">
      <c r="A26" s="28">
        <v>46125</v>
      </c>
      <c r="B26" s="1">
        <v>25</v>
      </c>
      <c r="C26" s="29" t="s">
        <v>30</v>
      </c>
      <c r="D26" s="1" t="s">
        <v>46</v>
      </c>
      <c r="E26" s="1" t="s">
        <v>59</v>
      </c>
      <c r="F26" s="1">
        <v>1</v>
      </c>
      <c r="G26" s="33" t="e">
        <f>VLOOKUP(E26,ACTIVIDADES!A27:D39,2)</f>
        <v>#N/A</v>
      </c>
    </row>
    <row r="27" spans="1:7" x14ac:dyDescent="0.3">
      <c r="A27" s="28">
        <v>46125</v>
      </c>
      <c r="B27" s="1">
        <v>26</v>
      </c>
      <c r="C27" s="30" t="s">
        <v>31</v>
      </c>
      <c r="D27" s="1" t="s">
        <v>46</v>
      </c>
      <c r="E27" s="1" t="s">
        <v>59</v>
      </c>
      <c r="F27" s="1">
        <v>1</v>
      </c>
      <c r="G27" s="33" t="e">
        <f>VLOOKUP(E27,ACTIVIDADES!A28:D40,2)</f>
        <v>#N/A</v>
      </c>
    </row>
    <row r="28" spans="1:7" x14ac:dyDescent="0.3">
      <c r="A28" s="28">
        <v>46125</v>
      </c>
      <c r="B28" s="1">
        <v>27</v>
      </c>
      <c r="C28" s="29" t="s">
        <v>32</v>
      </c>
      <c r="D28" s="1" t="s">
        <v>46</v>
      </c>
      <c r="E28" s="1" t="s">
        <v>59</v>
      </c>
      <c r="F28" s="1">
        <v>1</v>
      </c>
      <c r="G28" s="33" t="e">
        <f>VLOOKUP(E28,ACTIVIDADES!A29:D41,2)</f>
        <v>#N/A</v>
      </c>
    </row>
    <row r="29" spans="1:7" x14ac:dyDescent="0.3">
      <c r="A29" s="28">
        <v>46125</v>
      </c>
      <c r="B29" s="1">
        <v>28</v>
      </c>
      <c r="C29" s="30" t="s">
        <v>33</v>
      </c>
      <c r="D29" s="1" t="s">
        <v>46</v>
      </c>
      <c r="E29" s="1" t="s">
        <v>59</v>
      </c>
      <c r="F29" s="1">
        <v>1</v>
      </c>
      <c r="G29" s="33" t="e">
        <f>VLOOKUP(E29,ACTIVIDADES!A30:D42,2)</f>
        <v>#N/A</v>
      </c>
    </row>
    <row r="30" spans="1:7" x14ac:dyDescent="0.3">
      <c r="A30" s="28">
        <v>46125</v>
      </c>
      <c r="B30" s="1">
        <v>29</v>
      </c>
      <c r="C30" s="29" t="s">
        <v>34</v>
      </c>
      <c r="D30" s="1" t="s">
        <v>46</v>
      </c>
      <c r="E30" s="1" t="s">
        <v>59</v>
      </c>
      <c r="F30" s="1">
        <v>1</v>
      </c>
      <c r="G30" s="33" t="e">
        <f>VLOOKUP(E30,ACTIVIDADES!A31:D43,2)</f>
        <v>#N/A</v>
      </c>
    </row>
    <row r="31" spans="1:7" x14ac:dyDescent="0.3">
      <c r="A31" s="28">
        <v>46125</v>
      </c>
      <c r="B31" s="1">
        <v>30</v>
      </c>
      <c r="C31" s="30" t="s">
        <v>35</v>
      </c>
      <c r="D31" s="1" t="s">
        <v>46</v>
      </c>
      <c r="E31" s="1" t="s">
        <v>59</v>
      </c>
      <c r="F31" s="1">
        <v>1</v>
      </c>
      <c r="G31" s="33" t="e">
        <f>VLOOKUP(E31,ACTIVIDADES!A32:D44,2)</f>
        <v>#N/A</v>
      </c>
    </row>
    <row r="32" spans="1:7" x14ac:dyDescent="0.3">
      <c r="A32" s="28">
        <v>46125</v>
      </c>
      <c r="B32" s="1">
        <v>31</v>
      </c>
      <c r="C32" s="30" t="s">
        <v>9</v>
      </c>
      <c r="D32" s="1" t="s">
        <v>46</v>
      </c>
      <c r="E32" s="1" t="s">
        <v>59</v>
      </c>
      <c r="F32" s="1">
        <v>1</v>
      </c>
      <c r="G32" s="33" t="e">
        <f>VLOOKUP(E32,ACTIVIDADES!A33:D45,2)</f>
        <v>#N/A</v>
      </c>
    </row>
    <row r="33" spans="1:7" x14ac:dyDescent="0.3">
      <c r="A33" s="28">
        <v>46125</v>
      </c>
      <c r="B33" s="1">
        <v>32</v>
      </c>
      <c r="C33" s="30" t="s">
        <v>37</v>
      </c>
      <c r="D33" s="1" t="s">
        <v>46</v>
      </c>
      <c r="E33" s="1" t="s">
        <v>59</v>
      </c>
      <c r="F33" s="1">
        <v>1</v>
      </c>
      <c r="G33" s="33" t="e">
        <f>VLOOKUP(E33,ACTIVIDADES!A34:D46,2)</f>
        <v>#N/A</v>
      </c>
    </row>
    <row r="34" spans="1:7" x14ac:dyDescent="0.3">
      <c r="A34" s="28">
        <v>46125</v>
      </c>
      <c r="B34" s="1">
        <v>33</v>
      </c>
      <c r="C34" s="30" t="s">
        <v>7</v>
      </c>
      <c r="D34" s="1" t="s">
        <v>46</v>
      </c>
      <c r="E34" s="1" t="s">
        <v>59</v>
      </c>
      <c r="F34" s="1">
        <v>1</v>
      </c>
      <c r="G34" s="33" t="e">
        <f>VLOOKUP(E34,ACTIVIDADES!A35:D47,2)</f>
        <v>#N/A</v>
      </c>
    </row>
    <row r="35" spans="1:7" x14ac:dyDescent="0.3">
      <c r="A35" s="28">
        <v>46125</v>
      </c>
      <c r="B35" s="1">
        <v>34</v>
      </c>
      <c r="C35" s="30" t="s">
        <v>143</v>
      </c>
      <c r="D35" s="1"/>
      <c r="E35" s="1"/>
      <c r="F35" s="1"/>
      <c r="G35" s="33" t="e">
        <f>VLOOKUP(E35,ACTIVIDADES!A36:D48,2)</f>
        <v>#N/A</v>
      </c>
    </row>
    <row r="36" spans="1:7" x14ac:dyDescent="0.3">
      <c r="A36" s="28">
        <v>46125</v>
      </c>
      <c r="B36" s="1">
        <v>35</v>
      </c>
      <c r="C36" s="29" t="s">
        <v>40</v>
      </c>
      <c r="D36" s="1" t="s">
        <v>46</v>
      </c>
      <c r="E36" s="1" t="s">
        <v>59</v>
      </c>
      <c r="F36" s="1">
        <v>1</v>
      </c>
      <c r="G36" s="33" t="e">
        <f>VLOOKUP(E36,ACTIVIDADES!A37:D49,2)</f>
        <v>#N/A</v>
      </c>
    </row>
    <row r="37" spans="1:7" x14ac:dyDescent="0.3">
      <c r="A37" s="28">
        <v>46125</v>
      </c>
      <c r="B37" s="1">
        <v>36</v>
      </c>
      <c r="C37" s="29" t="s">
        <v>41</v>
      </c>
      <c r="D37" s="1"/>
      <c r="E37" s="1"/>
      <c r="F37" s="1"/>
      <c r="G37" s="33" t="e">
        <f>VLOOKUP(E37,ACTIVIDADES!A38:D50,2)</f>
        <v>#N/A</v>
      </c>
    </row>
    <row r="38" spans="1:7" x14ac:dyDescent="0.3">
      <c r="A38" s="28">
        <v>46125</v>
      </c>
      <c r="B38" s="1">
        <v>37</v>
      </c>
      <c r="C38" s="30" t="s">
        <v>42</v>
      </c>
      <c r="D38" s="1" t="s">
        <v>46</v>
      </c>
      <c r="E38" s="1" t="s">
        <v>59</v>
      </c>
      <c r="F38" s="1">
        <v>1</v>
      </c>
      <c r="G38" s="33" t="e">
        <f>VLOOKUP(E38,ACTIVIDADES!A39:D51,2)</f>
        <v>#N/A</v>
      </c>
    </row>
    <row r="39" spans="1:7" x14ac:dyDescent="0.3">
      <c r="A39" s="28">
        <v>46125</v>
      </c>
      <c r="B39" s="1">
        <v>38</v>
      </c>
      <c r="C39" s="30" t="s">
        <v>43</v>
      </c>
      <c r="D39" s="1" t="s">
        <v>46</v>
      </c>
      <c r="E39" s="1" t="s">
        <v>59</v>
      </c>
      <c r="F39" s="1">
        <v>1</v>
      </c>
      <c r="G39" s="33" t="e">
        <f>VLOOKUP(E39,ACTIVIDADES!A40:D52,2)</f>
        <v>#N/A</v>
      </c>
    </row>
    <row r="40" spans="1:7" x14ac:dyDescent="0.3">
      <c r="A40" s="28">
        <v>46125</v>
      </c>
      <c r="B40" s="1">
        <v>39</v>
      </c>
      <c r="C40" s="29" t="s">
        <v>44</v>
      </c>
      <c r="D40" s="1" t="s">
        <v>46</v>
      </c>
      <c r="E40" s="1" t="s">
        <v>59</v>
      </c>
      <c r="F40" s="1">
        <v>1</v>
      </c>
      <c r="G40" s="33" t="e">
        <f>VLOOKUP(E40,ACTIVIDADES!A41:D53,2)</f>
        <v>#N/A</v>
      </c>
    </row>
    <row r="41" spans="1:7" x14ac:dyDescent="0.3">
      <c r="A41" s="28">
        <v>46126</v>
      </c>
      <c r="B41" s="1">
        <v>1</v>
      </c>
      <c r="C41" s="29" t="s">
        <v>6</v>
      </c>
      <c r="D41" s="1" t="s">
        <v>49</v>
      </c>
      <c r="E41" s="1" t="s">
        <v>49</v>
      </c>
      <c r="F41" s="1">
        <v>1</v>
      </c>
      <c r="G41" s="33" t="e">
        <f>VLOOKUP(E41,ACTIVIDADES!A42:D54,2)</f>
        <v>#N/A</v>
      </c>
    </row>
    <row r="42" spans="1:7" x14ac:dyDescent="0.3">
      <c r="A42" s="28">
        <v>46126</v>
      </c>
      <c r="B42" s="1">
        <v>2</v>
      </c>
      <c r="C42" s="29" t="s">
        <v>10</v>
      </c>
      <c r="D42" s="1" t="s">
        <v>49</v>
      </c>
      <c r="E42" s="1" t="s">
        <v>49</v>
      </c>
      <c r="F42" s="1">
        <v>1</v>
      </c>
      <c r="G42" s="33" t="e">
        <f>VLOOKUP(E42,ACTIVIDADES!A43:D55,2)</f>
        <v>#N/A</v>
      </c>
    </row>
    <row r="43" spans="1:7" x14ac:dyDescent="0.3">
      <c r="A43" s="28">
        <v>46126</v>
      </c>
      <c r="B43" s="1">
        <v>3</v>
      </c>
      <c r="C43" s="29" t="s">
        <v>22</v>
      </c>
      <c r="D43" s="1" t="s">
        <v>48</v>
      </c>
      <c r="E43" s="1" t="s">
        <v>48</v>
      </c>
      <c r="F43" s="1">
        <v>1</v>
      </c>
      <c r="G43" s="33" t="e">
        <f>VLOOKUP(E43,ACTIVIDADES!A44:D56,2)</f>
        <v>#N/A</v>
      </c>
    </row>
    <row r="44" spans="1:7" x14ac:dyDescent="0.3">
      <c r="A44" s="28">
        <v>46126</v>
      </c>
      <c r="B44" s="1">
        <v>4</v>
      </c>
      <c r="C44" s="29" t="s">
        <v>36</v>
      </c>
      <c r="D44" s="1" t="s">
        <v>51</v>
      </c>
      <c r="E44" s="1" t="s">
        <v>50</v>
      </c>
      <c r="F44" s="1">
        <v>1</v>
      </c>
      <c r="G44" s="33" t="e">
        <f>VLOOKUP(E44,ACTIVIDADES!A45:D57,2)</f>
        <v>#N/A</v>
      </c>
    </row>
    <row r="45" spans="1:7" x14ac:dyDescent="0.3">
      <c r="A45" s="28">
        <v>46126</v>
      </c>
      <c r="B45" s="1">
        <v>5</v>
      </c>
      <c r="C45" s="29" t="s">
        <v>38</v>
      </c>
      <c r="D45" s="1" t="s">
        <v>51</v>
      </c>
      <c r="E45" s="1" t="s">
        <v>50</v>
      </c>
      <c r="F45" s="1">
        <v>1</v>
      </c>
      <c r="G45" s="33" t="e">
        <f>VLOOKUP(E45,ACTIVIDADES!A46:D58,2)</f>
        <v>#N/A</v>
      </c>
    </row>
    <row r="46" spans="1:7" x14ac:dyDescent="0.3">
      <c r="A46" s="28">
        <v>46126</v>
      </c>
      <c r="B46" s="1">
        <v>6</v>
      </c>
      <c r="C46" s="30" t="s">
        <v>11</v>
      </c>
      <c r="D46" s="1" t="s">
        <v>47</v>
      </c>
      <c r="E46" s="1" t="s">
        <v>45</v>
      </c>
      <c r="F46" s="1">
        <v>1</v>
      </c>
      <c r="G46" s="33" t="e">
        <f>VLOOKUP(E46,ACTIVIDADES!A47:D59,2)</f>
        <v>#N/A</v>
      </c>
    </row>
    <row r="47" spans="1:7" x14ac:dyDescent="0.3">
      <c r="A47" s="28">
        <v>46126</v>
      </c>
      <c r="B47" s="1">
        <v>7</v>
      </c>
      <c r="C47" s="29" t="s">
        <v>12</v>
      </c>
      <c r="D47" s="1" t="s">
        <v>52</v>
      </c>
      <c r="E47" s="1" t="s">
        <v>45</v>
      </c>
      <c r="F47" s="1">
        <v>1</v>
      </c>
      <c r="G47" s="33" t="e">
        <f>VLOOKUP(E47,ACTIVIDADES!A48:D60,2)</f>
        <v>#N/A</v>
      </c>
    </row>
    <row r="48" spans="1:7" x14ac:dyDescent="0.3">
      <c r="A48" s="28">
        <v>46126</v>
      </c>
      <c r="B48" s="1">
        <v>8</v>
      </c>
      <c r="C48" s="30" t="s">
        <v>13</v>
      </c>
      <c r="D48" s="1" t="s">
        <v>52</v>
      </c>
      <c r="E48" s="1" t="s">
        <v>45</v>
      </c>
      <c r="F48" s="1">
        <v>1</v>
      </c>
      <c r="G48" s="33" t="e">
        <f>VLOOKUP(E48,ACTIVIDADES!A49:D61,2)</f>
        <v>#N/A</v>
      </c>
    </row>
    <row r="49" spans="1:7" x14ac:dyDescent="0.3">
      <c r="A49" s="28">
        <v>46126</v>
      </c>
      <c r="B49" s="1">
        <v>9</v>
      </c>
      <c r="C49" s="29" t="s">
        <v>14</v>
      </c>
      <c r="D49" s="1" t="s">
        <v>58</v>
      </c>
      <c r="E49" s="1" t="s">
        <v>79</v>
      </c>
      <c r="F49" s="1">
        <v>1</v>
      </c>
      <c r="G49" s="33" t="e">
        <f>VLOOKUP(E49,ACTIVIDADES!A50:D62,2)</f>
        <v>#N/A</v>
      </c>
    </row>
    <row r="50" spans="1:7" x14ac:dyDescent="0.3">
      <c r="A50" s="28">
        <v>46126</v>
      </c>
      <c r="B50" s="1">
        <v>10</v>
      </c>
      <c r="C50" s="30" t="s">
        <v>15</v>
      </c>
      <c r="D50" s="1"/>
      <c r="E50" s="1"/>
      <c r="F50" s="1"/>
      <c r="G50" s="33" t="e">
        <f>VLOOKUP(E50,ACTIVIDADES!A51:D63,2)</f>
        <v>#N/A</v>
      </c>
    </row>
    <row r="51" spans="1:7" x14ac:dyDescent="0.3">
      <c r="A51" s="28">
        <v>46126</v>
      </c>
      <c r="B51" s="1">
        <v>11</v>
      </c>
      <c r="C51" s="29" t="s">
        <v>16</v>
      </c>
      <c r="D51" s="1"/>
      <c r="E51" s="1"/>
      <c r="F51" s="1"/>
      <c r="G51" s="33" t="e">
        <f>VLOOKUP(E51,ACTIVIDADES!A52:D64,2)</f>
        <v>#N/A</v>
      </c>
    </row>
    <row r="52" spans="1:7" x14ac:dyDescent="0.3">
      <c r="A52" s="28">
        <v>46126</v>
      </c>
      <c r="B52" s="1">
        <v>12</v>
      </c>
      <c r="C52" s="30" t="s">
        <v>17</v>
      </c>
      <c r="D52" s="1" t="s">
        <v>52</v>
      </c>
      <c r="E52" s="1" t="s">
        <v>45</v>
      </c>
      <c r="F52" s="1">
        <v>1</v>
      </c>
      <c r="G52" s="33" t="e">
        <f>VLOOKUP(E52,ACTIVIDADES!A53:D65,2)</f>
        <v>#N/A</v>
      </c>
    </row>
    <row r="53" spans="1:7" x14ac:dyDescent="0.3">
      <c r="A53" s="28">
        <v>46126</v>
      </c>
      <c r="B53" s="1">
        <v>13</v>
      </c>
      <c r="C53" s="29" t="s">
        <v>18</v>
      </c>
      <c r="D53" s="1"/>
      <c r="E53" s="1"/>
      <c r="F53" s="1"/>
      <c r="G53" s="33" t="e">
        <f>VLOOKUP(E53,ACTIVIDADES!A54:D66,2)</f>
        <v>#N/A</v>
      </c>
    </row>
    <row r="54" spans="1:7" x14ac:dyDescent="0.3">
      <c r="A54" s="28">
        <v>46126</v>
      </c>
      <c r="B54" s="1">
        <v>14</v>
      </c>
      <c r="C54" s="30" t="s">
        <v>19</v>
      </c>
      <c r="D54" s="1"/>
      <c r="E54" s="1"/>
      <c r="F54" s="1"/>
      <c r="G54" s="33" t="e">
        <f>VLOOKUP(E54,ACTIVIDADES!A55:D67,2)</f>
        <v>#N/A</v>
      </c>
    </row>
    <row r="55" spans="1:7" x14ac:dyDescent="0.3">
      <c r="A55" s="28">
        <v>46126</v>
      </c>
      <c r="B55" s="1">
        <v>15</v>
      </c>
      <c r="C55" s="29" t="s">
        <v>20</v>
      </c>
      <c r="D55" s="1" t="s">
        <v>53</v>
      </c>
      <c r="E55" s="1" t="s">
        <v>53</v>
      </c>
      <c r="F55" s="1">
        <v>1</v>
      </c>
      <c r="G55" s="33" t="e">
        <f>VLOOKUP(E55,ACTIVIDADES!A56:D68,2)</f>
        <v>#N/A</v>
      </c>
    </row>
    <row r="56" spans="1:7" x14ac:dyDescent="0.3">
      <c r="A56" s="28">
        <v>46126</v>
      </c>
      <c r="B56" s="1">
        <v>16</v>
      </c>
      <c r="C56" s="30" t="s">
        <v>21</v>
      </c>
      <c r="D56" s="1" t="s">
        <v>58</v>
      </c>
      <c r="E56" s="1" t="s">
        <v>79</v>
      </c>
      <c r="F56" s="1">
        <v>1</v>
      </c>
      <c r="G56" s="33" t="e">
        <f>VLOOKUP(E56,ACTIVIDADES!A57:D69,2)</f>
        <v>#N/A</v>
      </c>
    </row>
    <row r="57" spans="1:7" x14ac:dyDescent="0.3">
      <c r="A57" s="28">
        <v>46126</v>
      </c>
      <c r="B57" s="1">
        <v>17</v>
      </c>
      <c r="C57" s="29" t="s">
        <v>8</v>
      </c>
      <c r="D57" s="1" t="s">
        <v>52</v>
      </c>
      <c r="E57" s="1" t="s">
        <v>45</v>
      </c>
      <c r="F57" s="1">
        <v>1</v>
      </c>
      <c r="G57" s="33" t="e">
        <f>VLOOKUP(E57,ACTIVIDADES!A58:D70,2)</f>
        <v>#N/A</v>
      </c>
    </row>
    <row r="58" spans="1:7" x14ac:dyDescent="0.3">
      <c r="A58" s="28">
        <v>46126</v>
      </c>
      <c r="B58" s="1">
        <v>18</v>
      </c>
      <c r="C58" s="30" t="s">
        <v>23</v>
      </c>
      <c r="D58" s="1" t="s">
        <v>52</v>
      </c>
      <c r="E58" s="1" t="s">
        <v>45</v>
      </c>
      <c r="F58" s="1">
        <v>1</v>
      </c>
      <c r="G58" s="33" t="e">
        <f>VLOOKUP(E58,ACTIVIDADES!A59:D71,2)</f>
        <v>#N/A</v>
      </c>
    </row>
    <row r="59" spans="1:7" x14ac:dyDescent="0.3">
      <c r="A59" s="28">
        <v>46126</v>
      </c>
      <c r="B59" s="1">
        <v>19</v>
      </c>
      <c r="C59" s="29" t="s">
        <v>24</v>
      </c>
      <c r="D59" s="1" t="s">
        <v>52</v>
      </c>
      <c r="E59" s="1" t="s">
        <v>45</v>
      </c>
      <c r="F59" s="1">
        <v>1</v>
      </c>
      <c r="G59" s="33" t="e">
        <f>VLOOKUP(E59,ACTIVIDADES!A60:D72,2)</f>
        <v>#N/A</v>
      </c>
    </row>
    <row r="60" spans="1:7" x14ac:dyDescent="0.3">
      <c r="A60" s="28">
        <v>46126</v>
      </c>
      <c r="B60" s="1">
        <v>20</v>
      </c>
      <c r="C60" s="30" t="s">
        <v>25</v>
      </c>
      <c r="D60" s="1" t="s">
        <v>52</v>
      </c>
      <c r="E60" s="1" t="s">
        <v>45</v>
      </c>
      <c r="F60" s="1">
        <v>1</v>
      </c>
      <c r="G60" s="33" t="e">
        <f>VLOOKUP(E60,ACTIVIDADES!A61:D73,2)</f>
        <v>#N/A</v>
      </c>
    </row>
    <row r="61" spans="1:7" x14ac:dyDescent="0.3">
      <c r="A61" s="28">
        <v>46126</v>
      </c>
      <c r="B61" s="1">
        <v>21</v>
      </c>
      <c r="C61" s="29" t="s">
        <v>26</v>
      </c>
      <c r="D61" s="1"/>
      <c r="E61" s="1"/>
      <c r="F61" s="1"/>
      <c r="G61" s="33" t="e">
        <f>VLOOKUP(E61,ACTIVIDADES!A62:D74,2)</f>
        <v>#N/A</v>
      </c>
    </row>
    <row r="62" spans="1:7" x14ac:dyDescent="0.3">
      <c r="A62" s="28">
        <v>46126</v>
      </c>
      <c r="B62" s="1">
        <v>22</v>
      </c>
      <c r="C62" s="30" t="s">
        <v>27</v>
      </c>
      <c r="D62" s="1" t="s">
        <v>54</v>
      </c>
      <c r="E62" s="1" t="s">
        <v>45</v>
      </c>
      <c r="F62" s="1">
        <v>1</v>
      </c>
      <c r="G62" s="33" t="e">
        <f>VLOOKUP(E62,ACTIVIDADES!A63:D75,2)</f>
        <v>#N/A</v>
      </c>
    </row>
    <row r="63" spans="1:7" x14ac:dyDescent="0.3">
      <c r="A63" s="28">
        <v>46126</v>
      </c>
      <c r="B63" s="1">
        <v>23</v>
      </c>
      <c r="C63" s="29" t="s">
        <v>28</v>
      </c>
      <c r="D63" s="1" t="s">
        <v>54</v>
      </c>
      <c r="E63" s="1" t="s">
        <v>45</v>
      </c>
      <c r="F63" s="1">
        <v>1</v>
      </c>
      <c r="G63" s="33" t="e">
        <f>VLOOKUP(E63,ACTIVIDADES!A64:D76,2)</f>
        <v>#N/A</v>
      </c>
    </row>
    <row r="64" spans="1:7" x14ac:dyDescent="0.3">
      <c r="A64" s="28">
        <v>46126</v>
      </c>
      <c r="B64" s="1">
        <v>24</v>
      </c>
      <c r="C64" s="30" t="s">
        <v>29</v>
      </c>
      <c r="D64" s="1"/>
      <c r="E64" s="1"/>
      <c r="F64" s="1"/>
      <c r="G64" s="33" t="e">
        <f>VLOOKUP(E64,ACTIVIDADES!A65:D77,2)</f>
        <v>#N/A</v>
      </c>
    </row>
    <row r="65" spans="1:7" x14ac:dyDescent="0.3">
      <c r="A65" s="28">
        <v>46126</v>
      </c>
      <c r="B65" s="1">
        <v>25</v>
      </c>
      <c r="C65" s="29" t="s">
        <v>30</v>
      </c>
      <c r="D65" s="1" t="s">
        <v>55</v>
      </c>
      <c r="E65" s="1" t="s">
        <v>45</v>
      </c>
      <c r="F65" s="1">
        <v>1</v>
      </c>
      <c r="G65" s="33" t="e">
        <f>VLOOKUP(E65,ACTIVIDADES!A66:D78,2)</f>
        <v>#N/A</v>
      </c>
    </row>
    <row r="66" spans="1:7" x14ac:dyDescent="0.3">
      <c r="A66" s="28">
        <v>46126</v>
      </c>
      <c r="B66" s="1">
        <v>26</v>
      </c>
      <c r="C66" s="30" t="s">
        <v>31</v>
      </c>
      <c r="D66" s="1" t="s">
        <v>55</v>
      </c>
      <c r="E66" s="1" t="s">
        <v>45</v>
      </c>
      <c r="F66" s="1">
        <v>1</v>
      </c>
      <c r="G66" s="33" t="e">
        <f>VLOOKUP(E66,ACTIVIDADES!A67:D79,2)</f>
        <v>#N/A</v>
      </c>
    </row>
    <row r="67" spans="1:7" x14ac:dyDescent="0.3">
      <c r="A67" s="28">
        <v>46126</v>
      </c>
      <c r="B67" s="1">
        <v>27</v>
      </c>
      <c r="C67" s="29" t="s">
        <v>32</v>
      </c>
      <c r="D67" s="1" t="s">
        <v>55</v>
      </c>
      <c r="E67" s="1" t="s">
        <v>45</v>
      </c>
      <c r="F67" s="1">
        <v>1</v>
      </c>
      <c r="G67" s="33" t="e">
        <f>VLOOKUP(E67,ACTIVIDADES!A68:D80,2)</f>
        <v>#N/A</v>
      </c>
    </row>
    <row r="68" spans="1:7" x14ac:dyDescent="0.3">
      <c r="A68" s="28">
        <v>46126</v>
      </c>
      <c r="B68" s="1">
        <v>28</v>
      </c>
      <c r="C68" s="30" t="s">
        <v>33</v>
      </c>
      <c r="D68" s="1" t="s">
        <v>55</v>
      </c>
      <c r="E68" s="1" t="s">
        <v>45</v>
      </c>
      <c r="F68" s="1">
        <v>1</v>
      </c>
      <c r="G68" s="33" t="e">
        <f>VLOOKUP(E68,ACTIVIDADES!A69:D81,2)</f>
        <v>#N/A</v>
      </c>
    </row>
    <row r="69" spans="1:7" x14ac:dyDescent="0.3">
      <c r="A69" s="28">
        <v>46126</v>
      </c>
      <c r="B69" s="1">
        <v>29</v>
      </c>
      <c r="C69" s="29" t="s">
        <v>34</v>
      </c>
      <c r="D69" s="1" t="s">
        <v>54</v>
      </c>
      <c r="E69" s="1" t="s">
        <v>45</v>
      </c>
      <c r="F69" s="1">
        <v>1</v>
      </c>
      <c r="G69" s="33" t="e">
        <f>VLOOKUP(E69,ACTIVIDADES!A70:D82,2)</f>
        <v>#N/A</v>
      </c>
    </row>
    <row r="70" spans="1:7" x14ac:dyDescent="0.3">
      <c r="A70" s="28">
        <v>46126</v>
      </c>
      <c r="B70" s="1">
        <v>30</v>
      </c>
      <c r="C70" s="30" t="s">
        <v>35</v>
      </c>
      <c r="D70" s="1" t="s">
        <v>55</v>
      </c>
      <c r="E70" s="1" t="s">
        <v>45</v>
      </c>
      <c r="F70" s="1">
        <v>1</v>
      </c>
      <c r="G70" s="33" t="e">
        <f>VLOOKUP(E70,ACTIVIDADES!A71:D83,2)</f>
        <v>#N/A</v>
      </c>
    </row>
    <row r="71" spans="1:7" x14ac:dyDescent="0.3">
      <c r="A71" s="28">
        <v>46126</v>
      </c>
      <c r="B71" s="1">
        <v>31</v>
      </c>
      <c r="C71" s="30" t="s">
        <v>9</v>
      </c>
      <c r="D71" s="1" t="s">
        <v>54</v>
      </c>
      <c r="E71" s="1" t="s">
        <v>45</v>
      </c>
      <c r="F71" s="1">
        <v>1</v>
      </c>
      <c r="G71" s="33" t="e">
        <f>VLOOKUP(E71,ACTIVIDADES!A72:D84,2)</f>
        <v>#N/A</v>
      </c>
    </row>
    <row r="72" spans="1:7" x14ac:dyDescent="0.3">
      <c r="A72" s="28">
        <v>46126</v>
      </c>
      <c r="B72" s="1">
        <v>32</v>
      </c>
      <c r="C72" s="30" t="s">
        <v>37</v>
      </c>
      <c r="D72" s="1" t="s">
        <v>55</v>
      </c>
      <c r="E72" s="1" t="s">
        <v>45</v>
      </c>
      <c r="F72" s="1">
        <v>1</v>
      </c>
      <c r="G72" s="33" t="e">
        <f>VLOOKUP(E72,ACTIVIDADES!A73:D85,2)</f>
        <v>#N/A</v>
      </c>
    </row>
    <row r="73" spans="1:7" x14ac:dyDescent="0.3">
      <c r="A73" s="28">
        <v>46126</v>
      </c>
      <c r="B73" s="1">
        <v>33</v>
      </c>
      <c r="C73" s="30" t="s">
        <v>7</v>
      </c>
      <c r="D73" s="1" t="s">
        <v>54</v>
      </c>
      <c r="E73" s="1" t="s">
        <v>45</v>
      </c>
      <c r="F73" s="1">
        <v>1</v>
      </c>
      <c r="G73" s="33" t="e">
        <f>VLOOKUP(E73,ACTIVIDADES!A74:D86,2)</f>
        <v>#N/A</v>
      </c>
    </row>
    <row r="74" spans="1:7" x14ac:dyDescent="0.3">
      <c r="A74" s="28">
        <v>46126</v>
      </c>
      <c r="B74" s="1">
        <v>34</v>
      </c>
      <c r="C74" s="30" t="s">
        <v>143</v>
      </c>
      <c r="D74" s="1"/>
      <c r="E74" s="1"/>
      <c r="F74" s="1"/>
      <c r="G74" s="33" t="e">
        <f>VLOOKUP(E74,ACTIVIDADES!A75:D87,2)</f>
        <v>#N/A</v>
      </c>
    </row>
    <row r="75" spans="1:7" x14ac:dyDescent="0.3">
      <c r="A75" s="28">
        <v>46126</v>
      </c>
      <c r="B75" s="1">
        <v>35</v>
      </c>
      <c r="C75" s="29" t="s">
        <v>40</v>
      </c>
      <c r="D75" s="1" t="s">
        <v>54</v>
      </c>
      <c r="E75" s="1" t="s">
        <v>45</v>
      </c>
      <c r="F75" s="1">
        <v>1</v>
      </c>
      <c r="G75" s="33" t="e">
        <f>VLOOKUP(E75,ACTIVIDADES!A76:D88,2)</f>
        <v>#N/A</v>
      </c>
    </row>
    <row r="76" spans="1:7" x14ac:dyDescent="0.3">
      <c r="A76" s="28">
        <v>46126</v>
      </c>
      <c r="B76" s="1">
        <v>36</v>
      </c>
      <c r="C76" s="29" t="s">
        <v>41</v>
      </c>
      <c r="D76" s="1"/>
      <c r="E76" s="1"/>
      <c r="F76" s="1"/>
      <c r="G76" s="33" t="e">
        <f>VLOOKUP(E76,ACTIVIDADES!A77:D89,2)</f>
        <v>#N/A</v>
      </c>
    </row>
    <row r="77" spans="1:7" x14ac:dyDescent="0.3">
      <c r="A77" s="28">
        <v>46126</v>
      </c>
      <c r="B77" s="1">
        <v>37</v>
      </c>
      <c r="C77" s="30" t="s">
        <v>42</v>
      </c>
      <c r="D77" s="1" t="s">
        <v>54</v>
      </c>
      <c r="E77" s="1" t="s">
        <v>45</v>
      </c>
      <c r="F77" s="1">
        <v>1</v>
      </c>
      <c r="G77" s="33" t="e">
        <f>VLOOKUP(E77,ACTIVIDADES!A78:D90,2)</f>
        <v>#N/A</v>
      </c>
    </row>
    <row r="78" spans="1:7" x14ac:dyDescent="0.3">
      <c r="A78" s="28">
        <v>46126</v>
      </c>
      <c r="B78" s="1">
        <v>38</v>
      </c>
      <c r="C78" s="30" t="s">
        <v>43</v>
      </c>
      <c r="D78" s="1" t="s">
        <v>55</v>
      </c>
      <c r="E78" s="1" t="s">
        <v>45</v>
      </c>
      <c r="F78" s="1">
        <v>1</v>
      </c>
      <c r="G78" s="33" t="e">
        <f>VLOOKUP(E78,ACTIVIDADES!A79:D91,2)</f>
        <v>#N/A</v>
      </c>
    </row>
    <row r="79" spans="1:7" x14ac:dyDescent="0.3">
      <c r="A79" s="28">
        <v>46126</v>
      </c>
      <c r="B79" s="1">
        <v>39</v>
      </c>
      <c r="C79" s="29" t="s">
        <v>44</v>
      </c>
      <c r="D79" s="1" t="s">
        <v>55</v>
      </c>
      <c r="E79" s="1" t="s">
        <v>45</v>
      </c>
      <c r="F79" s="1">
        <v>1</v>
      </c>
      <c r="G79" s="33" t="e">
        <f>VLOOKUP(E79,ACTIVIDADES!A80:D92,2)</f>
        <v>#N/A</v>
      </c>
    </row>
    <row r="80" spans="1:7" x14ac:dyDescent="0.3">
      <c r="A80" s="28">
        <v>46127</v>
      </c>
      <c r="B80" s="1">
        <v>1</v>
      </c>
      <c r="C80" s="29" t="s">
        <v>6</v>
      </c>
      <c r="D80" s="1" t="s">
        <v>49</v>
      </c>
      <c r="E80" s="1" t="s">
        <v>49</v>
      </c>
      <c r="F80" s="1">
        <v>1</v>
      </c>
      <c r="G80" s="33" t="e">
        <f>VLOOKUP(E80,ACTIVIDADES!A81:D93,2)</f>
        <v>#N/A</v>
      </c>
    </row>
    <row r="81" spans="1:7" x14ac:dyDescent="0.3">
      <c r="A81" s="28">
        <v>46127</v>
      </c>
      <c r="B81" s="1">
        <v>2</v>
      </c>
      <c r="C81" s="29" t="s">
        <v>10</v>
      </c>
      <c r="D81" s="1" t="s">
        <v>49</v>
      </c>
      <c r="E81" s="1" t="s">
        <v>49</v>
      </c>
      <c r="F81" s="1">
        <v>1</v>
      </c>
      <c r="G81" s="33" t="e">
        <f>VLOOKUP(E81,ACTIVIDADES!A82:D94,2)</f>
        <v>#N/A</v>
      </c>
    </row>
    <row r="82" spans="1:7" x14ac:dyDescent="0.3">
      <c r="A82" s="28">
        <v>46127</v>
      </c>
      <c r="B82" s="1">
        <v>3</v>
      </c>
      <c r="C82" s="29" t="s">
        <v>22</v>
      </c>
      <c r="D82" s="1" t="s">
        <v>51</v>
      </c>
      <c r="E82" s="1" t="s">
        <v>48</v>
      </c>
      <c r="F82" s="1">
        <v>1</v>
      </c>
      <c r="G82" s="33" t="e">
        <f>VLOOKUP(E82,ACTIVIDADES!A83:D95,2)</f>
        <v>#N/A</v>
      </c>
    </row>
    <row r="83" spans="1:7" x14ac:dyDescent="0.3">
      <c r="A83" s="28">
        <v>46127</v>
      </c>
      <c r="B83" s="1">
        <v>4</v>
      </c>
      <c r="C83" s="29" t="s">
        <v>36</v>
      </c>
      <c r="D83" s="1" t="s">
        <v>51</v>
      </c>
      <c r="E83" s="1" t="s">
        <v>50</v>
      </c>
      <c r="F83" s="1">
        <v>1</v>
      </c>
      <c r="G83" s="33" t="e">
        <f>VLOOKUP(E83,ACTIVIDADES!A84:D96,2)</f>
        <v>#N/A</v>
      </c>
    </row>
    <row r="84" spans="1:7" x14ac:dyDescent="0.3">
      <c r="A84" s="28">
        <v>46127</v>
      </c>
      <c r="B84" s="1">
        <v>5</v>
      </c>
      <c r="C84" s="29" t="s">
        <v>38</v>
      </c>
      <c r="D84" s="1" t="s">
        <v>50</v>
      </c>
      <c r="E84" s="1" t="s">
        <v>50</v>
      </c>
      <c r="F84" s="1">
        <v>1</v>
      </c>
      <c r="G84" s="33" t="e">
        <f>VLOOKUP(E84,ACTIVIDADES!A85:D97,2)</f>
        <v>#N/A</v>
      </c>
    </row>
    <row r="85" spans="1:7" x14ac:dyDescent="0.3">
      <c r="A85" s="28">
        <v>46127</v>
      </c>
      <c r="B85" s="1">
        <v>6</v>
      </c>
      <c r="C85" s="30" t="s">
        <v>11</v>
      </c>
      <c r="D85" s="1" t="s">
        <v>52</v>
      </c>
      <c r="E85" s="1" t="s">
        <v>45</v>
      </c>
      <c r="F85" s="1">
        <v>1</v>
      </c>
      <c r="G85" s="33" t="e">
        <f>VLOOKUP(E85,ACTIVIDADES!A86:D98,2)</f>
        <v>#N/A</v>
      </c>
    </row>
    <row r="86" spans="1:7" x14ac:dyDescent="0.3">
      <c r="A86" s="28">
        <v>46127</v>
      </c>
      <c r="B86" s="1">
        <v>7</v>
      </c>
      <c r="C86" s="29" t="s">
        <v>12</v>
      </c>
      <c r="D86" s="1" t="s">
        <v>52</v>
      </c>
      <c r="E86" s="1" t="s">
        <v>45</v>
      </c>
      <c r="F86" s="1">
        <v>1</v>
      </c>
      <c r="G86" s="33" t="e">
        <f>VLOOKUP(E86,ACTIVIDADES!A87:D99,2)</f>
        <v>#N/A</v>
      </c>
    </row>
    <row r="87" spans="1:7" x14ac:dyDescent="0.3">
      <c r="A87" s="28">
        <v>46127</v>
      </c>
      <c r="B87" s="1">
        <v>8</v>
      </c>
      <c r="C87" s="30" t="s">
        <v>13</v>
      </c>
      <c r="D87" s="1" t="s">
        <v>52</v>
      </c>
      <c r="E87" s="1" t="s">
        <v>45</v>
      </c>
      <c r="F87" s="1">
        <v>1</v>
      </c>
      <c r="G87" s="33" t="e">
        <f>VLOOKUP(E87,ACTIVIDADES!A88:D100,2)</f>
        <v>#N/A</v>
      </c>
    </row>
    <row r="88" spans="1:7" x14ac:dyDescent="0.3">
      <c r="A88" s="28">
        <v>46127</v>
      </c>
      <c r="B88" s="1">
        <v>9</v>
      </c>
      <c r="C88" s="29" t="s">
        <v>14</v>
      </c>
      <c r="D88" s="1" t="s">
        <v>58</v>
      </c>
      <c r="E88" s="1" t="s">
        <v>79</v>
      </c>
      <c r="F88" s="1">
        <v>1</v>
      </c>
      <c r="G88" s="33" t="e">
        <f>VLOOKUP(E88,ACTIVIDADES!A89:D101,2)</f>
        <v>#N/A</v>
      </c>
    </row>
    <row r="89" spans="1:7" x14ac:dyDescent="0.3">
      <c r="A89" s="28">
        <v>46127</v>
      </c>
      <c r="B89" s="1">
        <v>10</v>
      </c>
      <c r="C89" s="30" t="s">
        <v>15</v>
      </c>
      <c r="D89" s="1" t="s">
        <v>52</v>
      </c>
      <c r="E89" s="1" t="s">
        <v>45</v>
      </c>
      <c r="F89" s="1">
        <v>1</v>
      </c>
      <c r="G89" s="33" t="e">
        <f>VLOOKUP(E89,ACTIVIDADES!A90:D102,2)</f>
        <v>#N/A</v>
      </c>
    </row>
    <row r="90" spans="1:7" x14ac:dyDescent="0.3">
      <c r="A90" s="28">
        <v>46127</v>
      </c>
      <c r="B90" s="1">
        <v>11</v>
      </c>
      <c r="C90" s="29" t="s">
        <v>16</v>
      </c>
      <c r="D90" s="1"/>
      <c r="E90" s="1"/>
      <c r="F90" s="1"/>
      <c r="G90" s="33" t="e">
        <f>VLOOKUP(E90,ACTIVIDADES!A91:D103,2)</f>
        <v>#N/A</v>
      </c>
    </row>
    <row r="91" spans="1:7" x14ac:dyDescent="0.3">
      <c r="A91" s="28">
        <v>46127</v>
      </c>
      <c r="B91" s="1">
        <v>12</v>
      </c>
      <c r="C91" s="30" t="s">
        <v>17</v>
      </c>
      <c r="D91" s="1" t="s">
        <v>52</v>
      </c>
      <c r="E91" s="1" t="s">
        <v>45</v>
      </c>
      <c r="F91" s="1">
        <v>1</v>
      </c>
      <c r="G91" s="33" t="e">
        <f>VLOOKUP(E91,ACTIVIDADES!A92:D104,2)</f>
        <v>#N/A</v>
      </c>
    </row>
    <row r="92" spans="1:7" x14ac:dyDescent="0.3">
      <c r="A92" s="28">
        <v>46127</v>
      </c>
      <c r="B92" s="1">
        <v>13</v>
      </c>
      <c r="C92" s="29" t="s">
        <v>18</v>
      </c>
      <c r="D92" s="1"/>
      <c r="E92" s="1"/>
      <c r="F92" s="1"/>
      <c r="G92" s="33" t="e">
        <f>VLOOKUP(E92,ACTIVIDADES!A93:D105,2)</f>
        <v>#N/A</v>
      </c>
    </row>
    <row r="93" spans="1:7" x14ac:dyDescent="0.3">
      <c r="A93" s="28">
        <v>46127</v>
      </c>
      <c r="B93" s="1">
        <v>14</v>
      </c>
      <c r="C93" s="30" t="s">
        <v>19</v>
      </c>
      <c r="D93" s="1"/>
      <c r="E93" s="1"/>
      <c r="F93" s="1"/>
      <c r="G93" s="33" t="e">
        <f>VLOOKUP(E93,ACTIVIDADES!A94:D106,2)</f>
        <v>#N/A</v>
      </c>
    </row>
    <row r="94" spans="1:7" x14ac:dyDescent="0.3">
      <c r="A94" s="28">
        <v>46127</v>
      </c>
      <c r="B94" s="1">
        <v>15</v>
      </c>
      <c r="C94" s="29" t="s">
        <v>20</v>
      </c>
      <c r="D94" s="1" t="s">
        <v>53</v>
      </c>
      <c r="E94" s="1" t="s">
        <v>53</v>
      </c>
      <c r="F94" s="1">
        <v>1</v>
      </c>
      <c r="G94" s="33" t="e">
        <f>VLOOKUP(E94,ACTIVIDADES!A95:D107,2)</f>
        <v>#N/A</v>
      </c>
    </row>
    <row r="95" spans="1:7" x14ac:dyDescent="0.3">
      <c r="A95" s="28">
        <v>46127</v>
      </c>
      <c r="B95" s="1">
        <v>16</v>
      </c>
      <c r="C95" s="30" t="s">
        <v>21</v>
      </c>
      <c r="D95" s="1" t="s">
        <v>58</v>
      </c>
      <c r="E95" s="1" t="s">
        <v>79</v>
      </c>
      <c r="F95" s="1">
        <v>1</v>
      </c>
      <c r="G95" s="33" t="e">
        <f>VLOOKUP(E95,ACTIVIDADES!A96:D108,2)</f>
        <v>#N/A</v>
      </c>
    </row>
    <row r="96" spans="1:7" x14ac:dyDescent="0.3">
      <c r="A96" s="28">
        <v>46127</v>
      </c>
      <c r="B96" s="1">
        <v>17</v>
      </c>
      <c r="C96" s="29" t="s">
        <v>8</v>
      </c>
      <c r="D96" s="1" t="s">
        <v>52</v>
      </c>
      <c r="E96" s="1" t="s">
        <v>45</v>
      </c>
      <c r="F96" s="1">
        <v>1</v>
      </c>
      <c r="G96" s="33" t="e">
        <f>VLOOKUP(E96,ACTIVIDADES!A97:D109,2)</f>
        <v>#N/A</v>
      </c>
    </row>
    <row r="97" spans="1:7" x14ac:dyDescent="0.3">
      <c r="A97" s="28">
        <v>46127</v>
      </c>
      <c r="B97" s="1">
        <v>18</v>
      </c>
      <c r="C97" s="30" t="s">
        <v>23</v>
      </c>
      <c r="D97" s="1" t="s">
        <v>52</v>
      </c>
      <c r="E97" s="1" t="s">
        <v>45</v>
      </c>
      <c r="F97" s="1">
        <v>1</v>
      </c>
      <c r="G97" s="33" t="e">
        <f>VLOOKUP(E97,ACTIVIDADES!A98:D110,2)</f>
        <v>#N/A</v>
      </c>
    </row>
    <row r="98" spans="1:7" x14ac:dyDescent="0.3">
      <c r="A98" s="28">
        <v>46127</v>
      </c>
      <c r="B98" s="1">
        <v>19</v>
      </c>
      <c r="C98" s="29" t="s">
        <v>92</v>
      </c>
      <c r="D98" s="1"/>
      <c r="E98" s="1"/>
      <c r="F98" s="1"/>
      <c r="G98" s="33" t="e">
        <f>VLOOKUP(E98,ACTIVIDADES!A99:D111,2)</f>
        <v>#N/A</v>
      </c>
    </row>
    <row r="99" spans="1:7" x14ac:dyDescent="0.3">
      <c r="A99" s="28">
        <v>46127</v>
      </c>
      <c r="B99" s="1">
        <v>20</v>
      </c>
      <c r="C99" s="30" t="s">
        <v>25</v>
      </c>
      <c r="D99" s="1" t="s">
        <v>52</v>
      </c>
      <c r="E99" s="1" t="s">
        <v>45</v>
      </c>
      <c r="F99" s="1">
        <v>1</v>
      </c>
      <c r="G99" s="33" t="e">
        <f>VLOOKUP(E99,ACTIVIDADES!A100:D112,2)</f>
        <v>#N/A</v>
      </c>
    </row>
    <row r="100" spans="1:7" x14ac:dyDescent="0.3">
      <c r="A100" s="28">
        <v>46127</v>
      </c>
      <c r="B100" s="1">
        <v>21</v>
      </c>
      <c r="C100" s="29" t="s">
        <v>26</v>
      </c>
      <c r="D100" s="1" t="s">
        <v>52</v>
      </c>
      <c r="E100" s="1" t="s">
        <v>45</v>
      </c>
      <c r="F100" s="1">
        <v>1</v>
      </c>
      <c r="G100" s="33" t="e">
        <f>VLOOKUP(E100,ACTIVIDADES!A101:D113,2)</f>
        <v>#N/A</v>
      </c>
    </row>
    <row r="101" spans="1:7" x14ac:dyDescent="0.3">
      <c r="A101" s="28">
        <v>46127</v>
      </c>
      <c r="B101" s="1">
        <v>22</v>
      </c>
      <c r="C101" s="30" t="s">
        <v>27</v>
      </c>
      <c r="D101" s="1" t="s">
        <v>54</v>
      </c>
      <c r="E101" s="1" t="s">
        <v>45</v>
      </c>
      <c r="F101" s="1">
        <v>1</v>
      </c>
      <c r="G101" s="33" t="e">
        <f>VLOOKUP(E101,ACTIVIDADES!A102:D114,2)</f>
        <v>#N/A</v>
      </c>
    </row>
    <row r="102" spans="1:7" x14ac:dyDescent="0.3">
      <c r="A102" s="28">
        <v>46127</v>
      </c>
      <c r="B102" s="1">
        <v>23</v>
      </c>
      <c r="C102" s="29" t="s">
        <v>28</v>
      </c>
      <c r="D102" s="1" t="s">
        <v>52</v>
      </c>
      <c r="E102" s="1" t="s">
        <v>45</v>
      </c>
      <c r="F102" s="1">
        <v>1</v>
      </c>
      <c r="G102" s="33" t="e">
        <f>VLOOKUP(E102,ACTIVIDADES!A103:D115,2)</f>
        <v>#N/A</v>
      </c>
    </row>
    <row r="103" spans="1:7" x14ac:dyDescent="0.3">
      <c r="A103" s="28">
        <v>46127</v>
      </c>
      <c r="B103" s="1">
        <v>24</v>
      </c>
      <c r="C103" s="30" t="s">
        <v>29</v>
      </c>
      <c r="D103" s="1" t="s">
        <v>52</v>
      </c>
      <c r="E103" s="1" t="s">
        <v>45</v>
      </c>
      <c r="F103" s="1">
        <v>1</v>
      </c>
      <c r="G103" s="33" t="e">
        <f>VLOOKUP(E103,ACTIVIDADES!A104:D116,2)</f>
        <v>#N/A</v>
      </c>
    </row>
    <row r="104" spans="1:7" x14ac:dyDescent="0.3">
      <c r="A104" s="28">
        <v>46127</v>
      </c>
      <c r="B104" s="1">
        <v>25</v>
      </c>
      <c r="C104" s="29" t="s">
        <v>30</v>
      </c>
      <c r="D104" s="1"/>
      <c r="E104" s="1"/>
      <c r="F104" s="1"/>
      <c r="G104" s="33" t="e">
        <f>VLOOKUP(E104,ACTIVIDADES!A105:D117,2)</f>
        <v>#N/A</v>
      </c>
    </row>
    <row r="105" spans="1:7" x14ac:dyDescent="0.3">
      <c r="A105" s="28">
        <v>46127</v>
      </c>
      <c r="B105" s="1">
        <v>26</v>
      </c>
      <c r="C105" s="30" t="s">
        <v>31</v>
      </c>
      <c r="D105" s="1" t="s">
        <v>52</v>
      </c>
      <c r="E105" s="1" t="s">
        <v>45</v>
      </c>
      <c r="F105" s="1">
        <v>1</v>
      </c>
      <c r="G105" s="33" t="e">
        <f>VLOOKUP(E105,ACTIVIDADES!A106:D118,2)</f>
        <v>#N/A</v>
      </c>
    </row>
    <row r="106" spans="1:7" x14ac:dyDescent="0.3">
      <c r="A106" s="28">
        <v>46127</v>
      </c>
      <c r="B106" s="1">
        <v>27</v>
      </c>
      <c r="C106" s="29" t="s">
        <v>32</v>
      </c>
      <c r="D106" s="1" t="s">
        <v>52</v>
      </c>
      <c r="E106" s="1" t="s">
        <v>45</v>
      </c>
      <c r="F106" s="1">
        <v>1</v>
      </c>
      <c r="G106" s="33" t="e">
        <f>VLOOKUP(E106,ACTIVIDADES!A107:D119,2)</f>
        <v>#N/A</v>
      </c>
    </row>
    <row r="107" spans="1:7" x14ac:dyDescent="0.3">
      <c r="A107" s="28">
        <v>46127</v>
      </c>
      <c r="B107" s="1">
        <v>28</v>
      </c>
      <c r="C107" s="30" t="s">
        <v>33</v>
      </c>
      <c r="D107" s="1" t="s">
        <v>52</v>
      </c>
      <c r="E107" s="1" t="s">
        <v>45</v>
      </c>
      <c r="F107" s="1">
        <v>1</v>
      </c>
      <c r="G107" s="33" t="e">
        <f>VLOOKUP(E107,ACTIVIDADES!A108:D120,2)</f>
        <v>#N/A</v>
      </c>
    </row>
    <row r="108" spans="1:7" x14ac:dyDescent="0.3">
      <c r="A108" s="28">
        <v>46127</v>
      </c>
      <c r="B108" s="1">
        <v>29</v>
      </c>
      <c r="C108" s="29" t="s">
        <v>34</v>
      </c>
      <c r="D108" s="1" t="s">
        <v>52</v>
      </c>
      <c r="E108" s="1" t="s">
        <v>45</v>
      </c>
      <c r="F108" s="1">
        <v>1</v>
      </c>
      <c r="G108" s="33" t="e">
        <f>VLOOKUP(E108,ACTIVIDADES!A109:D121,2)</f>
        <v>#N/A</v>
      </c>
    </row>
    <row r="109" spans="1:7" x14ac:dyDescent="0.3">
      <c r="A109" s="28">
        <v>46127</v>
      </c>
      <c r="B109" s="1">
        <v>30</v>
      </c>
      <c r="C109" s="30" t="s">
        <v>35</v>
      </c>
      <c r="D109" s="1" t="s">
        <v>52</v>
      </c>
      <c r="E109" s="1" t="s">
        <v>59</v>
      </c>
      <c r="F109" s="1">
        <v>1</v>
      </c>
      <c r="G109" s="33" t="e">
        <f>VLOOKUP(E109,ACTIVIDADES!A110:D122,2)</f>
        <v>#N/A</v>
      </c>
    </row>
    <row r="110" spans="1:7" x14ac:dyDescent="0.3">
      <c r="A110" s="28">
        <v>46127</v>
      </c>
      <c r="B110" s="1">
        <v>31</v>
      </c>
      <c r="C110" s="30" t="s">
        <v>9</v>
      </c>
      <c r="D110" s="1" t="s">
        <v>52</v>
      </c>
      <c r="E110" s="1" t="s">
        <v>45</v>
      </c>
      <c r="F110" s="1">
        <v>1</v>
      </c>
      <c r="G110" s="33" t="e">
        <f>VLOOKUP(E110,ACTIVIDADES!A111:D123,2)</f>
        <v>#N/A</v>
      </c>
    </row>
    <row r="111" spans="1:7" x14ac:dyDescent="0.3">
      <c r="A111" s="28">
        <v>46127</v>
      </c>
      <c r="B111" s="1">
        <v>32</v>
      </c>
      <c r="C111" s="30" t="s">
        <v>37</v>
      </c>
      <c r="D111" s="1" t="s">
        <v>52</v>
      </c>
      <c r="E111" s="1" t="s">
        <v>45</v>
      </c>
      <c r="F111" s="1">
        <v>1</v>
      </c>
      <c r="G111" s="33" t="e">
        <f>VLOOKUP(E111,ACTIVIDADES!A112:D124,2)</f>
        <v>#N/A</v>
      </c>
    </row>
    <row r="112" spans="1:7" x14ac:dyDescent="0.3">
      <c r="A112" s="28">
        <v>46127</v>
      </c>
      <c r="B112" s="1">
        <v>33</v>
      </c>
      <c r="C112" s="30" t="s">
        <v>7</v>
      </c>
      <c r="D112" s="1" t="s">
        <v>52</v>
      </c>
      <c r="E112" s="1" t="s">
        <v>45</v>
      </c>
      <c r="F112" s="1">
        <v>1</v>
      </c>
      <c r="G112" s="33" t="e">
        <f>VLOOKUP(E112,ACTIVIDADES!A113:D125,2)</f>
        <v>#N/A</v>
      </c>
    </row>
    <row r="113" spans="1:7" x14ac:dyDescent="0.3">
      <c r="A113" s="28">
        <v>46127</v>
      </c>
      <c r="B113" s="1">
        <v>34</v>
      </c>
      <c r="C113" s="30" t="s">
        <v>143</v>
      </c>
      <c r="D113" s="1"/>
      <c r="E113" s="1"/>
      <c r="F113" s="1"/>
      <c r="G113" s="33" t="e">
        <f>VLOOKUP(E113,ACTIVIDADES!A114:D126,2)</f>
        <v>#N/A</v>
      </c>
    </row>
    <row r="114" spans="1:7" x14ac:dyDescent="0.3">
      <c r="A114" s="28">
        <v>46127</v>
      </c>
      <c r="B114" s="1">
        <v>35</v>
      </c>
      <c r="C114" s="29" t="s">
        <v>40</v>
      </c>
      <c r="D114" s="1" t="s">
        <v>47</v>
      </c>
      <c r="E114" s="1" t="s">
        <v>45</v>
      </c>
      <c r="F114" s="1">
        <v>1</v>
      </c>
      <c r="G114" s="33" t="e">
        <f>VLOOKUP(E114,ACTIVIDADES!A115:D127,2)</f>
        <v>#N/A</v>
      </c>
    </row>
    <row r="115" spans="1:7" x14ac:dyDescent="0.3">
      <c r="A115" s="28">
        <v>46127</v>
      </c>
      <c r="B115" s="1">
        <v>36</v>
      </c>
      <c r="C115" s="29" t="s">
        <v>41</v>
      </c>
      <c r="D115" s="1"/>
      <c r="E115" s="1"/>
      <c r="F115" s="1"/>
      <c r="G115" s="33" t="e">
        <f>VLOOKUP(E115,ACTIVIDADES!A116:D128,2)</f>
        <v>#N/A</v>
      </c>
    </row>
    <row r="116" spans="1:7" x14ac:dyDescent="0.3">
      <c r="A116" s="28">
        <v>46127</v>
      </c>
      <c r="B116" s="1">
        <v>37</v>
      </c>
      <c r="C116" s="30" t="s">
        <v>42</v>
      </c>
      <c r="D116" s="1" t="s">
        <v>52</v>
      </c>
      <c r="E116" s="1" t="s">
        <v>45</v>
      </c>
      <c r="F116" s="1">
        <v>1</v>
      </c>
      <c r="G116" s="33" t="e">
        <f>VLOOKUP(E116,ACTIVIDADES!A117:D129,2)</f>
        <v>#N/A</v>
      </c>
    </row>
    <row r="117" spans="1:7" x14ac:dyDescent="0.3">
      <c r="A117" s="28">
        <v>46127</v>
      </c>
      <c r="B117" s="1">
        <v>38</v>
      </c>
      <c r="C117" s="30" t="s">
        <v>43</v>
      </c>
      <c r="D117" s="1" t="s">
        <v>52</v>
      </c>
      <c r="E117" s="1" t="s">
        <v>45</v>
      </c>
      <c r="F117" s="1">
        <v>1</v>
      </c>
      <c r="G117" s="33" t="e">
        <f>VLOOKUP(E117,ACTIVIDADES!A118:D130,2)</f>
        <v>#N/A</v>
      </c>
    </row>
    <row r="118" spans="1:7" x14ac:dyDescent="0.3">
      <c r="A118" s="28">
        <v>46127</v>
      </c>
      <c r="B118" s="1">
        <v>39</v>
      </c>
      <c r="C118" s="29" t="s">
        <v>44</v>
      </c>
      <c r="D118" s="1" t="s">
        <v>52</v>
      </c>
      <c r="E118" s="1" t="s">
        <v>45</v>
      </c>
      <c r="F118" s="1">
        <v>1</v>
      </c>
      <c r="G118" s="33" t="e">
        <f>VLOOKUP(E118,ACTIVIDADES!A119:D131,2)</f>
        <v>#N/A</v>
      </c>
    </row>
    <row r="119" spans="1:7" x14ac:dyDescent="0.3">
      <c r="A119" s="28">
        <v>46128</v>
      </c>
      <c r="B119" s="1">
        <v>1</v>
      </c>
      <c r="C119" s="29" t="s">
        <v>6</v>
      </c>
      <c r="D119" s="1" t="s">
        <v>49</v>
      </c>
      <c r="E119" s="1" t="s">
        <v>49</v>
      </c>
      <c r="F119" s="1">
        <v>1</v>
      </c>
      <c r="G119" s="33" t="e">
        <f>VLOOKUP(E119,ACTIVIDADES!A120:D132,2)</f>
        <v>#N/A</v>
      </c>
    </row>
    <row r="120" spans="1:7" x14ac:dyDescent="0.3">
      <c r="A120" s="28">
        <v>46128</v>
      </c>
      <c r="B120" s="1">
        <v>2</v>
      </c>
      <c r="C120" s="29" t="s">
        <v>10</v>
      </c>
      <c r="D120" s="1" t="s">
        <v>49</v>
      </c>
      <c r="E120" s="1" t="s">
        <v>49</v>
      </c>
      <c r="F120" s="1">
        <v>1</v>
      </c>
      <c r="G120" s="33" t="e">
        <f>VLOOKUP(E120,ACTIVIDADES!A121:D133,2)</f>
        <v>#N/A</v>
      </c>
    </row>
    <row r="121" spans="1:7" x14ac:dyDescent="0.3">
      <c r="A121" s="28">
        <v>46128</v>
      </c>
      <c r="B121" s="1">
        <v>3</v>
      </c>
      <c r="C121" s="29" t="s">
        <v>22</v>
      </c>
      <c r="D121" s="1" t="s">
        <v>48</v>
      </c>
      <c r="E121" s="1" t="s">
        <v>48</v>
      </c>
      <c r="F121" s="1">
        <v>1</v>
      </c>
      <c r="G121" s="33" t="e">
        <f>VLOOKUP(E121,ACTIVIDADES!A122:D134,2)</f>
        <v>#N/A</v>
      </c>
    </row>
    <row r="122" spans="1:7" x14ac:dyDescent="0.3">
      <c r="A122" s="28">
        <v>46128</v>
      </c>
      <c r="B122" s="1">
        <v>4</v>
      </c>
      <c r="C122" s="29" t="s">
        <v>36</v>
      </c>
      <c r="D122" s="1" t="s">
        <v>51</v>
      </c>
      <c r="E122" s="1" t="s">
        <v>50</v>
      </c>
      <c r="F122" s="1">
        <v>1</v>
      </c>
      <c r="G122" s="33" t="e">
        <f>VLOOKUP(E122,ACTIVIDADES!A123:D135,2)</f>
        <v>#N/A</v>
      </c>
    </row>
    <row r="123" spans="1:7" x14ac:dyDescent="0.3">
      <c r="A123" s="28">
        <v>46128</v>
      </c>
      <c r="B123" s="1">
        <v>5</v>
      </c>
      <c r="C123" s="29" t="s">
        <v>38</v>
      </c>
      <c r="D123" s="1" t="s">
        <v>51</v>
      </c>
      <c r="E123" s="1" t="s">
        <v>50</v>
      </c>
      <c r="F123" s="1">
        <v>1</v>
      </c>
      <c r="G123" s="33" t="e">
        <f>VLOOKUP(E123,ACTIVIDADES!A124:D136,2)</f>
        <v>#N/A</v>
      </c>
    </row>
    <row r="124" spans="1:7" x14ac:dyDescent="0.3">
      <c r="A124" s="28">
        <v>46128</v>
      </c>
      <c r="B124" s="1">
        <v>6</v>
      </c>
      <c r="C124" s="30" t="s">
        <v>11</v>
      </c>
      <c r="D124" s="1" t="s">
        <v>56</v>
      </c>
      <c r="E124" s="1" t="s">
        <v>45</v>
      </c>
      <c r="F124" s="1">
        <v>1</v>
      </c>
      <c r="G124" s="33" t="e">
        <f>VLOOKUP(E124,ACTIVIDADES!A125:D137,2)</f>
        <v>#N/A</v>
      </c>
    </row>
    <row r="125" spans="1:7" x14ac:dyDescent="0.3">
      <c r="A125" s="28">
        <v>46128</v>
      </c>
      <c r="B125" s="1">
        <v>7</v>
      </c>
      <c r="C125" s="29" t="s">
        <v>12</v>
      </c>
      <c r="D125" s="1" t="s">
        <v>57</v>
      </c>
      <c r="E125" s="1" t="s">
        <v>59</v>
      </c>
      <c r="F125" s="1">
        <v>1</v>
      </c>
      <c r="G125" s="33" t="e">
        <f>VLOOKUP(E125,ACTIVIDADES!A126:D138,2)</f>
        <v>#N/A</v>
      </c>
    </row>
    <row r="126" spans="1:7" x14ac:dyDescent="0.3">
      <c r="A126" s="28">
        <v>46128</v>
      </c>
      <c r="B126" s="1">
        <v>8</v>
      </c>
      <c r="C126" s="30" t="s">
        <v>13</v>
      </c>
      <c r="D126" s="1" t="s">
        <v>57</v>
      </c>
      <c r="E126" s="1" t="s">
        <v>59</v>
      </c>
      <c r="F126" s="1">
        <v>1</v>
      </c>
      <c r="G126" s="33" t="e">
        <f>VLOOKUP(E126,ACTIVIDADES!A127:D139,2)</f>
        <v>#N/A</v>
      </c>
    </row>
    <row r="127" spans="1:7" x14ac:dyDescent="0.3">
      <c r="A127" s="28">
        <v>46128</v>
      </c>
      <c r="B127" s="1">
        <v>9</v>
      </c>
      <c r="C127" s="29" t="s">
        <v>14</v>
      </c>
      <c r="D127" s="1" t="s">
        <v>58</v>
      </c>
      <c r="E127" s="1" t="s">
        <v>79</v>
      </c>
      <c r="F127" s="1">
        <v>1</v>
      </c>
      <c r="G127" s="33" t="e">
        <f>VLOOKUP(E127,ACTIVIDADES!A128:D140,2)</f>
        <v>#N/A</v>
      </c>
    </row>
    <row r="128" spans="1:7" x14ac:dyDescent="0.3">
      <c r="A128" s="28">
        <v>46128</v>
      </c>
      <c r="B128" s="1">
        <v>10</v>
      </c>
      <c r="C128" s="30" t="s">
        <v>15</v>
      </c>
      <c r="D128" s="1" t="s">
        <v>58</v>
      </c>
      <c r="E128" s="1" t="s">
        <v>45</v>
      </c>
      <c r="F128" s="1">
        <v>1</v>
      </c>
      <c r="G128" s="33" t="e">
        <f>VLOOKUP(E128,ACTIVIDADES!A129:D141,2)</f>
        <v>#N/A</v>
      </c>
    </row>
    <row r="129" spans="1:7" x14ac:dyDescent="0.3">
      <c r="A129" s="28">
        <v>46128</v>
      </c>
      <c r="B129" s="1">
        <v>11</v>
      </c>
      <c r="C129" s="29" t="s">
        <v>16</v>
      </c>
      <c r="D129" s="1"/>
      <c r="E129" s="1"/>
      <c r="F129" s="1"/>
      <c r="G129" s="33" t="e">
        <f>VLOOKUP(E129,ACTIVIDADES!A130:D142,2)</f>
        <v>#N/A</v>
      </c>
    </row>
    <row r="130" spans="1:7" x14ac:dyDescent="0.3">
      <c r="A130" s="28">
        <v>46128</v>
      </c>
      <c r="B130" s="1">
        <v>12</v>
      </c>
      <c r="C130" s="30" t="s">
        <v>17</v>
      </c>
      <c r="D130" s="1" t="s">
        <v>57</v>
      </c>
      <c r="E130" s="1" t="s">
        <v>59</v>
      </c>
      <c r="F130" s="1">
        <v>1</v>
      </c>
      <c r="G130" s="33" t="e">
        <f>VLOOKUP(E130,ACTIVIDADES!A131:D143,2)</f>
        <v>#N/A</v>
      </c>
    </row>
    <row r="131" spans="1:7" x14ac:dyDescent="0.3">
      <c r="A131" s="28">
        <v>46128</v>
      </c>
      <c r="B131" s="1">
        <v>13</v>
      </c>
      <c r="C131" s="29" t="s">
        <v>18</v>
      </c>
      <c r="D131" s="1"/>
      <c r="E131" s="1"/>
      <c r="F131" s="1"/>
      <c r="G131" s="33" t="e">
        <f>VLOOKUP(E131,ACTIVIDADES!A132:D144,2)</f>
        <v>#N/A</v>
      </c>
    </row>
    <row r="132" spans="1:7" x14ac:dyDescent="0.3">
      <c r="A132" s="28">
        <v>46128</v>
      </c>
      <c r="B132" s="1">
        <v>14</v>
      </c>
      <c r="C132" s="30" t="s">
        <v>19</v>
      </c>
      <c r="D132" s="1"/>
      <c r="E132" s="1"/>
      <c r="F132" s="1"/>
      <c r="G132" s="33" t="e">
        <f>VLOOKUP(E132,ACTIVIDADES!A133:D145,2)</f>
        <v>#N/A</v>
      </c>
    </row>
    <row r="133" spans="1:7" x14ac:dyDescent="0.3">
      <c r="A133" s="28">
        <v>46128</v>
      </c>
      <c r="B133" s="1">
        <v>15</v>
      </c>
      <c r="C133" s="29" t="s">
        <v>20</v>
      </c>
      <c r="D133" s="1" t="s">
        <v>53</v>
      </c>
      <c r="E133" s="1" t="s">
        <v>53</v>
      </c>
      <c r="F133" s="1">
        <v>1</v>
      </c>
      <c r="G133" s="33" t="e">
        <f>VLOOKUP(E133,ACTIVIDADES!A134:D146,2)</f>
        <v>#N/A</v>
      </c>
    </row>
    <row r="134" spans="1:7" x14ac:dyDescent="0.3">
      <c r="A134" s="28">
        <v>46128</v>
      </c>
      <c r="B134" s="1">
        <v>16</v>
      </c>
      <c r="C134" s="30" t="s">
        <v>21</v>
      </c>
      <c r="D134" s="1" t="s">
        <v>58</v>
      </c>
      <c r="E134" s="1" t="s">
        <v>79</v>
      </c>
      <c r="F134" s="1">
        <v>1</v>
      </c>
      <c r="G134" s="33" t="e">
        <f>VLOOKUP(E134,ACTIVIDADES!A135:D147,2)</f>
        <v>#N/A</v>
      </c>
    </row>
    <row r="135" spans="1:7" x14ac:dyDescent="0.3">
      <c r="A135" s="28">
        <v>46128</v>
      </c>
      <c r="B135" s="1">
        <v>17</v>
      </c>
      <c r="C135" s="29" t="s">
        <v>8</v>
      </c>
      <c r="D135" s="1" t="s">
        <v>57</v>
      </c>
      <c r="E135" s="1" t="s">
        <v>59</v>
      </c>
      <c r="F135" s="1">
        <v>1</v>
      </c>
      <c r="G135" s="33" t="e">
        <f>VLOOKUP(E135,ACTIVIDADES!A136:D148,2)</f>
        <v>#N/A</v>
      </c>
    </row>
    <row r="136" spans="1:7" x14ac:dyDescent="0.3">
      <c r="A136" s="28">
        <v>46128</v>
      </c>
      <c r="B136" s="1">
        <v>18</v>
      </c>
      <c r="C136" s="30" t="s">
        <v>23</v>
      </c>
      <c r="D136" s="1" t="s">
        <v>57</v>
      </c>
      <c r="E136" s="1" t="s">
        <v>59</v>
      </c>
      <c r="F136" s="1">
        <v>1</v>
      </c>
      <c r="G136" s="33" t="e">
        <f>VLOOKUP(E136,ACTIVIDADES!A137:D149,2)</f>
        <v>#N/A</v>
      </c>
    </row>
    <row r="137" spans="1:7" x14ac:dyDescent="0.3">
      <c r="A137" s="28">
        <v>46128</v>
      </c>
      <c r="B137" s="1">
        <v>19</v>
      </c>
      <c r="C137" s="29" t="s">
        <v>92</v>
      </c>
      <c r="D137" s="1"/>
      <c r="E137" s="1"/>
      <c r="F137" s="1"/>
      <c r="G137" s="33" t="e">
        <f>VLOOKUP(E137,ACTIVIDADES!A138:D150,2)</f>
        <v>#N/A</v>
      </c>
    </row>
    <row r="138" spans="1:7" x14ac:dyDescent="0.3">
      <c r="A138" s="28">
        <v>46128</v>
      </c>
      <c r="B138" s="1">
        <v>20</v>
      </c>
      <c r="C138" s="30" t="s">
        <v>25</v>
      </c>
      <c r="D138" s="1" t="s">
        <v>57</v>
      </c>
      <c r="E138" s="1" t="s">
        <v>59</v>
      </c>
      <c r="F138" s="1">
        <v>1</v>
      </c>
      <c r="G138" s="33" t="e">
        <f>VLOOKUP(E138,ACTIVIDADES!A139:D151,2)</f>
        <v>#N/A</v>
      </c>
    </row>
    <row r="139" spans="1:7" x14ac:dyDescent="0.3">
      <c r="A139" s="28">
        <v>46128</v>
      </c>
      <c r="B139" s="1">
        <v>21</v>
      </c>
      <c r="C139" s="29" t="s">
        <v>26</v>
      </c>
      <c r="D139" s="1" t="s">
        <v>56</v>
      </c>
      <c r="E139" s="1" t="s">
        <v>45</v>
      </c>
      <c r="F139" s="1">
        <v>1</v>
      </c>
      <c r="G139" s="33" t="e">
        <f>VLOOKUP(E139,ACTIVIDADES!A140:D152,2)</f>
        <v>#N/A</v>
      </c>
    </row>
    <row r="140" spans="1:7" x14ac:dyDescent="0.3">
      <c r="A140" s="28">
        <v>46128</v>
      </c>
      <c r="B140" s="1">
        <v>22</v>
      </c>
      <c r="C140" s="30" t="s">
        <v>27</v>
      </c>
      <c r="D140" s="1" t="s">
        <v>56</v>
      </c>
      <c r="E140" s="1" t="s">
        <v>45</v>
      </c>
      <c r="F140" s="1">
        <v>1</v>
      </c>
      <c r="G140" s="33" t="e">
        <f>VLOOKUP(E140,ACTIVIDADES!A141:D153,2)</f>
        <v>#N/A</v>
      </c>
    </row>
    <row r="141" spans="1:7" x14ac:dyDescent="0.3">
      <c r="A141" s="28">
        <v>46128</v>
      </c>
      <c r="B141" s="1">
        <v>23</v>
      </c>
      <c r="C141" s="29" t="s">
        <v>28</v>
      </c>
      <c r="D141" s="1" t="s">
        <v>56</v>
      </c>
      <c r="E141" s="1" t="s">
        <v>45</v>
      </c>
      <c r="F141" s="1">
        <v>1</v>
      </c>
      <c r="G141" s="33" t="e">
        <f>VLOOKUP(E141,ACTIVIDADES!A142:D154,2)</f>
        <v>#N/A</v>
      </c>
    </row>
    <row r="142" spans="1:7" x14ac:dyDescent="0.3">
      <c r="A142" s="28">
        <v>46128</v>
      </c>
      <c r="B142" s="1">
        <v>24</v>
      </c>
      <c r="C142" s="30" t="s">
        <v>29</v>
      </c>
      <c r="D142" s="1" t="s">
        <v>57</v>
      </c>
      <c r="E142" s="1" t="s">
        <v>59</v>
      </c>
      <c r="F142" s="1">
        <v>1</v>
      </c>
      <c r="G142" s="33" t="e">
        <f>VLOOKUP(E142,ACTIVIDADES!A143:D155,2)</f>
        <v>#N/A</v>
      </c>
    </row>
    <row r="143" spans="1:7" x14ac:dyDescent="0.3">
      <c r="A143" s="28">
        <v>46128</v>
      </c>
      <c r="B143" s="1">
        <v>25</v>
      </c>
      <c r="C143" s="29" t="s">
        <v>30</v>
      </c>
      <c r="D143" s="1"/>
      <c r="E143" s="1"/>
      <c r="F143" s="1"/>
      <c r="G143" s="33" t="e">
        <f>VLOOKUP(E143,ACTIVIDADES!A144:D156,2)</f>
        <v>#N/A</v>
      </c>
    </row>
    <row r="144" spans="1:7" x14ac:dyDescent="0.3">
      <c r="A144" s="28">
        <v>46128</v>
      </c>
      <c r="B144" s="1">
        <v>26</v>
      </c>
      <c r="C144" s="30" t="s">
        <v>31</v>
      </c>
      <c r="D144" s="1" t="s">
        <v>57</v>
      </c>
      <c r="E144" s="1" t="s">
        <v>59</v>
      </c>
      <c r="F144" s="1">
        <v>1</v>
      </c>
      <c r="G144" s="33" t="e">
        <f>VLOOKUP(E144,ACTIVIDADES!A145:D157,2)</f>
        <v>#N/A</v>
      </c>
    </row>
    <row r="145" spans="1:7" x14ac:dyDescent="0.3">
      <c r="A145" s="28">
        <v>46128</v>
      </c>
      <c r="B145" s="1">
        <v>27</v>
      </c>
      <c r="C145" s="29" t="s">
        <v>32</v>
      </c>
      <c r="D145" s="1" t="s">
        <v>57</v>
      </c>
      <c r="E145" s="1" t="s">
        <v>59</v>
      </c>
      <c r="F145" s="1">
        <v>1</v>
      </c>
      <c r="G145" s="33" t="e">
        <f>VLOOKUP(E145,ACTIVIDADES!A146:D158,2)</f>
        <v>#N/A</v>
      </c>
    </row>
    <row r="146" spans="1:7" x14ac:dyDescent="0.3">
      <c r="A146" s="28">
        <v>46128</v>
      </c>
      <c r="B146" s="1">
        <v>28</v>
      </c>
      <c r="C146" s="30" t="s">
        <v>33</v>
      </c>
      <c r="D146" s="1" t="s">
        <v>57</v>
      </c>
      <c r="E146" s="1" t="s">
        <v>59</v>
      </c>
      <c r="F146" s="1">
        <v>1</v>
      </c>
      <c r="G146" s="33" t="e">
        <f>VLOOKUP(E146,ACTIVIDADES!A147:D159,2)</f>
        <v>#N/A</v>
      </c>
    </row>
    <row r="147" spans="1:7" x14ac:dyDescent="0.3">
      <c r="A147" s="28">
        <v>46128</v>
      </c>
      <c r="B147" s="1">
        <v>29</v>
      </c>
      <c r="C147" s="29" t="s">
        <v>34</v>
      </c>
      <c r="D147" s="1" t="s">
        <v>56</v>
      </c>
      <c r="E147" s="1" t="s">
        <v>45</v>
      </c>
      <c r="F147" s="1">
        <v>1</v>
      </c>
      <c r="G147" s="33" t="e">
        <f>VLOOKUP(E147,ACTIVIDADES!A148:D160,2)</f>
        <v>#N/A</v>
      </c>
    </row>
    <row r="148" spans="1:7" x14ac:dyDescent="0.3">
      <c r="A148" s="28">
        <v>46128</v>
      </c>
      <c r="B148" s="1">
        <v>30</v>
      </c>
      <c r="C148" s="30" t="s">
        <v>35</v>
      </c>
      <c r="D148" s="1" t="s">
        <v>57</v>
      </c>
      <c r="E148" s="1" t="s">
        <v>59</v>
      </c>
      <c r="F148" s="1">
        <v>1</v>
      </c>
      <c r="G148" s="33" t="e">
        <f>VLOOKUP(E148,ACTIVIDADES!A149:D161,2)</f>
        <v>#N/A</v>
      </c>
    </row>
    <row r="149" spans="1:7" x14ac:dyDescent="0.3">
      <c r="A149" s="28">
        <v>46128</v>
      </c>
      <c r="B149" s="1">
        <v>31</v>
      </c>
      <c r="C149" s="30" t="s">
        <v>9</v>
      </c>
      <c r="D149" s="1" t="s">
        <v>56</v>
      </c>
      <c r="E149" s="1" t="s">
        <v>45</v>
      </c>
      <c r="F149" s="1">
        <v>1</v>
      </c>
      <c r="G149" s="33" t="e">
        <f>VLOOKUP(E149,ACTIVIDADES!A150:D162,2)</f>
        <v>#N/A</v>
      </c>
    </row>
    <row r="150" spans="1:7" x14ac:dyDescent="0.3">
      <c r="A150" s="28">
        <v>46128</v>
      </c>
      <c r="B150" s="1">
        <v>32</v>
      </c>
      <c r="C150" s="30" t="s">
        <v>37</v>
      </c>
      <c r="D150" s="1" t="s">
        <v>57</v>
      </c>
      <c r="E150" s="1" t="s">
        <v>59</v>
      </c>
      <c r="F150" s="1">
        <v>1</v>
      </c>
      <c r="G150" s="33" t="e">
        <f>VLOOKUP(E150,ACTIVIDADES!A151:D163,2)</f>
        <v>#N/A</v>
      </c>
    </row>
    <row r="151" spans="1:7" x14ac:dyDescent="0.3">
      <c r="A151" s="28">
        <v>46128</v>
      </c>
      <c r="B151" s="1">
        <v>33</v>
      </c>
      <c r="C151" s="30" t="s">
        <v>7</v>
      </c>
      <c r="D151" s="1" t="s">
        <v>56</v>
      </c>
      <c r="E151" s="1" t="s">
        <v>45</v>
      </c>
      <c r="F151" s="1">
        <v>1</v>
      </c>
      <c r="G151" s="33" t="e">
        <f>VLOOKUP(E151,ACTIVIDADES!A152:D164,2)</f>
        <v>#N/A</v>
      </c>
    </row>
    <row r="152" spans="1:7" x14ac:dyDescent="0.3">
      <c r="A152" s="28">
        <v>46128</v>
      </c>
      <c r="B152" s="1">
        <v>34</v>
      </c>
      <c r="C152" s="30" t="s">
        <v>143</v>
      </c>
      <c r="D152" s="1"/>
      <c r="E152" s="1"/>
      <c r="F152" s="1"/>
      <c r="G152" s="33" t="e">
        <f>VLOOKUP(E152,ACTIVIDADES!A153:D165,2)</f>
        <v>#N/A</v>
      </c>
    </row>
    <row r="153" spans="1:7" x14ac:dyDescent="0.3">
      <c r="A153" s="28">
        <v>46128</v>
      </c>
      <c r="B153" s="1">
        <v>35</v>
      </c>
      <c r="C153" s="29" t="s">
        <v>40</v>
      </c>
      <c r="D153" s="1" t="s">
        <v>56</v>
      </c>
      <c r="E153" s="1" t="s">
        <v>45</v>
      </c>
      <c r="F153" s="1">
        <v>1</v>
      </c>
      <c r="G153" s="33" t="e">
        <f>VLOOKUP(E153,ACTIVIDADES!A154:D166,2)</f>
        <v>#N/A</v>
      </c>
    </row>
    <row r="154" spans="1:7" x14ac:dyDescent="0.3">
      <c r="A154" s="28">
        <v>46128</v>
      </c>
      <c r="B154" s="1">
        <v>36</v>
      </c>
      <c r="C154" s="29" t="s">
        <v>41</v>
      </c>
      <c r="D154" s="1"/>
      <c r="E154" s="1"/>
      <c r="F154" s="1"/>
      <c r="G154" s="33" t="e">
        <f>VLOOKUP(E154,ACTIVIDADES!A155:D167,2)</f>
        <v>#N/A</v>
      </c>
    </row>
    <row r="155" spans="1:7" x14ac:dyDescent="0.3">
      <c r="A155" s="28">
        <v>46128</v>
      </c>
      <c r="B155" s="1">
        <v>37</v>
      </c>
      <c r="C155" s="30" t="s">
        <v>42</v>
      </c>
      <c r="D155" s="1"/>
      <c r="E155" s="1"/>
      <c r="F155" s="1"/>
      <c r="G155" s="33" t="e">
        <f>VLOOKUP(E155,ACTIVIDADES!A156:D168,2)</f>
        <v>#N/A</v>
      </c>
    </row>
    <row r="156" spans="1:7" x14ac:dyDescent="0.3">
      <c r="A156" s="28">
        <v>46128</v>
      </c>
      <c r="B156" s="1">
        <v>38</v>
      </c>
      <c r="C156" s="30" t="s">
        <v>43</v>
      </c>
      <c r="D156" s="1" t="s">
        <v>57</v>
      </c>
      <c r="E156" s="1" t="s">
        <v>59</v>
      </c>
      <c r="F156" s="1">
        <v>1</v>
      </c>
      <c r="G156" s="33" t="e">
        <f>VLOOKUP(E156,ACTIVIDADES!A157:D169,2)</f>
        <v>#N/A</v>
      </c>
    </row>
    <row r="157" spans="1:7" x14ac:dyDescent="0.3">
      <c r="A157" s="28">
        <v>46128</v>
      </c>
      <c r="B157" s="1">
        <v>39</v>
      </c>
      <c r="C157" s="29" t="s">
        <v>44</v>
      </c>
      <c r="D157" s="1" t="s">
        <v>57</v>
      </c>
      <c r="E157" s="1" t="s">
        <v>59</v>
      </c>
      <c r="F157" s="1">
        <v>1</v>
      </c>
      <c r="G157" s="33" t="e">
        <f>VLOOKUP(E157,ACTIVIDADES!A158:D170,2)</f>
        <v>#N/A</v>
      </c>
    </row>
    <row r="158" spans="1:7" x14ac:dyDescent="0.3">
      <c r="A158" s="28">
        <v>46129</v>
      </c>
      <c r="B158" s="1">
        <v>1</v>
      </c>
      <c r="C158" s="29" t="s">
        <v>6</v>
      </c>
      <c r="D158" s="1" t="s">
        <v>49</v>
      </c>
      <c r="E158" s="1" t="s">
        <v>49</v>
      </c>
      <c r="F158" s="1">
        <v>1</v>
      </c>
      <c r="G158" s="33" t="e">
        <f>VLOOKUP(E158,ACTIVIDADES!A159:D171,2)</f>
        <v>#N/A</v>
      </c>
    </row>
    <row r="159" spans="1:7" x14ac:dyDescent="0.3">
      <c r="A159" s="28">
        <v>46129</v>
      </c>
      <c r="B159" s="1">
        <v>2</v>
      </c>
      <c r="C159" s="29" t="s">
        <v>10</v>
      </c>
      <c r="D159" s="1" t="s">
        <v>49</v>
      </c>
      <c r="E159" s="1" t="s">
        <v>49</v>
      </c>
      <c r="F159" s="1">
        <v>1</v>
      </c>
      <c r="G159" s="33" t="e">
        <f>VLOOKUP(E159,ACTIVIDADES!A160:D172,2)</f>
        <v>#N/A</v>
      </c>
    </row>
    <row r="160" spans="1:7" x14ac:dyDescent="0.3">
      <c r="A160" s="28">
        <v>46129</v>
      </c>
      <c r="B160" s="1">
        <v>3</v>
      </c>
      <c r="C160" s="29" t="s">
        <v>22</v>
      </c>
      <c r="D160" s="1" t="s">
        <v>48</v>
      </c>
      <c r="E160" s="1" t="s">
        <v>48</v>
      </c>
      <c r="F160" s="1">
        <v>1</v>
      </c>
      <c r="G160" s="33" t="e">
        <f>VLOOKUP(E160,ACTIVIDADES!A161:D173,2)</f>
        <v>#N/A</v>
      </c>
    </row>
    <row r="161" spans="1:7" x14ac:dyDescent="0.3">
      <c r="A161" s="28">
        <v>46129</v>
      </c>
      <c r="B161" s="1">
        <v>4</v>
      </c>
      <c r="C161" s="29" t="s">
        <v>36</v>
      </c>
      <c r="D161" s="1" t="s">
        <v>51</v>
      </c>
      <c r="E161" s="1" t="s">
        <v>50</v>
      </c>
      <c r="F161" s="1">
        <v>1</v>
      </c>
      <c r="G161" s="33" t="e">
        <f>VLOOKUP(E161,ACTIVIDADES!A162:D174,2)</f>
        <v>#N/A</v>
      </c>
    </row>
    <row r="162" spans="1:7" x14ac:dyDescent="0.3">
      <c r="A162" s="28">
        <v>46129</v>
      </c>
      <c r="B162" s="1">
        <v>5</v>
      </c>
      <c r="C162" s="29" t="s">
        <v>38</v>
      </c>
      <c r="D162" s="1" t="s">
        <v>50</v>
      </c>
      <c r="E162" s="1" t="s">
        <v>50</v>
      </c>
      <c r="F162" s="1">
        <v>1</v>
      </c>
      <c r="G162" s="33" t="e">
        <f>VLOOKUP(E162,ACTIVIDADES!A163:D175,2)</f>
        <v>#N/A</v>
      </c>
    </row>
    <row r="163" spans="1:7" x14ac:dyDescent="0.3">
      <c r="A163" s="28">
        <v>46129</v>
      </c>
      <c r="B163" s="1">
        <v>6</v>
      </c>
      <c r="C163" s="30" t="s">
        <v>11</v>
      </c>
      <c r="D163" s="1" t="s">
        <v>56</v>
      </c>
      <c r="E163" s="1" t="s">
        <v>45</v>
      </c>
      <c r="F163" s="1">
        <v>1</v>
      </c>
      <c r="G163" s="33" t="e">
        <f>VLOOKUP(E163,ACTIVIDADES!A164:D176,2)</f>
        <v>#N/A</v>
      </c>
    </row>
    <row r="164" spans="1:7" x14ac:dyDescent="0.3">
      <c r="A164" s="28">
        <v>46129</v>
      </c>
      <c r="B164" s="1">
        <v>7</v>
      </c>
      <c r="C164" s="29" t="s">
        <v>12</v>
      </c>
      <c r="D164" s="1" t="s">
        <v>57</v>
      </c>
      <c r="E164" s="1" t="s">
        <v>45</v>
      </c>
      <c r="F164" s="1">
        <v>1</v>
      </c>
      <c r="G164" s="33" t="e">
        <f>VLOOKUP(E164,ACTIVIDADES!A165:D177,2)</f>
        <v>#N/A</v>
      </c>
    </row>
    <row r="165" spans="1:7" x14ac:dyDescent="0.3">
      <c r="A165" s="28">
        <v>46129</v>
      </c>
      <c r="B165" s="1">
        <v>8</v>
      </c>
      <c r="C165" s="30" t="s">
        <v>13</v>
      </c>
      <c r="D165" s="1" t="s">
        <v>57</v>
      </c>
      <c r="E165" s="1" t="s">
        <v>45</v>
      </c>
      <c r="F165" s="1">
        <v>1</v>
      </c>
      <c r="G165" s="33" t="e">
        <f>VLOOKUP(E165,ACTIVIDADES!A166:D178,2)</f>
        <v>#N/A</v>
      </c>
    </row>
    <row r="166" spans="1:7" x14ac:dyDescent="0.3">
      <c r="A166" s="28">
        <v>46129</v>
      </c>
      <c r="B166" s="1">
        <v>9</v>
      </c>
      <c r="C166" s="29" t="s">
        <v>14</v>
      </c>
      <c r="D166" s="1" t="s">
        <v>52</v>
      </c>
      <c r="E166" s="1" t="s">
        <v>79</v>
      </c>
      <c r="F166" s="1">
        <v>0.5</v>
      </c>
      <c r="G166" s="33" t="e">
        <f>VLOOKUP(E166,ACTIVIDADES!A167:D179,2)</f>
        <v>#N/A</v>
      </c>
    </row>
    <row r="167" spans="1:7" x14ac:dyDescent="0.3">
      <c r="A167" s="28">
        <v>46129</v>
      </c>
      <c r="B167" s="1">
        <v>10</v>
      </c>
      <c r="C167" s="30" t="s">
        <v>15</v>
      </c>
      <c r="D167" s="1" t="s">
        <v>56</v>
      </c>
      <c r="E167" s="1" t="s">
        <v>45</v>
      </c>
      <c r="F167" s="1">
        <v>1</v>
      </c>
      <c r="G167" s="33" t="e">
        <f>VLOOKUP(E167,ACTIVIDADES!A168:D180,2)</f>
        <v>#N/A</v>
      </c>
    </row>
    <row r="168" spans="1:7" x14ac:dyDescent="0.3">
      <c r="A168" s="28">
        <v>46129</v>
      </c>
      <c r="B168" s="1">
        <v>11</v>
      </c>
      <c r="C168" s="29" t="s">
        <v>16</v>
      </c>
      <c r="D168" s="1"/>
      <c r="E168" s="1"/>
      <c r="F168" s="1"/>
      <c r="G168" s="33" t="e">
        <f>VLOOKUP(E168,ACTIVIDADES!A169:D181,2)</f>
        <v>#N/A</v>
      </c>
    </row>
    <row r="169" spans="1:7" x14ac:dyDescent="0.3">
      <c r="A169" s="28">
        <v>46129</v>
      </c>
      <c r="B169" s="1">
        <v>12</v>
      </c>
      <c r="C169" s="30" t="s">
        <v>17</v>
      </c>
      <c r="D169" s="1"/>
      <c r="E169" s="1"/>
      <c r="F169" s="1"/>
      <c r="G169" s="33" t="e">
        <f>VLOOKUP(E169,ACTIVIDADES!A170:D182,2)</f>
        <v>#N/A</v>
      </c>
    </row>
    <row r="170" spans="1:7" x14ac:dyDescent="0.3">
      <c r="A170" s="28">
        <v>46129</v>
      </c>
      <c r="B170" s="1">
        <v>13</v>
      </c>
      <c r="C170" s="29" t="s">
        <v>18</v>
      </c>
      <c r="D170" s="1"/>
      <c r="E170" s="1"/>
      <c r="F170" s="1"/>
      <c r="G170" s="33" t="e">
        <f>VLOOKUP(E170,ACTIVIDADES!A171:D183,2)</f>
        <v>#N/A</v>
      </c>
    </row>
    <row r="171" spans="1:7" x14ac:dyDescent="0.3">
      <c r="A171" s="28">
        <v>46129</v>
      </c>
      <c r="B171" s="1">
        <v>14</v>
      </c>
      <c r="C171" s="30" t="s">
        <v>19</v>
      </c>
      <c r="D171" s="1"/>
      <c r="E171" s="1"/>
      <c r="F171" s="1"/>
      <c r="G171" s="33" t="e">
        <f>VLOOKUP(E171,ACTIVIDADES!A172:D184,2)</f>
        <v>#N/A</v>
      </c>
    </row>
    <row r="172" spans="1:7" x14ac:dyDescent="0.3">
      <c r="A172" s="28">
        <v>46129</v>
      </c>
      <c r="B172" s="1">
        <v>15</v>
      </c>
      <c r="C172" s="29" t="s">
        <v>20</v>
      </c>
      <c r="D172" s="1" t="s">
        <v>53</v>
      </c>
      <c r="E172" s="1" t="s">
        <v>53</v>
      </c>
      <c r="F172" s="1">
        <v>1</v>
      </c>
      <c r="G172" s="33" t="e">
        <f>VLOOKUP(E172,ACTIVIDADES!A173:D185,2)</f>
        <v>#N/A</v>
      </c>
    </row>
    <row r="173" spans="1:7" x14ac:dyDescent="0.3">
      <c r="A173" s="28">
        <v>46129</v>
      </c>
      <c r="B173" s="1">
        <v>16</v>
      </c>
      <c r="C173" s="30" t="s">
        <v>21</v>
      </c>
      <c r="D173" s="1" t="s">
        <v>52</v>
      </c>
      <c r="E173" s="1" t="s">
        <v>79</v>
      </c>
      <c r="F173" s="1">
        <v>1</v>
      </c>
      <c r="G173" s="33" t="e">
        <f>VLOOKUP(E173,ACTIVIDADES!A174:D186,2)</f>
        <v>#N/A</v>
      </c>
    </row>
    <row r="174" spans="1:7" x14ac:dyDescent="0.3">
      <c r="A174" s="28">
        <v>46129</v>
      </c>
      <c r="B174" s="1">
        <v>17</v>
      </c>
      <c r="C174" s="29" t="s">
        <v>8</v>
      </c>
      <c r="D174" s="1" t="s">
        <v>46</v>
      </c>
      <c r="E174" s="1" t="s">
        <v>45</v>
      </c>
      <c r="F174" s="1">
        <v>1</v>
      </c>
      <c r="G174" s="33" t="e">
        <f>VLOOKUP(E174,ACTIVIDADES!A175:D187,2)</f>
        <v>#N/A</v>
      </c>
    </row>
    <row r="175" spans="1:7" x14ac:dyDescent="0.3">
      <c r="A175" s="28">
        <v>46129</v>
      </c>
      <c r="B175" s="1">
        <v>18</v>
      </c>
      <c r="C175" s="30" t="s">
        <v>23</v>
      </c>
      <c r="D175" s="1" t="s">
        <v>46</v>
      </c>
      <c r="E175" s="1" t="s">
        <v>45</v>
      </c>
      <c r="F175" s="1">
        <v>1</v>
      </c>
      <c r="G175" s="33" t="e">
        <f>VLOOKUP(E175,ACTIVIDADES!A176:D188,2)</f>
        <v>#N/A</v>
      </c>
    </row>
    <row r="176" spans="1:7" x14ac:dyDescent="0.3">
      <c r="A176" s="28">
        <v>46129</v>
      </c>
      <c r="B176" s="1">
        <v>19</v>
      </c>
      <c r="C176" s="29" t="s">
        <v>92</v>
      </c>
      <c r="D176" s="1"/>
      <c r="E176" s="1"/>
      <c r="F176" s="1"/>
      <c r="G176" s="33" t="e">
        <f>VLOOKUP(E176,ACTIVIDADES!A177:D189,2)</f>
        <v>#N/A</v>
      </c>
    </row>
    <row r="177" spans="1:7" x14ac:dyDescent="0.3">
      <c r="A177" s="28">
        <v>46129</v>
      </c>
      <c r="B177" s="1">
        <v>20</v>
      </c>
      <c r="C177" s="30" t="s">
        <v>25</v>
      </c>
      <c r="D177" s="1" t="s">
        <v>46</v>
      </c>
      <c r="E177" s="1" t="s">
        <v>45</v>
      </c>
      <c r="F177" s="1">
        <v>1</v>
      </c>
      <c r="G177" s="33" t="e">
        <f>VLOOKUP(E177,ACTIVIDADES!A178:D190,2)</f>
        <v>#N/A</v>
      </c>
    </row>
    <row r="178" spans="1:7" x14ac:dyDescent="0.3">
      <c r="A178" s="28">
        <v>46129</v>
      </c>
      <c r="B178" s="1">
        <v>21</v>
      </c>
      <c r="C178" s="29" t="s">
        <v>26</v>
      </c>
      <c r="D178" s="1" t="s">
        <v>56</v>
      </c>
      <c r="E178" s="1" t="s">
        <v>45</v>
      </c>
      <c r="F178" s="1">
        <v>1</v>
      </c>
      <c r="G178" s="33" t="e">
        <f>VLOOKUP(E178,ACTIVIDADES!A179:D191,2)</f>
        <v>#N/A</v>
      </c>
    </row>
    <row r="179" spans="1:7" x14ac:dyDescent="0.3">
      <c r="A179" s="28">
        <v>46129</v>
      </c>
      <c r="B179" s="1">
        <v>22</v>
      </c>
      <c r="C179" s="30" t="s">
        <v>27</v>
      </c>
      <c r="D179" s="1" t="s">
        <v>56</v>
      </c>
      <c r="E179" s="1" t="s">
        <v>45</v>
      </c>
      <c r="F179" s="1">
        <v>1</v>
      </c>
      <c r="G179" s="33" t="e">
        <f>VLOOKUP(E179,ACTIVIDADES!A180:D192,2)</f>
        <v>#N/A</v>
      </c>
    </row>
    <row r="180" spans="1:7" x14ac:dyDescent="0.3">
      <c r="A180" s="28">
        <v>46129</v>
      </c>
      <c r="B180" s="1">
        <v>23</v>
      </c>
      <c r="C180" s="29" t="s">
        <v>28</v>
      </c>
      <c r="D180" s="1" t="s">
        <v>56</v>
      </c>
      <c r="E180" s="1" t="s">
        <v>45</v>
      </c>
      <c r="F180" s="1">
        <v>1</v>
      </c>
      <c r="G180" s="33" t="e">
        <f>VLOOKUP(E180,ACTIVIDADES!A181:D193,2)</f>
        <v>#N/A</v>
      </c>
    </row>
    <row r="181" spans="1:7" x14ac:dyDescent="0.3">
      <c r="A181" s="28">
        <v>46129</v>
      </c>
      <c r="B181" s="1">
        <v>24</v>
      </c>
      <c r="C181" s="30" t="s">
        <v>29</v>
      </c>
      <c r="D181" s="1" t="s">
        <v>57</v>
      </c>
      <c r="E181" s="1" t="s">
        <v>59</v>
      </c>
      <c r="F181" s="1">
        <v>1</v>
      </c>
      <c r="G181" s="33" t="e">
        <f>VLOOKUP(E181,ACTIVIDADES!A182:D194,2)</f>
        <v>#N/A</v>
      </c>
    </row>
    <row r="182" spans="1:7" x14ac:dyDescent="0.3">
      <c r="A182" s="28">
        <v>46129</v>
      </c>
      <c r="B182" s="1">
        <v>25</v>
      </c>
      <c r="C182" s="29" t="s">
        <v>30</v>
      </c>
      <c r="D182" s="1"/>
      <c r="E182" s="1"/>
      <c r="F182" s="1"/>
      <c r="G182" s="33" t="e">
        <f>VLOOKUP(E182,ACTIVIDADES!A183:D195,2)</f>
        <v>#N/A</v>
      </c>
    </row>
    <row r="183" spans="1:7" x14ac:dyDescent="0.3">
      <c r="A183" s="28">
        <v>46129</v>
      </c>
      <c r="B183" s="1">
        <v>26</v>
      </c>
      <c r="C183" s="30" t="s">
        <v>31</v>
      </c>
      <c r="D183" s="1" t="s">
        <v>57</v>
      </c>
      <c r="E183" s="1" t="s">
        <v>59</v>
      </c>
      <c r="F183" s="1">
        <v>1</v>
      </c>
      <c r="G183" s="33" t="e">
        <f>VLOOKUP(E183,ACTIVIDADES!A184:D196,2)</f>
        <v>#N/A</v>
      </c>
    </row>
    <row r="184" spans="1:7" x14ac:dyDescent="0.3">
      <c r="A184" s="28">
        <v>46129</v>
      </c>
      <c r="B184" s="1">
        <v>27</v>
      </c>
      <c r="C184" s="29" t="s">
        <v>32</v>
      </c>
      <c r="D184" s="1"/>
      <c r="E184" s="1"/>
      <c r="F184" s="1"/>
      <c r="G184" s="33" t="e">
        <f>VLOOKUP(E184,ACTIVIDADES!A185:D197,2)</f>
        <v>#N/A</v>
      </c>
    </row>
    <row r="185" spans="1:7" x14ac:dyDescent="0.3">
      <c r="A185" s="28">
        <v>46129</v>
      </c>
      <c r="B185" s="1">
        <v>28</v>
      </c>
      <c r="C185" s="30" t="s">
        <v>33</v>
      </c>
      <c r="D185" s="1" t="s">
        <v>57</v>
      </c>
      <c r="E185" s="1" t="s">
        <v>59</v>
      </c>
      <c r="F185" s="1">
        <v>1</v>
      </c>
      <c r="G185" s="33" t="e">
        <f>VLOOKUP(E185,ACTIVIDADES!A186:D198,2)</f>
        <v>#N/A</v>
      </c>
    </row>
    <row r="186" spans="1:7" x14ac:dyDescent="0.3">
      <c r="A186" s="28">
        <v>46129</v>
      </c>
      <c r="B186" s="1">
        <v>29</v>
      </c>
      <c r="C186" s="29" t="s">
        <v>34</v>
      </c>
      <c r="D186" s="1" t="s">
        <v>56</v>
      </c>
      <c r="E186" s="1" t="s">
        <v>45</v>
      </c>
      <c r="F186" s="1">
        <v>1</v>
      </c>
      <c r="G186" s="33" t="e">
        <f>VLOOKUP(E186,ACTIVIDADES!A187:D199,2)</f>
        <v>#N/A</v>
      </c>
    </row>
    <row r="187" spans="1:7" x14ac:dyDescent="0.3">
      <c r="A187" s="28">
        <v>46129</v>
      </c>
      <c r="B187" s="1">
        <v>30</v>
      </c>
      <c r="C187" s="30" t="s">
        <v>35</v>
      </c>
      <c r="D187" s="1" t="s">
        <v>57</v>
      </c>
      <c r="E187" s="1" t="s">
        <v>59</v>
      </c>
      <c r="F187" s="1">
        <v>1</v>
      </c>
      <c r="G187" s="33" t="e">
        <f>VLOOKUP(E187,ACTIVIDADES!A188:D200,2)</f>
        <v>#N/A</v>
      </c>
    </row>
    <row r="188" spans="1:7" x14ac:dyDescent="0.3">
      <c r="A188" s="28">
        <v>46129</v>
      </c>
      <c r="B188" s="1">
        <v>31</v>
      </c>
      <c r="C188" s="30" t="s">
        <v>9</v>
      </c>
      <c r="D188" s="1" t="s">
        <v>56</v>
      </c>
      <c r="E188" s="1" t="s">
        <v>45</v>
      </c>
      <c r="F188" s="1">
        <v>1</v>
      </c>
      <c r="G188" s="33" t="e">
        <f>VLOOKUP(E188,ACTIVIDADES!A189:D201,2)</f>
        <v>#N/A</v>
      </c>
    </row>
    <row r="189" spans="1:7" x14ac:dyDescent="0.3">
      <c r="A189" s="28">
        <v>46129</v>
      </c>
      <c r="B189" s="1">
        <v>32</v>
      </c>
      <c r="C189" s="30" t="s">
        <v>37</v>
      </c>
      <c r="D189" s="1" t="s">
        <v>57</v>
      </c>
      <c r="E189" s="1" t="s">
        <v>59</v>
      </c>
      <c r="F189" s="1">
        <v>1</v>
      </c>
      <c r="G189" s="33" t="e">
        <f>VLOOKUP(E189,ACTIVIDADES!A190:D202,2)</f>
        <v>#N/A</v>
      </c>
    </row>
    <row r="190" spans="1:7" x14ac:dyDescent="0.3">
      <c r="A190" s="28">
        <v>46129</v>
      </c>
      <c r="B190" s="1">
        <v>33</v>
      </c>
      <c r="C190" s="30" t="s">
        <v>7</v>
      </c>
      <c r="D190" s="1" t="s">
        <v>57</v>
      </c>
      <c r="E190" s="1" t="s">
        <v>59</v>
      </c>
      <c r="F190" s="1">
        <v>1</v>
      </c>
      <c r="G190" s="33" t="e">
        <f>VLOOKUP(E190,ACTIVIDADES!A191:D203,2)</f>
        <v>#N/A</v>
      </c>
    </row>
    <row r="191" spans="1:7" x14ac:dyDescent="0.3">
      <c r="A191" s="28">
        <v>46129</v>
      </c>
      <c r="B191" s="1">
        <v>34</v>
      </c>
      <c r="C191" s="30" t="s">
        <v>143</v>
      </c>
      <c r="D191" s="1"/>
      <c r="E191" s="1"/>
      <c r="F191" s="1"/>
      <c r="G191" s="33" t="e">
        <f>VLOOKUP(E191,ACTIVIDADES!A192:D204,2)</f>
        <v>#N/A</v>
      </c>
    </row>
    <row r="192" spans="1:7" x14ac:dyDescent="0.3">
      <c r="A192" s="28">
        <v>46129</v>
      </c>
      <c r="B192" s="1">
        <v>35</v>
      </c>
      <c r="C192" s="29" t="s">
        <v>40</v>
      </c>
      <c r="D192" s="1" t="s">
        <v>57</v>
      </c>
      <c r="E192" s="1" t="s">
        <v>59</v>
      </c>
      <c r="F192" s="1">
        <v>1</v>
      </c>
      <c r="G192" s="33" t="e">
        <f>VLOOKUP(E192,ACTIVIDADES!A193:D205,2)</f>
        <v>#N/A</v>
      </c>
    </row>
    <row r="193" spans="1:7" x14ac:dyDescent="0.3">
      <c r="A193" s="28">
        <v>46129</v>
      </c>
      <c r="B193" s="1">
        <v>36</v>
      </c>
      <c r="C193" s="29" t="s">
        <v>41</v>
      </c>
      <c r="D193" s="1"/>
      <c r="E193" s="1"/>
      <c r="F193" s="1"/>
      <c r="G193" s="33" t="e">
        <f>VLOOKUP(E193,ACTIVIDADES!A194:D206,2)</f>
        <v>#N/A</v>
      </c>
    </row>
    <row r="194" spans="1:7" x14ac:dyDescent="0.3">
      <c r="A194" s="28">
        <v>46129</v>
      </c>
      <c r="B194" s="1">
        <v>37</v>
      </c>
      <c r="C194" s="30" t="s">
        <v>42</v>
      </c>
      <c r="D194" s="1" t="s">
        <v>56</v>
      </c>
      <c r="E194" s="1" t="s">
        <v>45</v>
      </c>
      <c r="F194" s="1">
        <v>1</v>
      </c>
      <c r="G194" s="33" t="e">
        <f>VLOOKUP(E194,ACTIVIDADES!A195:D207,2)</f>
        <v>#N/A</v>
      </c>
    </row>
    <row r="195" spans="1:7" x14ac:dyDescent="0.3">
      <c r="A195" s="28">
        <v>46129</v>
      </c>
      <c r="B195" s="1">
        <v>38</v>
      </c>
      <c r="C195" s="30" t="s">
        <v>43</v>
      </c>
      <c r="D195" s="1"/>
      <c r="E195" s="1"/>
      <c r="F195" s="1"/>
      <c r="G195" s="33" t="e">
        <f>VLOOKUP(E195,ACTIVIDADES!A196:D208,2)</f>
        <v>#N/A</v>
      </c>
    </row>
    <row r="196" spans="1:7" x14ac:dyDescent="0.3">
      <c r="A196" s="28">
        <v>46129</v>
      </c>
      <c r="B196" s="1">
        <v>39</v>
      </c>
      <c r="C196" s="29" t="s">
        <v>44</v>
      </c>
      <c r="D196" s="1" t="s">
        <v>57</v>
      </c>
      <c r="E196" s="1" t="s">
        <v>59</v>
      </c>
      <c r="F196" s="1">
        <v>1</v>
      </c>
      <c r="G196" s="33" t="e">
        <f>VLOOKUP(E196,ACTIVIDADES!A197:D209,2)</f>
        <v>#N/A</v>
      </c>
    </row>
    <row r="197" spans="1:7" x14ac:dyDescent="0.3">
      <c r="A197" s="28">
        <v>46130</v>
      </c>
      <c r="B197" s="1">
        <v>1</v>
      </c>
      <c r="C197" s="29" t="s">
        <v>6</v>
      </c>
      <c r="D197" s="1" t="s">
        <v>49</v>
      </c>
      <c r="E197" s="1" t="s">
        <v>49</v>
      </c>
      <c r="F197" s="1">
        <v>1</v>
      </c>
      <c r="G197" s="33" t="e">
        <f>VLOOKUP(E197,ACTIVIDADES!A198:D210,2)</f>
        <v>#N/A</v>
      </c>
    </row>
    <row r="198" spans="1:7" x14ac:dyDescent="0.3">
      <c r="A198" s="28">
        <v>46130</v>
      </c>
      <c r="B198" s="1">
        <v>2</v>
      </c>
      <c r="C198" s="29" t="s">
        <v>10</v>
      </c>
      <c r="D198" s="1" t="s">
        <v>49</v>
      </c>
      <c r="E198" s="1" t="s">
        <v>49</v>
      </c>
      <c r="F198" s="1">
        <v>1</v>
      </c>
      <c r="G198" s="33" t="e">
        <f>VLOOKUP(E198,ACTIVIDADES!A199:D211,2)</f>
        <v>#N/A</v>
      </c>
    </row>
    <row r="199" spans="1:7" x14ac:dyDescent="0.3">
      <c r="A199" s="28">
        <v>46130</v>
      </c>
      <c r="B199" s="1">
        <v>3</v>
      </c>
      <c r="C199" s="29" t="s">
        <v>22</v>
      </c>
      <c r="D199" s="1" t="s">
        <v>48</v>
      </c>
      <c r="E199" s="1" t="s">
        <v>48</v>
      </c>
      <c r="F199" s="1">
        <v>1</v>
      </c>
      <c r="G199" s="33" t="e">
        <f>VLOOKUP(E199,ACTIVIDADES!A200:D212,2)</f>
        <v>#N/A</v>
      </c>
    </row>
    <row r="200" spans="1:7" x14ac:dyDescent="0.3">
      <c r="A200" s="28">
        <v>46130</v>
      </c>
      <c r="B200" s="1">
        <v>4</v>
      </c>
      <c r="C200" s="29" t="s">
        <v>36</v>
      </c>
      <c r="D200" s="1" t="s">
        <v>51</v>
      </c>
      <c r="E200" s="1" t="s">
        <v>50</v>
      </c>
      <c r="F200" s="1">
        <v>1</v>
      </c>
      <c r="G200" s="33" t="e">
        <f>VLOOKUP(E200,ACTIVIDADES!A201:D213,2)</f>
        <v>#N/A</v>
      </c>
    </row>
    <row r="201" spans="1:7" x14ac:dyDescent="0.3">
      <c r="A201" s="28">
        <v>46130</v>
      </c>
      <c r="B201" s="1">
        <v>5</v>
      </c>
      <c r="C201" s="29" t="s">
        <v>38</v>
      </c>
      <c r="D201" s="1" t="s">
        <v>50</v>
      </c>
      <c r="E201" s="1" t="s">
        <v>50</v>
      </c>
      <c r="F201" s="1">
        <v>1</v>
      </c>
      <c r="G201" s="33" t="e">
        <f>VLOOKUP(E201,ACTIVIDADES!A202:D214,2)</f>
        <v>#N/A</v>
      </c>
    </row>
    <row r="202" spans="1:7" x14ac:dyDescent="0.3">
      <c r="A202" s="28">
        <v>46130</v>
      </c>
      <c r="B202" s="1">
        <v>6</v>
      </c>
      <c r="C202" s="30" t="s">
        <v>11</v>
      </c>
      <c r="D202" s="1" t="s">
        <v>46</v>
      </c>
      <c r="E202" s="1" t="s">
        <v>59</v>
      </c>
      <c r="F202" s="1">
        <v>1</v>
      </c>
      <c r="G202" s="33" t="e">
        <f>VLOOKUP(E202,ACTIVIDADES!A203:D215,2)</f>
        <v>#N/A</v>
      </c>
    </row>
    <row r="203" spans="1:7" x14ac:dyDescent="0.3">
      <c r="A203" s="28">
        <v>46130</v>
      </c>
      <c r="B203" s="1">
        <v>7</v>
      </c>
      <c r="C203" s="29" t="s">
        <v>12</v>
      </c>
      <c r="D203" s="1" t="s">
        <v>46</v>
      </c>
      <c r="E203" s="1" t="s">
        <v>59</v>
      </c>
      <c r="F203" s="1">
        <v>1</v>
      </c>
      <c r="G203" s="33" t="e">
        <f>VLOOKUP(E203,ACTIVIDADES!A204:D216,2)</f>
        <v>#N/A</v>
      </c>
    </row>
    <row r="204" spans="1:7" x14ac:dyDescent="0.3">
      <c r="A204" s="28">
        <v>46130</v>
      </c>
      <c r="B204" s="1">
        <v>8</v>
      </c>
      <c r="C204" s="30" t="s">
        <v>13</v>
      </c>
      <c r="D204" s="1" t="s">
        <v>46</v>
      </c>
      <c r="E204" s="1" t="s">
        <v>59</v>
      </c>
      <c r="F204" s="1">
        <v>1</v>
      </c>
      <c r="G204" s="33" t="e">
        <f>VLOOKUP(E204,ACTIVIDADES!A205:D217,2)</f>
        <v>#N/A</v>
      </c>
    </row>
    <row r="205" spans="1:7" x14ac:dyDescent="0.3">
      <c r="A205" s="28">
        <v>46130</v>
      </c>
      <c r="B205" s="1">
        <v>9</v>
      </c>
      <c r="C205" s="29" t="s">
        <v>14</v>
      </c>
      <c r="D205" s="1" t="s">
        <v>67</v>
      </c>
      <c r="E205" s="1" t="s">
        <v>79</v>
      </c>
      <c r="F205" s="1">
        <v>1.5</v>
      </c>
      <c r="G205" s="33" t="e">
        <f>VLOOKUP(E205,ACTIVIDADES!A206:D218,2)</f>
        <v>#N/A</v>
      </c>
    </row>
    <row r="206" spans="1:7" x14ac:dyDescent="0.3">
      <c r="A206" s="28">
        <v>46130</v>
      </c>
      <c r="B206" s="1">
        <v>10</v>
      </c>
      <c r="C206" s="30" t="s">
        <v>15</v>
      </c>
      <c r="D206" s="1" t="s">
        <v>46</v>
      </c>
      <c r="E206" s="1" t="s">
        <v>59</v>
      </c>
      <c r="F206" s="1">
        <v>1</v>
      </c>
      <c r="G206" s="33" t="e">
        <f>VLOOKUP(E206,ACTIVIDADES!A207:D219,2)</f>
        <v>#N/A</v>
      </c>
    </row>
    <row r="207" spans="1:7" x14ac:dyDescent="0.3">
      <c r="A207" s="28">
        <v>46130</v>
      </c>
      <c r="B207" s="1">
        <v>11</v>
      </c>
      <c r="C207" s="29" t="s">
        <v>16</v>
      </c>
      <c r="D207" s="1"/>
      <c r="E207" s="1"/>
      <c r="F207" s="1"/>
      <c r="G207" s="33" t="e">
        <f>VLOOKUP(E207,ACTIVIDADES!A208:D220,2)</f>
        <v>#N/A</v>
      </c>
    </row>
    <row r="208" spans="1:7" x14ac:dyDescent="0.3">
      <c r="A208" s="28">
        <v>46130</v>
      </c>
      <c r="B208" s="1">
        <v>12</v>
      </c>
      <c r="C208" s="30" t="s">
        <v>17</v>
      </c>
      <c r="D208" s="1"/>
      <c r="E208" s="1"/>
      <c r="F208" s="1"/>
      <c r="G208" s="33" t="e">
        <f>VLOOKUP(E208,ACTIVIDADES!A209:D221,2)</f>
        <v>#N/A</v>
      </c>
    </row>
    <row r="209" spans="1:7" x14ac:dyDescent="0.3">
      <c r="A209" s="28">
        <v>46130</v>
      </c>
      <c r="B209" s="1">
        <v>13</v>
      </c>
      <c r="C209" s="29" t="s">
        <v>18</v>
      </c>
      <c r="D209" s="1"/>
      <c r="E209" s="1"/>
      <c r="F209" s="1"/>
      <c r="G209" s="33" t="e">
        <f>VLOOKUP(E209,ACTIVIDADES!A210:D222,2)</f>
        <v>#N/A</v>
      </c>
    </row>
    <row r="210" spans="1:7" x14ac:dyDescent="0.3">
      <c r="A210" s="28">
        <v>46130</v>
      </c>
      <c r="B210" s="1">
        <v>14</v>
      </c>
      <c r="C210" s="30" t="s">
        <v>19</v>
      </c>
      <c r="D210" s="1"/>
      <c r="E210" s="1"/>
      <c r="F210" s="1"/>
      <c r="G210" s="33" t="e">
        <f>VLOOKUP(E210,ACTIVIDADES!A211:D223,2)</f>
        <v>#N/A</v>
      </c>
    </row>
    <row r="211" spans="1:7" x14ac:dyDescent="0.3">
      <c r="A211" s="28">
        <v>46130</v>
      </c>
      <c r="B211" s="1">
        <v>15</v>
      </c>
      <c r="C211" s="29" t="s">
        <v>20</v>
      </c>
      <c r="D211" s="1" t="s">
        <v>53</v>
      </c>
      <c r="E211" s="1" t="s">
        <v>53</v>
      </c>
      <c r="F211" s="1">
        <v>1</v>
      </c>
      <c r="G211" s="33" t="e">
        <f>VLOOKUP(E211,ACTIVIDADES!A212:D224,2)</f>
        <v>#N/A</v>
      </c>
    </row>
    <row r="212" spans="1:7" x14ac:dyDescent="0.3">
      <c r="A212" s="28">
        <v>46130</v>
      </c>
      <c r="B212" s="1">
        <v>16</v>
      </c>
      <c r="C212" s="30" t="s">
        <v>21</v>
      </c>
      <c r="D212" s="1" t="s">
        <v>67</v>
      </c>
      <c r="E212" s="1" t="s">
        <v>79</v>
      </c>
      <c r="F212" s="1">
        <v>1.5</v>
      </c>
      <c r="G212" s="33" t="e">
        <f>VLOOKUP(E212,ACTIVIDADES!A213:D225,2)</f>
        <v>#N/A</v>
      </c>
    </row>
    <row r="213" spans="1:7" x14ac:dyDescent="0.3">
      <c r="A213" s="28">
        <v>46130</v>
      </c>
      <c r="B213" s="1">
        <v>17</v>
      </c>
      <c r="C213" s="29" t="s">
        <v>8</v>
      </c>
      <c r="D213" s="1"/>
      <c r="E213" s="1"/>
      <c r="F213" s="1"/>
      <c r="G213" s="33" t="e">
        <f>VLOOKUP(E213,ACTIVIDADES!A214:D226,2)</f>
        <v>#N/A</v>
      </c>
    </row>
    <row r="214" spans="1:7" x14ac:dyDescent="0.3">
      <c r="A214" s="28">
        <v>46130</v>
      </c>
      <c r="B214" s="1">
        <v>18</v>
      </c>
      <c r="C214" s="30" t="s">
        <v>23</v>
      </c>
      <c r="D214" s="1" t="s">
        <v>46</v>
      </c>
      <c r="E214" s="1" t="s">
        <v>59</v>
      </c>
      <c r="F214" s="1">
        <v>1</v>
      </c>
      <c r="G214" s="33" t="e">
        <f>VLOOKUP(E214,ACTIVIDADES!A215:D227,2)</f>
        <v>#N/A</v>
      </c>
    </row>
    <row r="215" spans="1:7" x14ac:dyDescent="0.3">
      <c r="A215" s="28">
        <v>46130</v>
      </c>
      <c r="B215" s="1">
        <v>19</v>
      </c>
      <c r="C215" s="29" t="s">
        <v>24</v>
      </c>
      <c r="D215" s="1" t="s">
        <v>46</v>
      </c>
      <c r="E215" s="1" t="s">
        <v>59</v>
      </c>
      <c r="F215" s="1">
        <v>1</v>
      </c>
      <c r="G215" s="33" t="e">
        <f>VLOOKUP(E215,ACTIVIDADES!A216:D228,2)</f>
        <v>#N/A</v>
      </c>
    </row>
    <row r="216" spans="1:7" x14ac:dyDescent="0.3">
      <c r="A216" s="28">
        <v>46130</v>
      </c>
      <c r="B216" s="1">
        <v>20</v>
      </c>
      <c r="C216" s="30" t="s">
        <v>25</v>
      </c>
      <c r="D216" s="1" t="s">
        <v>46</v>
      </c>
      <c r="E216" s="1" t="s">
        <v>59</v>
      </c>
      <c r="F216" s="1">
        <v>1</v>
      </c>
      <c r="G216" s="33" t="e">
        <f>VLOOKUP(E216,ACTIVIDADES!A217:D229,2)</f>
        <v>#N/A</v>
      </c>
    </row>
    <row r="217" spans="1:7" x14ac:dyDescent="0.3">
      <c r="A217" s="28">
        <v>46130</v>
      </c>
      <c r="B217" s="1">
        <v>21</v>
      </c>
      <c r="C217" s="29" t="s">
        <v>26</v>
      </c>
      <c r="D217" s="1" t="s">
        <v>46</v>
      </c>
      <c r="E217" s="1" t="s">
        <v>59</v>
      </c>
      <c r="F217" s="1">
        <v>1</v>
      </c>
      <c r="G217" s="33" t="e">
        <f>VLOOKUP(E217,ACTIVIDADES!A218:D230,2)</f>
        <v>#N/A</v>
      </c>
    </row>
    <row r="218" spans="1:7" x14ac:dyDescent="0.3">
      <c r="A218" s="28">
        <v>46130</v>
      </c>
      <c r="B218" s="1">
        <v>22</v>
      </c>
      <c r="C218" s="30" t="s">
        <v>27</v>
      </c>
      <c r="D218" s="1" t="s">
        <v>46</v>
      </c>
      <c r="E218" s="1" t="s">
        <v>59</v>
      </c>
      <c r="F218" s="1">
        <v>1</v>
      </c>
      <c r="G218" s="33" t="e">
        <f>VLOOKUP(E218,ACTIVIDADES!A219:D231,2)</f>
        <v>#N/A</v>
      </c>
    </row>
    <row r="219" spans="1:7" x14ac:dyDescent="0.3">
      <c r="A219" s="28">
        <v>46130</v>
      </c>
      <c r="B219" s="1">
        <v>23</v>
      </c>
      <c r="C219" s="29" t="s">
        <v>28</v>
      </c>
      <c r="D219" s="1" t="s">
        <v>46</v>
      </c>
      <c r="E219" s="1" t="s">
        <v>59</v>
      </c>
      <c r="F219" s="1">
        <v>1</v>
      </c>
      <c r="G219" s="33" t="e">
        <f>VLOOKUP(E219,ACTIVIDADES!A220:D232,2)</f>
        <v>#N/A</v>
      </c>
    </row>
    <row r="220" spans="1:7" x14ac:dyDescent="0.3">
      <c r="A220" s="28">
        <v>46130</v>
      </c>
      <c r="B220" s="1">
        <v>24</v>
      </c>
      <c r="C220" s="30" t="s">
        <v>29</v>
      </c>
      <c r="D220" s="1" t="s">
        <v>46</v>
      </c>
      <c r="E220" s="1" t="s">
        <v>59</v>
      </c>
      <c r="F220" s="1">
        <v>1</v>
      </c>
      <c r="G220" s="33" t="e">
        <f>VLOOKUP(E220,ACTIVIDADES!A221:D233,2)</f>
        <v>#N/A</v>
      </c>
    </row>
    <row r="221" spans="1:7" x14ac:dyDescent="0.3">
      <c r="A221" s="28">
        <v>46130</v>
      </c>
      <c r="B221" s="1">
        <v>25</v>
      </c>
      <c r="C221" s="29" t="s">
        <v>30</v>
      </c>
      <c r="D221" s="1" t="s">
        <v>46</v>
      </c>
      <c r="E221" s="1" t="s">
        <v>59</v>
      </c>
      <c r="F221" s="1">
        <v>1</v>
      </c>
      <c r="G221" s="33" t="e">
        <f>VLOOKUP(E221,ACTIVIDADES!A222:D234,2)</f>
        <v>#N/A</v>
      </c>
    </row>
    <row r="222" spans="1:7" x14ac:dyDescent="0.3">
      <c r="A222" s="28">
        <v>46130</v>
      </c>
      <c r="B222" s="1">
        <v>26</v>
      </c>
      <c r="C222" s="30" t="s">
        <v>31</v>
      </c>
      <c r="D222" s="1" t="s">
        <v>46</v>
      </c>
      <c r="E222" s="1" t="s">
        <v>59</v>
      </c>
      <c r="F222" s="1">
        <v>1</v>
      </c>
      <c r="G222" s="33" t="e">
        <f>VLOOKUP(E222,ACTIVIDADES!A223:D235,2)</f>
        <v>#N/A</v>
      </c>
    </row>
    <row r="223" spans="1:7" x14ac:dyDescent="0.3">
      <c r="A223" s="28">
        <v>46130</v>
      </c>
      <c r="B223" s="1">
        <v>27</v>
      </c>
      <c r="C223" s="29" t="s">
        <v>32</v>
      </c>
      <c r="D223" s="1"/>
      <c r="E223" s="1"/>
      <c r="F223" s="1"/>
      <c r="G223" s="33" t="e">
        <f>VLOOKUP(E223,ACTIVIDADES!A224:D236,2)</f>
        <v>#N/A</v>
      </c>
    </row>
    <row r="224" spans="1:7" x14ac:dyDescent="0.3">
      <c r="A224" s="28">
        <v>46130</v>
      </c>
      <c r="B224" s="1">
        <v>28</v>
      </c>
      <c r="C224" s="30" t="s">
        <v>33</v>
      </c>
      <c r="D224" s="1" t="s">
        <v>46</v>
      </c>
      <c r="E224" s="1" t="s">
        <v>59</v>
      </c>
      <c r="F224" s="1">
        <v>1</v>
      </c>
      <c r="G224" s="33" t="e">
        <f>VLOOKUP(E224,ACTIVIDADES!A225:D237,2)</f>
        <v>#N/A</v>
      </c>
    </row>
    <row r="225" spans="1:7" x14ac:dyDescent="0.3">
      <c r="A225" s="28">
        <v>46130</v>
      </c>
      <c r="B225" s="1">
        <v>29</v>
      </c>
      <c r="C225" s="29" t="s">
        <v>34</v>
      </c>
      <c r="D225" s="1" t="s">
        <v>46</v>
      </c>
      <c r="E225" s="1" t="s">
        <v>59</v>
      </c>
      <c r="F225" s="1">
        <v>1</v>
      </c>
      <c r="G225" s="33" t="e">
        <f>VLOOKUP(E225,ACTIVIDADES!A226:D238,2)</f>
        <v>#N/A</v>
      </c>
    </row>
    <row r="226" spans="1:7" x14ac:dyDescent="0.3">
      <c r="A226" s="28">
        <v>46130</v>
      </c>
      <c r="B226" s="1">
        <v>30</v>
      </c>
      <c r="C226" s="30" t="s">
        <v>35</v>
      </c>
      <c r="D226" s="1" t="s">
        <v>46</v>
      </c>
      <c r="E226" s="1" t="s">
        <v>59</v>
      </c>
      <c r="F226" s="1">
        <v>1</v>
      </c>
      <c r="G226" s="33" t="e">
        <f>VLOOKUP(E226,ACTIVIDADES!A227:D239,2)</f>
        <v>#N/A</v>
      </c>
    </row>
    <row r="227" spans="1:7" x14ac:dyDescent="0.3">
      <c r="A227" s="28">
        <v>46130</v>
      </c>
      <c r="B227" s="1">
        <v>31</v>
      </c>
      <c r="C227" s="30" t="s">
        <v>9</v>
      </c>
      <c r="D227" s="1" t="s">
        <v>46</v>
      </c>
      <c r="E227" s="1" t="s">
        <v>59</v>
      </c>
      <c r="F227" s="1">
        <v>1</v>
      </c>
      <c r="G227" s="33" t="e">
        <f>VLOOKUP(E227,ACTIVIDADES!A228:D240,2)</f>
        <v>#N/A</v>
      </c>
    </row>
    <row r="228" spans="1:7" x14ac:dyDescent="0.3">
      <c r="A228" s="28">
        <v>46130</v>
      </c>
      <c r="B228" s="1">
        <v>32</v>
      </c>
      <c r="C228" s="30" t="s">
        <v>37</v>
      </c>
      <c r="D228" s="1" t="s">
        <v>46</v>
      </c>
      <c r="E228" s="1" t="s">
        <v>59</v>
      </c>
      <c r="F228" s="1">
        <v>1</v>
      </c>
      <c r="G228" s="33" t="e">
        <f>VLOOKUP(E228,ACTIVIDADES!A229:D241,2)</f>
        <v>#N/A</v>
      </c>
    </row>
    <row r="229" spans="1:7" x14ac:dyDescent="0.3">
      <c r="A229" s="28">
        <v>46130</v>
      </c>
      <c r="B229" s="1">
        <v>33</v>
      </c>
      <c r="C229" s="30" t="s">
        <v>7</v>
      </c>
      <c r="D229" s="1"/>
      <c r="E229" s="1"/>
      <c r="F229" s="1"/>
      <c r="G229" s="33" t="e">
        <f>VLOOKUP(E229,ACTIVIDADES!A230:D242,2)</f>
        <v>#N/A</v>
      </c>
    </row>
    <row r="230" spans="1:7" x14ac:dyDescent="0.3">
      <c r="A230" s="28">
        <v>46130</v>
      </c>
      <c r="B230" s="1">
        <v>34</v>
      </c>
      <c r="C230" s="30" t="s">
        <v>143</v>
      </c>
      <c r="D230" s="1"/>
      <c r="E230" s="1"/>
      <c r="F230" s="1"/>
      <c r="G230" s="33" t="e">
        <f>VLOOKUP(E230,ACTIVIDADES!A231:D243,2)</f>
        <v>#N/A</v>
      </c>
    </row>
    <row r="231" spans="1:7" x14ac:dyDescent="0.3">
      <c r="A231" s="28">
        <v>46130</v>
      </c>
      <c r="B231" s="1">
        <v>35</v>
      </c>
      <c r="C231" s="29" t="s">
        <v>40</v>
      </c>
      <c r="D231" s="1" t="s">
        <v>46</v>
      </c>
      <c r="E231" s="1" t="s">
        <v>59</v>
      </c>
      <c r="F231" s="1">
        <v>1</v>
      </c>
      <c r="G231" s="33" t="e">
        <f>VLOOKUP(E231,ACTIVIDADES!A232:D244,2)</f>
        <v>#N/A</v>
      </c>
    </row>
    <row r="232" spans="1:7" x14ac:dyDescent="0.3">
      <c r="A232" s="28">
        <v>46130</v>
      </c>
      <c r="B232" s="1">
        <v>36</v>
      </c>
      <c r="C232" s="29" t="s">
        <v>41</v>
      </c>
      <c r="D232" s="1"/>
      <c r="E232" s="1"/>
      <c r="F232" s="1"/>
      <c r="G232" s="33" t="e">
        <f>VLOOKUP(E232,ACTIVIDADES!A233:D245,2)</f>
        <v>#N/A</v>
      </c>
    </row>
    <row r="233" spans="1:7" x14ac:dyDescent="0.3">
      <c r="A233" s="28">
        <v>46130</v>
      </c>
      <c r="B233" s="1">
        <v>37</v>
      </c>
      <c r="C233" s="30" t="s">
        <v>42</v>
      </c>
      <c r="D233" s="1"/>
      <c r="E233" s="1"/>
      <c r="F233" s="1"/>
      <c r="G233" s="33" t="e">
        <f>VLOOKUP(E233,ACTIVIDADES!A234:D246,2)</f>
        <v>#N/A</v>
      </c>
    </row>
    <row r="234" spans="1:7" x14ac:dyDescent="0.3">
      <c r="A234" s="28">
        <v>46130</v>
      </c>
      <c r="B234" s="1">
        <v>38</v>
      </c>
      <c r="C234" s="30" t="s">
        <v>43</v>
      </c>
      <c r="D234" s="1" t="s">
        <v>46</v>
      </c>
      <c r="E234" s="1" t="s">
        <v>59</v>
      </c>
      <c r="F234" s="1">
        <v>1</v>
      </c>
      <c r="G234" s="33" t="e">
        <f>VLOOKUP(E234,ACTIVIDADES!A235:D247,2)</f>
        <v>#N/A</v>
      </c>
    </row>
    <row r="235" spans="1:7" x14ac:dyDescent="0.3">
      <c r="A235" s="28">
        <v>46130</v>
      </c>
      <c r="B235" s="1">
        <v>39</v>
      </c>
      <c r="C235" s="29" t="s">
        <v>44</v>
      </c>
      <c r="D235" s="1" t="s">
        <v>46</v>
      </c>
      <c r="E235" s="1" t="s">
        <v>59</v>
      </c>
      <c r="F235" s="1">
        <v>1</v>
      </c>
      <c r="G235" s="33" t="e">
        <f>VLOOKUP(E235,ACTIVIDADES!A236:D248,2)</f>
        <v>#N/A</v>
      </c>
    </row>
    <row r="236" spans="1:7" x14ac:dyDescent="0.3">
      <c r="A236" s="28">
        <v>46132</v>
      </c>
      <c r="B236" s="24">
        <v>1</v>
      </c>
      <c r="C236" s="29" t="s">
        <v>6</v>
      </c>
      <c r="D236" s="1" t="s">
        <v>49</v>
      </c>
      <c r="E236" s="1" t="s">
        <v>49</v>
      </c>
      <c r="F236" s="1">
        <v>1</v>
      </c>
      <c r="G236" s="33" t="e">
        <f>VLOOKUP(E236,ACTIVIDADES!A237:D249,2)</f>
        <v>#N/A</v>
      </c>
    </row>
    <row r="237" spans="1:7" x14ac:dyDescent="0.3">
      <c r="A237" s="28">
        <v>46132</v>
      </c>
      <c r="B237" s="24">
        <v>2</v>
      </c>
      <c r="C237" s="29" t="s">
        <v>10</v>
      </c>
      <c r="D237" s="1" t="s">
        <v>49</v>
      </c>
      <c r="E237" s="1" t="s">
        <v>49</v>
      </c>
      <c r="F237" s="1">
        <v>1</v>
      </c>
      <c r="G237" s="33" t="e">
        <f>VLOOKUP(E237,ACTIVIDADES!A238:D250,2)</f>
        <v>#N/A</v>
      </c>
    </row>
    <row r="238" spans="1:7" x14ac:dyDescent="0.3">
      <c r="A238" s="28">
        <v>46132</v>
      </c>
      <c r="B238" s="24">
        <v>3</v>
      </c>
      <c r="C238" s="29" t="s">
        <v>22</v>
      </c>
      <c r="D238" s="1" t="s">
        <v>51</v>
      </c>
      <c r="E238" s="1" t="s">
        <v>48</v>
      </c>
      <c r="F238" s="1">
        <v>1</v>
      </c>
      <c r="G238" s="33" t="e">
        <f>VLOOKUP(E238,ACTIVIDADES!A239:D251,2)</f>
        <v>#N/A</v>
      </c>
    </row>
    <row r="239" spans="1:7" x14ac:dyDescent="0.3">
      <c r="A239" s="28">
        <v>46132</v>
      </c>
      <c r="B239" s="24">
        <v>4</v>
      </c>
      <c r="C239" s="29" t="s">
        <v>36</v>
      </c>
      <c r="D239" s="1" t="s">
        <v>51</v>
      </c>
      <c r="E239" s="1" t="s">
        <v>50</v>
      </c>
      <c r="F239" s="1">
        <v>1</v>
      </c>
      <c r="G239" s="33" t="e">
        <f>VLOOKUP(E239,ACTIVIDADES!A240:D252,2)</f>
        <v>#N/A</v>
      </c>
    </row>
    <row r="240" spans="1:7" x14ac:dyDescent="0.3">
      <c r="A240" s="28">
        <v>46132</v>
      </c>
      <c r="B240" s="24">
        <v>5</v>
      </c>
      <c r="C240" s="29" t="s">
        <v>38</v>
      </c>
      <c r="D240" s="1" t="s">
        <v>50</v>
      </c>
      <c r="E240" s="1" t="s">
        <v>50</v>
      </c>
      <c r="F240" s="1">
        <v>1</v>
      </c>
      <c r="G240" s="33" t="e">
        <f>VLOOKUP(E240,ACTIVIDADES!A241:D253,2)</f>
        <v>#N/A</v>
      </c>
    </row>
    <row r="241" spans="1:7" x14ac:dyDescent="0.3">
      <c r="A241" s="28">
        <v>46132</v>
      </c>
      <c r="B241" s="24">
        <v>6</v>
      </c>
      <c r="C241" s="30" t="s">
        <v>11</v>
      </c>
      <c r="D241" s="1" t="s">
        <v>52</v>
      </c>
      <c r="E241" s="1" t="s">
        <v>45</v>
      </c>
      <c r="F241" s="1">
        <v>1</v>
      </c>
      <c r="G241" s="33" t="e">
        <f>VLOOKUP(E241,ACTIVIDADES!A242:D254,2)</f>
        <v>#N/A</v>
      </c>
    </row>
    <row r="242" spans="1:7" x14ac:dyDescent="0.3">
      <c r="A242" s="28">
        <v>46132</v>
      </c>
      <c r="B242" s="24">
        <v>7</v>
      </c>
      <c r="C242" s="29" t="s">
        <v>12</v>
      </c>
      <c r="D242" s="1" t="s">
        <v>46</v>
      </c>
      <c r="E242" s="1" t="s">
        <v>59</v>
      </c>
      <c r="F242" s="1">
        <v>1</v>
      </c>
      <c r="G242" s="33" t="e">
        <f>VLOOKUP(E242,ACTIVIDADES!A243:D255,2)</f>
        <v>#N/A</v>
      </c>
    </row>
    <row r="243" spans="1:7" x14ac:dyDescent="0.3">
      <c r="A243" s="28">
        <v>46132</v>
      </c>
      <c r="B243" s="24">
        <v>8</v>
      </c>
      <c r="C243" s="30" t="s">
        <v>13</v>
      </c>
      <c r="D243" s="1" t="s">
        <v>46</v>
      </c>
      <c r="E243" s="1" t="s">
        <v>59</v>
      </c>
      <c r="F243" s="1">
        <v>1</v>
      </c>
      <c r="G243" s="33" t="e">
        <f>VLOOKUP(E243,ACTIVIDADES!A244:D256,2)</f>
        <v>#N/A</v>
      </c>
    </row>
    <row r="244" spans="1:7" x14ac:dyDescent="0.3">
      <c r="A244" s="28">
        <v>46132</v>
      </c>
      <c r="B244" s="24">
        <v>9</v>
      </c>
      <c r="C244" s="29" t="s">
        <v>14</v>
      </c>
      <c r="D244" s="1" t="s">
        <v>46</v>
      </c>
      <c r="E244" s="1" t="s">
        <v>59</v>
      </c>
      <c r="F244" s="1">
        <v>1</v>
      </c>
      <c r="G244" s="33" t="e">
        <f>VLOOKUP(E244,ACTIVIDADES!A245:D257,2)</f>
        <v>#N/A</v>
      </c>
    </row>
    <row r="245" spans="1:7" x14ac:dyDescent="0.3">
      <c r="A245" s="28">
        <v>46132</v>
      </c>
      <c r="B245" s="24">
        <v>10</v>
      </c>
      <c r="C245" s="30" t="s">
        <v>15</v>
      </c>
      <c r="D245" s="1" t="s">
        <v>46</v>
      </c>
      <c r="E245" s="1" t="s">
        <v>59</v>
      </c>
      <c r="F245" s="1">
        <v>1</v>
      </c>
      <c r="G245" s="33" t="e">
        <f>VLOOKUP(E245,ACTIVIDADES!A246:D258,2)</f>
        <v>#N/A</v>
      </c>
    </row>
    <row r="246" spans="1:7" x14ac:dyDescent="0.3">
      <c r="A246" s="28">
        <v>46132</v>
      </c>
      <c r="B246" s="24">
        <v>11</v>
      </c>
      <c r="C246" s="29" t="s">
        <v>16</v>
      </c>
      <c r="D246" s="1"/>
      <c r="E246" s="1"/>
      <c r="F246" s="1"/>
      <c r="G246" s="33" t="e">
        <f>VLOOKUP(E246,ACTIVIDADES!A247:D259,2)</f>
        <v>#N/A</v>
      </c>
    </row>
    <row r="247" spans="1:7" x14ac:dyDescent="0.3">
      <c r="A247" s="28">
        <v>46132</v>
      </c>
      <c r="B247" s="24">
        <v>12</v>
      </c>
      <c r="C247" s="30" t="s">
        <v>17</v>
      </c>
      <c r="D247" s="1" t="s">
        <v>46</v>
      </c>
      <c r="E247" s="1" t="s">
        <v>59</v>
      </c>
      <c r="F247" s="1">
        <v>1</v>
      </c>
      <c r="G247" s="33" t="e">
        <f>VLOOKUP(E247,ACTIVIDADES!A248:D260,2)</f>
        <v>#N/A</v>
      </c>
    </row>
    <row r="248" spans="1:7" x14ac:dyDescent="0.3">
      <c r="A248" s="28">
        <v>46132</v>
      </c>
      <c r="B248" s="24">
        <v>13</v>
      </c>
      <c r="C248" s="29" t="s">
        <v>18</v>
      </c>
      <c r="D248" s="1"/>
      <c r="E248" s="1"/>
      <c r="F248" s="1"/>
      <c r="G248" s="33" t="e">
        <f>VLOOKUP(E248,ACTIVIDADES!A249:D261,2)</f>
        <v>#N/A</v>
      </c>
    </row>
    <row r="249" spans="1:7" x14ac:dyDescent="0.3">
      <c r="A249" s="28">
        <v>46132</v>
      </c>
      <c r="B249" s="24">
        <v>14</v>
      </c>
      <c r="C249" s="30" t="s">
        <v>19</v>
      </c>
      <c r="D249" s="1"/>
      <c r="E249" s="1"/>
      <c r="F249" s="1"/>
      <c r="G249" s="33" t="e">
        <f>VLOOKUP(E249,ACTIVIDADES!A250:D262,2)</f>
        <v>#N/A</v>
      </c>
    </row>
    <row r="250" spans="1:7" x14ac:dyDescent="0.3">
      <c r="A250" s="28">
        <v>46132</v>
      </c>
      <c r="B250" s="24">
        <v>15</v>
      </c>
      <c r="C250" s="29" t="s">
        <v>20</v>
      </c>
      <c r="D250" s="1" t="s">
        <v>53</v>
      </c>
      <c r="E250" s="1" t="s">
        <v>53</v>
      </c>
      <c r="F250" s="1">
        <v>1</v>
      </c>
      <c r="G250" s="33" t="e">
        <f>VLOOKUP(E250,ACTIVIDADES!A251:D263,2)</f>
        <v>#N/A</v>
      </c>
    </row>
    <row r="251" spans="1:7" x14ac:dyDescent="0.3">
      <c r="A251" s="28">
        <v>46132</v>
      </c>
      <c r="B251" s="24">
        <v>16</v>
      </c>
      <c r="C251" s="30" t="s">
        <v>21</v>
      </c>
      <c r="D251" s="1" t="s">
        <v>46</v>
      </c>
      <c r="E251" s="1" t="s">
        <v>59</v>
      </c>
      <c r="F251" s="1">
        <v>1</v>
      </c>
      <c r="G251" s="33" t="e">
        <f>VLOOKUP(E251,ACTIVIDADES!A252:D264,2)</f>
        <v>#N/A</v>
      </c>
    </row>
    <row r="252" spans="1:7" x14ac:dyDescent="0.3">
      <c r="A252" s="28">
        <v>46132</v>
      </c>
      <c r="B252" s="24">
        <v>17</v>
      </c>
      <c r="C252" s="29" t="s">
        <v>8</v>
      </c>
      <c r="D252" s="1" t="s">
        <v>46</v>
      </c>
      <c r="E252" s="1" t="s">
        <v>59</v>
      </c>
      <c r="F252" s="1">
        <v>1</v>
      </c>
      <c r="G252" s="33" t="e">
        <f>VLOOKUP(E252,ACTIVIDADES!A253:D265,2)</f>
        <v>#N/A</v>
      </c>
    </row>
    <row r="253" spans="1:7" x14ac:dyDescent="0.3">
      <c r="A253" s="28">
        <v>46132</v>
      </c>
      <c r="B253" s="24">
        <v>18</v>
      </c>
      <c r="C253" s="30" t="s">
        <v>23</v>
      </c>
      <c r="D253" s="1" t="s">
        <v>46</v>
      </c>
      <c r="E253" s="1" t="s">
        <v>59</v>
      </c>
      <c r="F253" s="1">
        <v>1</v>
      </c>
      <c r="G253" s="33" t="e">
        <f>VLOOKUP(E253,ACTIVIDADES!A254:D266,2)</f>
        <v>#N/A</v>
      </c>
    </row>
    <row r="254" spans="1:7" x14ac:dyDescent="0.3">
      <c r="A254" s="28">
        <v>46132</v>
      </c>
      <c r="B254" s="24">
        <v>19</v>
      </c>
      <c r="C254" s="29" t="s">
        <v>24</v>
      </c>
      <c r="D254" s="1" t="s">
        <v>46</v>
      </c>
      <c r="E254" s="1" t="s">
        <v>59</v>
      </c>
      <c r="F254" s="1">
        <v>1</v>
      </c>
      <c r="G254" s="33" t="e">
        <f>VLOOKUP(E254,ACTIVIDADES!A255:D267,2)</f>
        <v>#N/A</v>
      </c>
    </row>
    <row r="255" spans="1:7" x14ac:dyDescent="0.3">
      <c r="A255" s="28">
        <v>46132</v>
      </c>
      <c r="B255" s="24">
        <v>20</v>
      </c>
      <c r="C255" s="30" t="s">
        <v>25</v>
      </c>
      <c r="D255" s="1" t="s">
        <v>46</v>
      </c>
      <c r="E255" s="1" t="s">
        <v>59</v>
      </c>
      <c r="F255" s="1">
        <v>1</v>
      </c>
      <c r="G255" s="33" t="e">
        <f>VLOOKUP(E255,ACTIVIDADES!A256:D268,2)</f>
        <v>#N/A</v>
      </c>
    </row>
    <row r="256" spans="1:7" x14ac:dyDescent="0.3">
      <c r="A256" s="28">
        <v>46132</v>
      </c>
      <c r="B256" s="24">
        <v>21</v>
      </c>
      <c r="C256" s="29" t="s">
        <v>26</v>
      </c>
      <c r="D256" s="1" t="s">
        <v>55</v>
      </c>
      <c r="E256" s="1" t="s">
        <v>59</v>
      </c>
      <c r="F256" s="1">
        <v>1</v>
      </c>
      <c r="G256" s="33" t="e">
        <f>VLOOKUP(E256,ACTIVIDADES!A257:D269,2)</f>
        <v>#N/A</v>
      </c>
    </row>
    <row r="257" spans="1:7" x14ac:dyDescent="0.3">
      <c r="A257" s="28">
        <v>46132</v>
      </c>
      <c r="B257" s="24">
        <v>22</v>
      </c>
      <c r="C257" s="30" t="s">
        <v>27</v>
      </c>
      <c r="D257" s="1" t="s">
        <v>46</v>
      </c>
      <c r="E257" s="1" t="s">
        <v>59</v>
      </c>
      <c r="F257" s="1">
        <v>1</v>
      </c>
      <c r="G257" s="33" t="e">
        <f>VLOOKUP(E257,ACTIVIDADES!A258:D270,2)</f>
        <v>#N/A</v>
      </c>
    </row>
    <row r="258" spans="1:7" x14ac:dyDescent="0.3">
      <c r="A258" s="28">
        <v>46132</v>
      </c>
      <c r="B258" s="24">
        <v>23</v>
      </c>
      <c r="C258" s="29" t="s">
        <v>28</v>
      </c>
      <c r="D258" s="1" t="s">
        <v>46</v>
      </c>
      <c r="E258" s="1" t="s">
        <v>59</v>
      </c>
      <c r="F258" s="1">
        <v>1</v>
      </c>
      <c r="G258" s="33" t="e">
        <f>VLOOKUP(E258,ACTIVIDADES!A259:D271,2)</f>
        <v>#N/A</v>
      </c>
    </row>
    <row r="259" spans="1:7" x14ac:dyDescent="0.3">
      <c r="A259" s="28">
        <v>46132</v>
      </c>
      <c r="B259" s="24">
        <v>24</v>
      </c>
      <c r="C259" s="30" t="s">
        <v>29</v>
      </c>
      <c r="D259" s="1" t="s">
        <v>46</v>
      </c>
      <c r="E259" s="1" t="s">
        <v>59</v>
      </c>
      <c r="F259" s="1">
        <v>1</v>
      </c>
      <c r="G259" s="33" t="e">
        <f>VLOOKUP(E259,ACTIVIDADES!A260:D272,2)</f>
        <v>#N/A</v>
      </c>
    </row>
    <row r="260" spans="1:7" x14ac:dyDescent="0.3">
      <c r="A260" s="28">
        <v>46132</v>
      </c>
      <c r="B260" s="24">
        <v>25</v>
      </c>
      <c r="C260" s="29" t="s">
        <v>30</v>
      </c>
      <c r="D260" s="1" t="s">
        <v>46</v>
      </c>
      <c r="E260" s="1" t="s">
        <v>59</v>
      </c>
      <c r="F260" s="1">
        <v>1</v>
      </c>
      <c r="G260" s="33" t="e">
        <f>VLOOKUP(E260,ACTIVIDADES!A261:D273,2)</f>
        <v>#N/A</v>
      </c>
    </row>
    <row r="261" spans="1:7" x14ac:dyDescent="0.3">
      <c r="A261" s="28">
        <v>46132</v>
      </c>
      <c r="B261" s="24">
        <v>26</v>
      </c>
      <c r="C261" s="30" t="s">
        <v>31</v>
      </c>
      <c r="D261" s="1" t="s">
        <v>46</v>
      </c>
      <c r="E261" s="1" t="s">
        <v>59</v>
      </c>
      <c r="F261" s="1">
        <v>1</v>
      </c>
      <c r="G261" s="33" t="e">
        <f>VLOOKUP(E261,ACTIVIDADES!A262:D274,2)</f>
        <v>#N/A</v>
      </c>
    </row>
    <row r="262" spans="1:7" x14ac:dyDescent="0.3">
      <c r="A262" s="28">
        <v>46132</v>
      </c>
      <c r="B262" s="24">
        <v>27</v>
      </c>
      <c r="C262" s="29" t="s">
        <v>32</v>
      </c>
      <c r="D262" s="1" t="s">
        <v>46</v>
      </c>
      <c r="E262" s="1" t="s">
        <v>59</v>
      </c>
      <c r="F262" s="1">
        <v>1</v>
      </c>
      <c r="G262" s="33" t="e">
        <f>VLOOKUP(E262,ACTIVIDADES!A263:D275,2)</f>
        <v>#N/A</v>
      </c>
    </row>
    <row r="263" spans="1:7" x14ac:dyDescent="0.3">
      <c r="A263" s="28">
        <v>46132</v>
      </c>
      <c r="B263" s="24">
        <v>28</v>
      </c>
      <c r="C263" s="30" t="s">
        <v>33</v>
      </c>
      <c r="D263" s="1" t="s">
        <v>46</v>
      </c>
      <c r="E263" s="1" t="s">
        <v>59</v>
      </c>
      <c r="F263" s="1">
        <v>1</v>
      </c>
      <c r="G263" s="33" t="e">
        <f>VLOOKUP(E263,ACTIVIDADES!A264:D276,2)</f>
        <v>#N/A</v>
      </c>
    </row>
    <row r="264" spans="1:7" x14ac:dyDescent="0.3">
      <c r="A264" s="28">
        <v>46132</v>
      </c>
      <c r="B264" s="24">
        <v>29</v>
      </c>
      <c r="C264" s="29" t="s">
        <v>34</v>
      </c>
      <c r="D264" s="1" t="s">
        <v>52</v>
      </c>
      <c r="E264" s="1" t="s">
        <v>45</v>
      </c>
      <c r="F264" s="1">
        <v>1</v>
      </c>
      <c r="G264" s="33" t="e">
        <f>VLOOKUP(E264,ACTIVIDADES!A265:D277,2)</f>
        <v>#N/A</v>
      </c>
    </row>
    <row r="265" spans="1:7" x14ac:dyDescent="0.3">
      <c r="A265" s="28">
        <v>46132</v>
      </c>
      <c r="B265" s="24">
        <v>30</v>
      </c>
      <c r="C265" s="30" t="s">
        <v>35</v>
      </c>
      <c r="D265" s="1" t="s">
        <v>46</v>
      </c>
      <c r="E265" s="1" t="s">
        <v>59</v>
      </c>
      <c r="F265" s="1">
        <v>1</v>
      </c>
      <c r="G265" s="33" t="e">
        <f>VLOOKUP(E265,ACTIVIDADES!A266:D278,2)</f>
        <v>#N/A</v>
      </c>
    </row>
    <row r="266" spans="1:7" x14ac:dyDescent="0.3">
      <c r="A266" s="28">
        <v>46132</v>
      </c>
      <c r="B266" s="24">
        <v>31</v>
      </c>
      <c r="C266" s="30" t="s">
        <v>9</v>
      </c>
      <c r="D266" s="1" t="s">
        <v>52</v>
      </c>
      <c r="E266" s="1" t="s">
        <v>45</v>
      </c>
      <c r="F266" s="1">
        <v>1</v>
      </c>
      <c r="G266" s="33" t="e">
        <f>VLOOKUP(E266,ACTIVIDADES!A267:D279,2)</f>
        <v>#N/A</v>
      </c>
    </row>
    <row r="267" spans="1:7" x14ac:dyDescent="0.3">
      <c r="A267" s="28">
        <v>46132</v>
      </c>
      <c r="B267" s="24">
        <v>32</v>
      </c>
      <c r="C267" s="30" t="s">
        <v>37</v>
      </c>
      <c r="D267" s="1"/>
      <c r="E267" s="1"/>
      <c r="F267" s="1"/>
      <c r="G267" s="33" t="e">
        <f>VLOOKUP(E267,ACTIVIDADES!A268:D280,2)</f>
        <v>#N/A</v>
      </c>
    </row>
    <row r="268" spans="1:7" x14ac:dyDescent="0.3">
      <c r="A268" s="28">
        <v>46132</v>
      </c>
      <c r="B268" s="24">
        <v>33</v>
      </c>
      <c r="C268" s="30" t="s">
        <v>7</v>
      </c>
      <c r="D268" s="1" t="s">
        <v>46</v>
      </c>
      <c r="E268" s="1" t="s">
        <v>59</v>
      </c>
      <c r="F268" s="1">
        <v>1</v>
      </c>
      <c r="G268" s="33" t="e">
        <f>VLOOKUP(E268,ACTIVIDADES!A269:D281,2)</f>
        <v>#N/A</v>
      </c>
    </row>
    <row r="269" spans="1:7" x14ac:dyDescent="0.3">
      <c r="A269" s="28">
        <v>46132</v>
      </c>
      <c r="B269" s="24">
        <v>34</v>
      </c>
      <c r="C269" s="30" t="s">
        <v>143</v>
      </c>
      <c r="D269" s="1"/>
      <c r="E269" s="1"/>
      <c r="F269" s="1"/>
      <c r="G269" s="33" t="e">
        <f>VLOOKUP(E269,ACTIVIDADES!A270:D282,2)</f>
        <v>#N/A</v>
      </c>
    </row>
    <row r="270" spans="1:7" x14ac:dyDescent="0.3">
      <c r="A270" s="28">
        <v>46132</v>
      </c>
      <c r="B270" s="24">
        <v>35</v>
      </c>
      <c r="C270" s="29" t="s">
        <v>40</v>
      </c>
      <c r="D270" s="1" t="s">
        <v>46</v>
      </c>
      <c r="E270" s="1" t="s">
        <v>59</v>
      </c>
      <c r="F270" s="1">
        <v>1</v>
      </c>
      <c r="G270" s="33" t="e">
        <f>VLOOKUP(E270,ACTIVIDADES!A271:D283,2)</f>
        <v>#N/A</v>
      </c>
    </row>
    <row r="271" spans="1:7" x14ac:dyDescent="0.3">
      <c r="A271" s="28">
        <v>46132</v>
      </c>
      <c r="B271" s="24">
        <v>36</v>
      </c>
      <c r="C271" s="29" t="s">
        <v>41</v>
      </c>
      <c r="D271" s="1"/>
      <c r="E271" s="1"/>
      <c r="F271" s="1"/>
      <c r="G271" s="33" t="e">
        <f>VLOOKUP(E271,ACTIVIDADES!A272:D284,2)</f>
        <v>#N/A</v>
      </c>
    </row>
    <row r="272" spans="1:7" x14ac:dyDescent="0.3">
      <c r="A272" s="28">
        <v>46132</v>
      </c>
      <c r="B272" s="24">
        <v>37</v>
      </c>
      <c r="C272" s="30" t="s">
        <v>42</v>
      </c>
      <c r="D272" s="1" t="s">
        <v>46</v>
      </c>
      <c r="E272" s="1" t="s">
        <v>59</v>
      </c>
      <c r="F272" s="1">
        <v>1</v>
      </c>
      <c r="G272" s="33" t="e">
        <f>VLOOKUP(E272,ACTIVIDADES!A273:D285,2)</f>
        <v>#N/A</v>
      </c>
    </row>
    <row r="273" spans="1:7" x14ac:dyDescent="0.3">
      <c r="A273" s="28">
        <v>46132</v>
      </c>
      <c r="B273" s="24">
        <v>38</v>
      </c>
      <c r="C273" s="30" t="s">
        <v>43</v>
      </c>
      <c r="D273" s="1" t="s">
        <v>46</v>
      </c>
      <c r="E273" s="1" t="s">
        <v>59</v>
      </c>
      <c r="F273" s="1">
        <v>1</v>
      </c>
      <c r="G273" s="33" t="e">
        <f>VLOOKUP(E273,ACTIVIDADES!A274:D286,2)</f>
        <v>#N/A</v>
      </c>
    </row>
    <row r="274" spans="1:7" x14ac:dyDescent="0.3">
      <c r="A274" s="28">
        <v>46132</v>
      </c>
      <c r="B274" s="24">
        <v>39</v>
      </c>
      <c r="C274" s="29" t="s">
        <v>44</v>
      </c>
      <c r="D274" s="1" t="s">
        <v>46</v>
      </c>
      <c r="E274" s="1" t="s">
        <v>59</v>
      </c>
      <c r="F274" s="1">
        <v>1</v>
      </c>
      <c r="G274" s="33" t="e">
        <f>VLOOKUP(E274,ACTIVIDADES!A275:D287,2)</f>
        <v>#N/A</v>
      </c>
    </row>
    <row r="275" spans="1:7" x14ac:dyDescent="0.3">
      <c r="A275" s="28">
        <v>46133</v>
      </c>
      <c r="B275" s="24">
        <v>1</v>
      </c>
      <c r="C275" s="29" t="s">
        <v>6</v>
      </c>
      <c r="D275" s="1" t="s">
        <v>49</v>
      </c>
      <c r="E275" s="1" t="s">
        <v>49</v>
      </c>
      <c r="F275" s="1">
        <v>1</v>
      </c>
      <c r="G275" s="33" t="e">
        <f>VLOOKUP(E275,ACTIVIDADES!A276:D288,2)</f>
        <v>#N/A</v>
      </c>
    </row>
    <row r="276" spans="1:7" x14ac:dyDescent="0.3">
      <c r="A276" s="28">
        <v>46133</v>
      </c>
      <c r="B276" s="24">
        <v>2</v>
      </c>
      <c r="C276" s="29" t="s">
        <v>10</v>
      </c>
      <c r="D276" s="1" t="s">
        <v>49</v>
      </c>
      <c r="E276" s="1" t="s">
        <v>49</v>
      </c>
      <c r="F276" s="1">
        <v>1</v>
      </c>
      <c r="G276" s="33" t="e">
        <f>VLOOKUP(E276,ACTIVIDADES!A277:D289,2)</f>
        <v>#N/A</v>
      </c>
    </row>
    <row r="277" spans="1:7" x14ac:dyDescent="0.3">
      <c r="A277" s="28">
        <v>46133</v>
      </c>
      <c r="B277" s="24">
        <v>3</v>
      </c>
      <c r="C277" s="29" t="s">
        <v>22</v>
      </c>
      <c r="D277" s="1" t="s">
        <v>51</v>
      </c>
      <c r="E277" s="1" t="s">
        <v>48</v>
      </c>
      <c r="F277" s="1">
        <v>1</v>
      </c>
      <c r="G277" s="33" t="e">
        <f>VLOOKUP(E277,ACTIVIDADES!A278:D290,2)</f>
        <v>#N/A</v>
      </c>
    </row>
    <row r="278" spans="1:7" x14ac:dyDescent="0.3">
      <c r="A278" s="28">
        <v>46133</v>
      </c>
      <c r="B278" s="24">
        <v>4</v>
      </c>
      <c r="C278" s="29" t="s">
        <v>36</v>
      </c>
      <c r="D278" s="1" t="s">
        <v>51</v>
      </c>
      <c r="E278" s="1" t="s">
        <v>50</v>
      </c>
      <c r="F278" s="1">
        <v>1</v>
      </c>
      <c r="G278" s="33" t="e">
        <f>VLOOKUP(E278,ACTIVIDADES!A279:D291,2)</f>
        <v>#N/A</v>
      </c>
    </row>
    <row r="279" spans="1:7" x14ac:dyDescent="0.3">
      <c r="A279" s="28">
        <v>46133</v>
      </c>
      <c r="B279" s="24">
        <v>5</v>
      </c>
      <c r="C279" s="29" t="s">
        <v>38</v>
      </c>
      <c r="D279" s="1" t="s">
        <v>50</v>
      </c>
      <c r="E279" s="1" t="s">
        <v>50</v>
      </c>
      <c r="F279" s="1">
        <v>1</v>
      </c>
      <c r="G279" s="33" t="e">
        <f>VLOOKUP(E279,ACTIVIDADES!A280:D292,2)</f>
        <v>#N/A</v>
      </c>
    </row>
    <row r="280" spans="1:7" x14ac:dyDescent="0.3">
      <c r="A280" s="28">
        <v>46133</v>
      </c>
      <c r="B280" s="24">
        <v>6</v>
      </c>
      <c r="C280" s="30" t="s">
        <v>11</v>
      </c>
      <c r="D280" s="1" t="s">
        <v>46</v>
      </c>
      <c r="E280" s="1" t="s">
        <v>60</v>
      </c>
      <c r="F280" s="1">
        <v>1</v>
      </c>
      <c r="G280" s="33" t="e">
        <f>VLOOKUP(E280,ACTIVIDADES!A281:D293,2)</f>
        <v>#N/A</v>
      </c>
    </row>
    <row r="281" spans="1:7" x14ac:dyDescent="0.3">
      <c r="A281" s="28">
        <v>46133</v>
      </c>
      <c r="B281" s="24">
        <v>7</v>
      </c>
      <c r="C281" s="29" t="s">
        <v>12</v>
      </c>
      <c r="D281" s="1" t="s">
        <v>46</v>
      </c>
      <c r="E281" s="1" t="s">
        <v>60</v>
      </c>
      <c r="F281" s="1">
        <v>1</v>
      </c>
      <c r="G281" s="33" t="e">
        <f>VLOOKUP(E281,ACTIVIDADES!A282:D294,2)</f>
        <v>#N/A</v>
      </c>
    </row>
    <row r="282" spans="1:7" x14ac:dyDescent="0.3">
      <c r="A282" s="28">
        <v>46133</v>
      </c>
      <c r="B282" s="24">
        <v>8</v>
      </c>
      <c r="C282" s="30" t="s">
        <v>13</v>
      </c>
      <c r="D282" s="1" t="s">
        <v>46</v>
      </c>
      <c r="E282" s="1" t="s">
        <v>60</v>
      </c>
      <c r="F282" s="1">
        <v>1</v>
      </c>
      <c r="G282" s="33" t="e">
        <f>VLOOKUP(E282,ACTIVIDADES!A283:D295,2)</f>
        <v>#N/A</v>
      </c>
    </row>
    <row r="283" spans="1:7" x14ac:dyDescent="0.3">
      <c r="A283" s="28">
        <v>46133</v>
      </c>
      <c r="B283" s="24">
        <v>9</v>
      </c>
      <c r="C283" s="29" t="s">
        <v>14</v>
      </c>
      <c r="D283" s="1" t="s">
        <v>46</v>
      </c>
      <c r="E283" s="1" t="s">
        <v>45</v>
      </c>
      <c r="F283" s="1">
        <v>1</v>
      </c>
      <c r="G283" s="33" t="e">
        <f>VLOOKUP(E283,ACTIVIDADES!A284:D296,2)</f>
        <v>#N/A</v>
      </c>
    </row>
    <row r="284" spans="1:7" x14ac:dyDescent="0.3">
      <c r="A284" s="28">
        <v>46133</v>
      </c>
      <c r="B284" s="24">
        <v>10</v>
      </c>
      <c r="C284" s="30" t="s">
        <v>15</v>
      </c>
      <c r="D284" s="1" t="s">
        <v>46</v>
      </c>
      <c r="E284" s="1" t="s">
        <v>50</v>
      </c>
      <c r="F284" s="1">
        <v>1</v>
      </c>
      <c r="G284" s="33" t="e">
        <f>VLOOKUP(E284,ACTIVIDADES!A285:D297,2)</f>
        <v>#N/A</v>
      </c>
    </row>
    <row r="285" spans="1:7" x14ac:dyDescent="0.3">
      <c r="A285" s="28">
        <v>46133</v>
      </c>
      <c r="B285" s="24">
        <v>11</v>
      </c>
      <c r="C285" s="29" t="s">
        <v>16</v>
      </c>
      <c r="D285" s="1"/>
      <c r="E285" s="1"/>
      <c r="F285" s="1"/>
      <c r="G285" s="33" t="e">
        <f>VLOOKUP(E285,ACTIVIDADES!A286:D298,2)</f>
        <v>#N/A</v>
      </c>
    </row>
    <row r="286" spans="1:7" x14ac:dyDescent="0.3">
      <c r="A286" s="28">
        <v>46133</v>
      </c>
      <c r="B286" s="24">
        <v>12</v>
      </c>
      <c r="C286" s="30" t="s">
        <v>17</v>
      </c>
      <c r="D286" s="1" t="s">
        <v>46</v>
      </c>
      <c r="E286" s="1" t="s">
        <v>60</v>
      </c>
      <c r="F286" s="1">
        <v>1</v>
      </c>
      <c r="G286" s="33" t="e">
        <f>VLOOKUP(E286,ACTIVIDADES!A287:D299,2)</f>
        <v>#N/A</v>
      </c>
    </row>
    <row r="287" spans="1:7" x14ac:dyDescent="0.3">
      <c r="A287" s="28">
        <v>46133</v>
      </c>
      <c r="B287" s="24">
        <v>13</v>
      </c>
      <c r="C287" s="29" t="s">
        <v>18</v>
      </c>
      <c r="D287" s="1" t="s">
        <v>46</v>
      </c>
      <c r="E287" s="1" t="s">
        <v>60</v>
      </c>
      <c r="F287" s="1">
        <v>1</v>
      </c>
      <c r="G287" s="33" t="e">
        <f>VLOOKUP(E287,ACTIVIDADES!A288:D300,2)</f>
        <v>#N/A</v>
      </c>
    </row>
    <row r="288" spans="1:7" x14ac:dyDescent="0.3">
      <c r="A288" s="28">
        <v>46133</v>
      </c>
      <c r="B288" s="24">
        <v>14</v>
      </c>
      <c r="C288" s="30" t="s">
        <v>19</v>
      </c>
      <c r="D288" s="1" t="s">
        <v>46</v>
      </c>
      <c r="E288" s="1" t="s">
        <v>60</v>
      </c>
      <c r="F288" s="1">
        <v>1</v>
      </c>
      <c r="G288" s="33" t="e">
        <f>VLOOKUP(E288,ACTIVIDADES!A289:D301,2)</f>
        <v>#N/A</v>
      </c>
    </row>
    <row r="289" spans="1:7" x14ac:dyDescent="0.3">
      <c r="A289" s="28">
        <v>46133</v>
      </c>
      <c r="B289" s="24">
        <v>15</v>
      </c>
      <c r="C289" s="29" t="s">
        <v>20</v>
      </c>
      <c r="D289" s="1" t="s">
        <v>53</v>
      </c>
      <c r="E289" s="1" t="s">
        <v>53</v>
      </c>
      <c r="F289" s="1">
        <v>1</v>
      </c>
      <c r="G289" s="33" t="e">
        <f>VLOOKUP(E289,ACTIVIDADES!A290:D302,2)</f>
        <v>#N/A</v>
      </c>
    </row>
    <row r="290" spans="1:7" x14ac:dyDescent="0.3">
      <c r="A290" s="28">
        <v>46133</v>
      </c>
      <c r="B290" s="24">
        <v>16</v>
      </c>
      <c r="C290" s="30" t="s">
        <v>21</v>
      </c>
      <c r="D290" s="1" t="s">
        <v>46</v>
      </c>
      <c r="E290" s="1" t="s">
        <v>60</v>
      </c>
      <c r="F290" s="1">
        <v>1</v>
      </c>
      <c r="G290" s="33" t="e">
        <f>VLOOKUP(E290,ACTIVIDADES!A291:D303,2)</f>
        <v>#N/A</v>
      </c>
    </row>
    <row r="291" spans="1:7" x14ac:dyDescent="0.3">
      <c r="A291" s="28">
        <v>46133</v>
      </c>
      <c r="B291" s="24">
        <v>17</v>
      </c>
      <c r="C291" s="29" t="s">
        <v>8</v>
      </c>
      <c r="D291" s="1" t="s">
        <v>46</v>
      </c>
      <c r="E291" s="1" t="s">
        <v>60</v>
      </c>
      <c r="F291" s="1">
        <v>1</v>
      </c>
      <c r="G291" s="33" t="e">
        <f>VLOOKUP(E291,ACTIVIDADES!A292:D304,2)</f>
        <v>#N/A</v>
      </c>
    </row>
    <row r="292" spans="1:7" x14ac:dyDescent="0.3">
      <c r="A292" s="28">
        <v>46133</v>
      </c>
      <c r="B292" s="24">
        <v>18</v>
      </c>
      <c r="C292" s="30" t="s">
        <v>23</v>
      </c>
      <c r="D292" s="1" t="s">
        <v>46</v>
      </c>
      <c r="E292" s="1" t="s">
        <v>60</v>
      </c>
      <c r="F292" s="1">
        <v>1</v>
      </c>
      <c r="G292" s="33" t="e">
        <f>VLOOKUP(E292,ACTIVIDADES!A293:D305,2)</f>
        <v>#N/A</v>
      </c>
    </row>
    <row r="293" spans="1:7" x14ac:dyDescent="0.3">
      <c r="A293" s="28">
        <v>46133</v>
      </c>
      <c r="B293" s="24">
        <v>19</v>
      </c>
      <c r="C293" s="29" t="s">
        <v>24</v>
      </c>
      <c r="D293" s="1" t="s">
        <v>53</v>
      </c>
      <c r="E293" s="1" t="s">
        <v>53</v>
      </c>
      <c r="F293" s="1">
        <v>1</v>
      </c>
      <c r="G293" s="33" t="e">
        <f>VLOOKUP(E293,ACTIVIDADES!A294:D306,2)</f>
        <v>#N/A</v>
      </c>
    </row>
    <row r="294" spans="1:7" x14ac:dyDescent="0.3">
      <c r="A294" s="28">
        <v>46133</v>
      </c>
      <c r="B294" s="24">
        <v>20</v>
      </c>
      <c r="C294" s="30" t="s">
        <v>25</v>
      </c>
      <c r="D294" s="1" t="s">
        <v>46</v>
      </c>
      <c r="E294" s="1" t="s">
        <v>60</v>
      </c>
      <c r="F294" s="1">
        <v>1</v>
      </c>
      <c r="G294" s="33" t="e">
        <f>VLOOKUP(E294,ACTIVIDADES!A295:D307,2)</f>
        <v>#N/A</v>
      </c>
    </row>
    <row r="295" spans="1:7" x14ac:dyDescent="0.3">
      <c r="A295" s="28">
        <v>46133</v>
      </c>
      <c r="B295" s="24">
        <v>21</v>
      </c>
      <c r="C295" s="29" t="s">
        <v>26</v>
      </c>
      <c r="D295" s="1" t="s">
        <v>46</v>
      </c>
      <c r="E295" s="1" t="s">
        <v>60</v>
      </c>
      <c r="F295" s="1">
        <v>1</v>
      </c>
      <c r="G295" s="33" t="e">
        <f>VLOOKUP(E295,ACTIVIDADES!A296:D308,2)</f>
        <v>#N/A</v>
      </c>
    </row>
    <row r="296" spans="1:7" x14ac:dyDescent="0.3">
      <c r="A296" s="28">
        <v>46133</v>
      </c>
      <c r="B296" s="24">
        <v>22</v>
      </c>
      <c r="C296" s="30" t="s">
        <v>27</v>
      </c>
      <c r="D296" s="1" t="s">
        <v>46</v>
      </c>
      <c r="E296" s="1" t="s">
        <v>60</v>
      </c>
      <c r="F296" s="1">
        <v>1</v>
      </c>
      <c r="G296" s="33" t="e">
        <f>VLOOKUP(E296,ACTIVIDADES!A297:D309,2)</f>
        <v>#N/A</v>
      </c>
    </row>
    <row r="297" spans="1:7" x14ac:dyDescent="0.3">
      <c r="A297" s="28">
        <v>46133</v>
      </c>
      <c r="B297" s="24">
        <v>23</v>
      </c>
      <c r="C297" s="29" t="s">
        <v>28</v>
      </c>
      <c r="D297" s="1" t="s">
        <v>46</v>
      </c>
      <c r="E297" s="1" t="s">
        <v>60</v>
      </c>
      <c r="F297" s="1">
        <v>1</v>
      </c>
      <c r="G297" s="33" t="e">
        <f>VLOOKUP(E297,ACTIVIDADES!A298:D310,2)</f>
        <v>#N/A</v>
      </c>
    </row>
    <row r="298" spans="1:7" x14ac:dyDescent="0.3">
      <c r="A298" s="28">
        <v>46133</v>
      </c>
      <c r="B298" s="24">
        <v>24</v>
      </c>
      <c r="C298" s="30" t="s">
        <v>29</v>
      </c>
      <c r="D298" s="1" t="s">
        <v>46</v>
      </c>
      <c r="E298" s="1" t="s">
        <v>60</v>
      </c>
      <c r="F298" s="1">
        <v>1</v>
      </c>
      <c r="G298" s="33" t="e">
        <f>VLOOKUP(E298,ACTIVIDADES!A299:D311,2)</f>
        <v>#N/A</v>
      </c>
    </row>
    <row r="299" spans="1:7" x14ac:dyDescent="0.3">
      <c r="A299" s="28">
        <v>46133</v>
      </c>
      <c r="B299" s="24">
        <v>25</v>
      </c>
      <c r="C299" s="29" t="s">
        <v>30</v>
      </c>
      <c r="D299" s="1" t="s">
        <v>46</v>
      </c>
      <c r="E299" s="1" t="s">
        <v>60</v>
      </c>
      <c r="F299" s="1">
        <v>1</v>
      </c>
      <c r="G299" s="33" t="e">
        <f>VLOOKUP(E299,ACTIVIDADES!A300:D312,2)</f>
        <v>#N/A</v>
      </c>
    </row>
    <row r="300" spans="1:7" x14ac:dyDescent="0.3">
      <c r="A300" s="28">
        <v>46133</v>
      </c>
      <c r="B300" s="24">
        <v>26</v>
      </c>
      <c r="C300" s="30" t="s">
        <v>31</v>
      </c>
      <c r="D300" s="1" t="s">
        <v>46</v>
      </c>
      <c r="E300" s="1" t="s">
        <v>60</v>
      </c>
      <c r="F300" s="1">
        <v>1</v>
      </c>
      <c r="G300" s="33" t="e">
        <f>VLOOKUP(E300,ACTIVIDADES!A301:D313,2)</f>
        <v>#N/A</v>
      </c>
    </row>
    <row r="301" spans="1:7" x14ac:dyDescent="0.3">
      <c r="A301" s="28">
        <v>46133</v>
      </c>
      <c r="B301" s="24">
        <v>27</v>
      </c>
      <c r="C301" s="29" t="s">
        <v>32</v>
      </c>
      <c r="D301" s="1" t="s">
        <v>46</v>
      </c>
      <c r="E301" s="1" t="s">
        <v>60</v>
      </c>
      <c r="F301" s="1">
        <v>1</v>
      </c>
      <c r="G301" s="33" t="e">
        <f>VLOOKUP(E301,ACTIVIDADES!A302:D314,2)</f>
        <v>#N/A</v>
      </c>
    </row>
    <row r="302" spans="1:7" x14ac:dyDescent="0.3">
      <c r="A302" s="28">
        <v>46133</v>
      </c>
      <c r="B302" s="24">
        <v>28</v>
      </c>
      <c r="C302" s="30" t="s">
        <v>33</v>
      </c>
      <c r="D302" s="1" t="s">
        <v>46</v>
      </c>
      <c r="E302" s="1" t="s">
        <v>60</v>
      </c>
      <c r="F302" s="1">
        <v>1</v>
      </c>
      <c r="G302" s="33" t="e">
        <f>VLOOKUP(E302,ACTIVIDADES!A303:D315,2)</f>
        <v>#N/A</v>
      </c>
    </row>
    <row r="303" spans="1:7" x14ac:dyDescent="0.3">
      <c r="A303" s="28">
        <v>46133</v>
      </c>
      <c r="B303" s="24">
        <v>29</v>
      </c>
      <c r="C303" s="29" t="s">
        <v>34</v>
      </c>
      <c r="D303" s="1" t="s">
        <v>46</v>
      </c>
      <c r="E303" s="1" t="s">
        <v>60</v>
      </c>
      <c r="F303" s="1">
        <v>1</v>
      </c>
      <c r="G303" s="33" t="e">
        <f>VLOOKUP(E303,ACTIVIDADES!A304:D316,2)</f>
        <v>#N/A</v>
      </c>
    </row>
    <row r="304" spans="1:7" x14ac:dyDescent="0.3">
      <c r="A304" s="28">
        <v>46133</v>
      </c>
      <c r="B304" s="24">
        <v>30</v>
      </c>
      <c r="C304" s="30" t="s">
        <v>35</v>
      </c>
      <c r="D304" s="1" t="s">
        <v>46</v>
      </c>
      <c r="E304" s="1" t="s">
        <v>50</v>
      </c>
      <c r="F304" s="1">
        <v>1</v>
      </c>
      <c r="G304" s="33" t="e">
        <f>VLOOKUP(E304,ACTIVIDADES!A305:D317,2)</f>
        <v>#N/A</v>
      </c>
    </row>
    <row r="305" spans="1:7" x14ac:dyDescent="0.3">
      <c r="A305" s="28">
        <v>46133</v>
      </c>
      <c r="B305" s="24">
        <v>31</v>
      </c>
      <c r="C305" s="30" t="s">
        <v>9</v>
      </c>
      <c r="D305" s="1" t="s">
        <v>46</v>
      </c>
      <c r="E305" s="1" t="s">
        <v>60</v>
      </c>
      <c r="F305" s="1">
        <v>1</v>
      </c>
      <c r="G305" s="33" t="e">
        <f>VLOOKUP(E305,ACTIVIDADES!A306:D318,2)</f>
        <v>#N/A</v>
      </c>
    </row>
    <row r="306" spans="1:7" x14ac:dyDescent="0.3">
      <c r="A306" s="28">
        <v>46133</v>
      </c>
      <c r="B306" s="24">
        <v>32</v>
      </c>
      <c r="C306" s="30" t="s">
        <v>37</v>
      </c>
      <c r="D306" s="1" t="s">
        <v>46</v>
      </c>
      <c r="E306" s="1" t="s">
        <v>60</v>
      </c>
      <c r="F306" s="1">
        <v>1</v>
      </c>
      <c r="G306" s="33" t="e">
        <f>VLOOKUP(E306,ACTIVIDADES!A307:D319,2)</f>
        <v>#N/A</v>
      </c>
    </row>
    <row r="307" spans="1:7" x14ac:dyDescent="0.3">
      <c r="A307" s="28">
        <v>46133</v>
      </c>
      <c r="B307" s="24">
        <v>33</v>
      </c>
      <c r="C307" s="30" t="s">
        <v>7</v>
      </c>
      <c r="D307" s="1" t="s">
        <v>46</v>
      </c>
      <c r="E307" s="1" t="s">
        <v>60</v>
      </c>
      <c r="F307" s="1">
        <v>1</v>
      </c>
      <c r="G307" s="33" t="e">
        <f>VLOOKUP(E307,ACTIVIDADES!A308:D320,2)</f>
        <v>#N/A</v>
      </c>
    </row>
    <row r="308" spans="1:7" x14ac:dyDescent="0.3">
      <c r="A308" s="28">
        <v>46133</v>
      </c>
      <c r="B308" s="24">
        <v>34</v>
      </c>
      <c r="C308" s="30" t="s">
        <v>143</v>
      </c>
      <c r="D308" s="1"/>
      <c r="E308" s="1"/>
      <c r="F308" s="1"/>
      <c r="G308" s="33" t="e">
        <f>VLOOKUP(E308,ACTIVIDADES!A309:D321,2)</f>
        <v>#N/A</v>
      </c>
    </row>
    <row r="309" spans="1:7" x14ac:dyDescent="0.3">
      <c r="A309" s="28">
        <v>46133</v>
      </c>
      <c r="B309" s="24">
        <v>35</v>
      </c>
      <c r="C309" s="29" t="s">
        <v>40</v>
      </c>
      <c r="D309" s="1" t="s">
        <v>46</v>
      </c>
      <c r="E309" s="1" t="s">
        <v>60</v>
      </c>
      <c r="F309" s="1">
        <v>1</v>
      </c>
      <c r="G309" s="33" t="e">
        <f>VLOOKUP(E309,ACTIVIDADES!A310:D322,2)</f>
        <v>#N/A</v>
      </c>
    </row>
    <row r="310" spans="1:7" x14ac:dyDescent="0.3">
      <c r="A310" s="28">
        <v>46133</v>
      </c>
      <c r="B310" s="24">
        <v>36</v>
      </c>
      <c r="C310" s="29" t="s">
        <v>41</v>
      </c>
      <c r="D310" s="1"/>
      <c r="E310" s="1"/>
      <c r="F310" s="1"/>
      <c r="G310" s="33" t="e">
        <f>VLOOKUP(E310,ACTIVIDADES!A311:D323,2)</f>
        <v>#N/A</v>
      </c>
    </row>
    <row r="311" spans="1:7" x14ac:dyDescent="0.3">
      <c r="A311" s="28">
        <v>46133</v>
      </c>
      <c r="B311" s="24">
        <v>37</v>
      </c>
      <c r="C311" s="30" t="s">
        <v>42</v>
      </c>
      <c r="D311" s="1" t="s">
        <v>46</v>
      </c>
      <c r="E311" s="1" t="s">
        <v>60</v>
      </c>
      <c r="F311" s="1">
        <v>1</v>
      </c>
      <c r="G311" s="33" t="e">
        <f>VLOOKUP(E311,ACTIVIDADES!A312:D324,2)</f>
        <v>#N/A</v>
      </c>
    </row>
    <row r="312" spans="1:7" x14ac:dyDescent="0.3">
      <c r="A312" s="28">
        <v>46133</v>
      </c>
      <c r="B312" s="24">
        <v>38</v>
      </c>
      <c r="C312" s="30" t="s">
        <v>43</v>
      </c>
      <c r="D312" s="1"/>
      <c r="E312" s="1"/>
      <c r="F312" s="1"/>
      <c r="G312" s="33" t="e">
        <f>VLOOKUP(E312,ACTIVIDADES!A313:D325,2)</f>
        <v>#N/A</v>
      </c>
    </row>
    <row r="313" spans="1:7" x14ac:dyDescent="0.3">
      <c r="A313" s="28">
        <v>46133</v>
      </c>
      <c r="B313" s="24">
        <v>39</v>
      </c>
      <c r="C313" s="29" t="s">
        <v>44</v>
      </c>
      <c r="D313" s="1" t="s">
        <v>46</v>
      </c>
      <c r="E313" s="1" t="s">
        <v>50</v>
      </c>
      <c r="F313" s="1">
        <v>1</v>
      </c>
      <c r="G313" s="33" t="e">
        <f>VLOOKUP(E313,ACTIVIDADES!A314:D326,2)</f>
        <v>#N/A</v>
      </c>
    </row>
    <row r="314" spans="1:7" x14ac:dyDescent="0.3">
      <c r="A314" s="28">
        <v>46134</v>
      </c>
      <c r="B314" s="24">
        <v>1</v>
      </c>
      <c r="C314" s="29" t="s">
        <v>6</v>
      </c>
      <c r="D314" s="1" t="s">
        <v>49</v>
      </c>
      <c r="E314" s="1" t="s">
        <v>49</v>
      </c>
      <c r="F314" s="1">
        <v>1</v>
      </c>
      <c r="G314" s="33" t="e">
        <f>VLOOKUP(E314,ACTIVIDADES!A315:D327,2)</f>
        <v>#N/A</v>
      </c>
    </row>
    <row r="315" spans="1:7" x14ac:dyDescent="0.3">
      <c r="A315" s="28">
        <v>46134</v>
      </c>
      <c r="B315" s="24">
        <v>2</v>
      </c>
      <c r="C315" s="29" t="s">
        <v>10</v>
      </c>
      <c r="D315" s="1" t="s">
        <v>49</v>
      </c>
      <c r="E315" s="1" t="s">
        <v>49</v>
      </c>
      <c r="F315" s="1">
        <v>1</v>
      </c>
      <c r="G315" s="33" t="e">
        <f>VLOOKUP(E315,ACTIVIDADES!A316:D328,2)</f>
        <v>#N/A</v>
      </c>
    </row>
    <row r="316" spans="1:7" x14ac:dyDescent="0.3">
      <c r="A316" s="28">
        <v>46134</v>
      </c>
      <c r="B316" s="24">
        <v>3</v>
      </c>
      <c r="C316" s="29" t="s">
        <v>22</v>
      </c>
      <c r="D316" s="1" t="s">
        <v>51</v>
      </c>
      <c r="E316" s="1" t="s">
        <v>48</v>
      </c>
      <c r="F316" s="1">
        <v>1</v>
      </c>
      <c r="G316" s="33" t="e">
        <f>VLOOKUP(E316,ACTIVIDADES!A317:D329,2)</f>
        <v>#N/A</v>
      </c>
    </row>
    <row r="317" spans="1:7" x14ac:dyDescent="0.3">
      <c r="A317" s="28">
        <v>46134</v>
      </c>
      <c r="B317" s="24">
        <v>4</v>
      </c>
      <c r="C317" s="29" t="s">
        <v>36</v>
      </c>
      <c r="D317" s="1" t="s">
        <v>51</v>
      </c>
      <c r="E317" s="1" t="s">
        <v>50</v>
      </c>
      <c r="F317" s="1">
        <v>1</v>
      </c>
      <c r="G317" s="33" t="e">
        <f>VLOOKUP(E317,ACTIVIDADES!A318:D330,2)</f>
        <v>#N/A</v>
      </c>
    </row>
    <row r="318" spans="1:7" x14ac:dyDescent="0.3">
      <c r="A318" s="28">
        <v>46134</v>
      </c>
      <c r="B318" s="24">
        <v>5</v>
      </c>
      <c r="C318" s="29" t="s">
        <v>38</v>
      </c>
      <c r="D318" s="1" t="s">
        <v>50</v>
      </c>
      <c r="E318" s="1" t="s">
        <v>50</v>
      </c>
      <c r="F318" s="1">
        <v>1</v>
      </c>
      <c r="G318" s="33" t="e">
        <f>VLOOKUP(E318,ACTIVIDADES!A319:D331,2)</f>
        <v>#N/A</v>
      </c>
    </row>
    <row r="319" spans="1:7" x14ac:dyDescent="0.3">
      <c r="A319" s="28">
        <v>46134</v>
      </c>
      <c r="B319" s="24">
        <v>6</v>
      </c>
      <c r="C319" s="30" t="s">
        <v>11</v>
      </c>
      <c r="D319" s="1" t="s">
        <v>46</v>
      </c>
      <c r="E319" s="1" t="s">
        <v>60</v>
      </c>
      <c r="F319" s="1">
        <v>1</v>
      </c>
      <c r="G319" s="33" t="e">
        <f>VLOOKUP(E319,ACTIVIDADES!A320:D332,2)</f>
        <v>#N/A</v>
      </c>
    </row>
    <row r="320" spans="1:7" x14ac:dyDescent="0.3">
      <c r="A320" s="28">
        <v>46134</v>
      </c>
      <c r="B320" s="24">
        <v>7</v>
      </c>
      <c r="C320" s="29" t="s">
        <v>12</v>
      </c>
      <c r="D320" s="1" t="s">
        <v>46</v>
      </c>
      <c r="E320" s="1" t="s">
        <v>60</v>
      </c>
      <c r="F320" s="1">
        <v>1</v>
      </c>
      <c r="G320" s="33" t="e">
        <f>VLOOKUP(E320,ACTIVIDADES!A321:D333,2)</f>
        <v>#N/A</v>
      </c>
    </row>
    <row r="321" spans="1:7" x14ac:dyDescent="0.3">
      <c r="A321" s="28">
        <v>46134</v>
      </c>
      <c r="B321" s="24">
        <v>8</v>
      </c>
      <c r="C321" s="30" t="s">
        <v>13</v>
      </c>
      <c r="D321" s="1" t="s">
        <v>46</v>
      </c>
      <c r="E321" s="1" t="s">
        <v>50</v>
      </c>
      <c r="F321" s="1">
        <v>1</v>
      </c>
      <c r="G321" s="33" t="e">
        <f>VLOOKUP(E321,ACTIVIDADES!A322:D334,2)</f>
        <v>#N/A</v>
      </c>
    </row>
    <row r="322" spans="1:7" x14ac:dyDescent="0.3">
      <c r="A322" s="28">
        <v>46134</v>
      </c>
      <c r="B322" s="24">
        <v>9</v>
      </c>
      <c r="C322" s="29" t="s">
        <v>14</v>
      </c>
      <c r="D322" s="1" t="s">
        <v>46</v>
      </c>
      <c r="E322" s="1" t="s">
        <v>60</v>
      </c>
      <c r="F322" s="1">
        <v>1</v>
      </c>
      <c r="G322" s="33" t="e">
        <f>VLOOKUP(E322,ACTIVIDADES!A323:D335,2)</f>
        <v>#N/A</v>
      </c>
    </row>
    <row r="323" spans="1:7" x14ac:dyDescent="0.3">
      <c r="A323" s="28">
        <v>46134</v>
      </c>
      <c r="B323" s="24">
        <v>10</v>
      </c>
      <c r="C323" s="30" t="s">
        <v>15</v>
      </c>
      <c r="D323" s="1" t="s">
        <v>46</v>
      </c>
      <c r="E323" s="1" t="s">
        <v>50</v>
      </c>
      <c r="F323" s="1">
        <v>1</v>
      </c>
      <c r="G323" s="33" t="e">
        <f>VLOOKUP(E323,ACTIVIDADES!A324:D336,2)</f>
        <v>#N/A</v>
      </c>
    </row>
    <row r="324" spans="1:7" x14ac:dyDescent="0.3">
      <c r="A324" s="28">
        <v>46134</v>
      </c>
      <c r="B324" s="24">
        <v>11</v>
      </c>
      <c r="C324" s="29" t="s">
        <v>16</v>
      </c>
      <c r="D324" s="1"/>
      <c r="E324" s="1"/>
      <c r="F324" s="1"/>
      <c r="G324" s="33" t="e">
        <f>VLOOKUP(E324,ACTIVIDADES!A325:D337,2)</f>
        <v>#N/A</v>
      </c>
    </row>
    <row r="325" spans="1:7" x14ac:dyDescent="0.3">
      <c r="A325" s="28">
        <v>46134</v>
      </c>
      <c r="B325" s="24">
        <v>12</v>
      </c>
      <c r="C325" s="30" t="s">
        <v>17</v>
      </c>
      <c r="D325" s="1" t="s">
        <v>46</v>
      </c>
      <c r="E325" s="1" t="s">
        <v>60</v>
      </c>
      <c r="F325" s="1">
        <v>1</v>
      </c>
      <c r="G325" s="33" t="e">
        <f>VLOOKUP(E325,ACTIVIDADES!A326:D338,2)</f>
        <v>#N/A</v>
      </c>
    </row>
    <row r="326" spans="1:7" x14ac:dyDescent="0.3">
      <c r="A326" s="28">
        <v>46134</v>
      </c>
      <c r="B326" s="24">
        <v>13</v>
      </c>
      <c r="C326" s="29" t="s">
        <v>18</v>
      </c>
      <c r="D326" s="1" t="s">
        <v>46</v>
      </c>
      <c r="E326" s="1" t="s">
        <v>60</v>
      </c>
      <c r="F326" s="1">
        <v>1</v>
      </c>
      <c r="G326" s="33" t="e">
        <f>VLOOKUP(E326,ACTIVIDADES!A327:D339,2)</f>
        <v>#N/A</v>
      </c>
    </row>
    <row r="327" spans="1:7" x14ac:dyDescent="0.3">
      <c r="A327" s="28">
        <v>46134</v>
      </c>
      <c r="B327" s="24">
        <v>14</v>
      </c>
      <c r="C327" s="30" t="s">
        <v>19</v>
      </c>
      <c r="D327" s="1" t="s">
        <v>46</v>
      </c>
      <c r="E327" s="1" t="s">
        <v>60</v>
      </c>
      <c r="F327" s="1">
        <v>1</v>
      </c>
      <c r="G327" s="33" t="e">
        <f>VLOOKUP(E327,ACTIVIDADES!A328:D340,2)</f>
        <v>#N/A</v>
      </c>
    </row>
    <row r="328" spans="1:7" x14ac:dyDescent="0.3">
      <c r="A328" s="28">
        <v>46134</v>
      </c>
      <c r="B328" s="24">
        <v>15</v>
      </c>
      <c r="C328" s="29" t="s">
        <v>20</v>
      </c>
      <c r="D328" s="1" t="s">
        <v>53</v>
      </c>
      <c r="E328" s="1" t="s">
        <v>53</v>
      </c>
      <c r="F328" s="1">
        <v>1</v>
      </c>
      <c r="G328" s="33" t="e">
        <f>VLOOKUP(E328,ACTIVIDADES!A329:D341,2)</f>
        <v>#N/A</v>
      </c>
    </row>
    <row r="329" spans="1:7" x14ac:dyDescent="0.3">
      <c r="A329" s="28">
        <v>46134</v>
      </c>
      <c r="B329" s="24">
        <v>16</v>
      </c>
      <c r="C329" s="30" t="s">
        <v>21</v>
      </c>
      <c r="D329" s="1" t="s">
        <v>46</v>
      </c>
      <c r="E329" s="1" t="s">
        <v>60</v>
      </c>
      <c r="F329" s="1">
        <v>1</v>
      </c>
      <c r="G329" s="33" t="e">
        <f>VLOOKUP(E329,ACTIVIDADES!A330:D342,2)</f>
        <v>#N/A</v>
      </c>
    </row>
    <row r="330" spans="1:7" x14ac:dyDescent="0.3">
      <c r="A330" s="28">
        <v>46134</v>
      </c>
      <c r="B330" s="24">
        <v>17</v>
      </c>
      <c r="C330" s="29" t="s">
        <v>8</v>
      </c>
      <c r="D330" s="1" t="s">
        <v>46</v>
      </c>
      <c r="E330" s="1" t="s">
        <v>60</v>
      </c>
      <c r="F330" s="1">
        <v>1</v>
      </c>
      <c r="G330" s="33" t="e">
        <f>VLOOKUP(E330,ACTIVIDADES!A331:D343,2)</f>
        <v>#N/A</v>
      </c>
    </row>
    <row r="331" spans="1:7" x14ac:dyDescent="0.3">
      <c r="A331" s="28">
        <v>46134</v>
      </c>
      <c r="B331" s="24">
        <v>18</v>
      </c>
      <c r="C331" s="30" t="s">
        <v>23</v>
      </c>
      <c r="D331" s="1" t="s">
        <v>46</v>
      </c>
      <c r="E331" s="1" t="s">
        <v>60</v>
      </c>
      <c r="F331" s="1">
        <v>1</v>
      </c>
      <c r="G331" s="33" t="e">
        <f>VLOOKUP(E331,ACTIVIDADES!A332:D344,2)</f>
        <v>#N/A</v>
      </c>
    </row>
    <row r="332" spans="1:7" x14ac:dyDescent="0.3">
      <c r="A332" s="28">
        <v>46134</v>
      </c>
      <c r="B332" s="24">
        <v>19</v>
      </c>
      <c r="C332" s="29" t="s">
        <v>24</v>
      </c>
      <c r="D332" s="1" t="s">
        <v>46</v>
      </c>
      <c r="E332" s="1" t="s">
        <v>60</v>
      </c>
      <c r="F332" s="1">
        <v>1</v>
      </c>
      <c r="G332" s="33" t="e">
        <f>VLOOKUP(E332,ACTIVIDADES!A333:D345,2)</f>
        <v>#N/A</v>
      </c>
    </row>
    <row r="333" spans="1:7" x14ac:dyDescent="0.3">
      <c r="A333" s="28">
        <v>46134</v>
      </c>
      <c r="B333" s="24">
        <v>20</v>
      </c>
      <c r="C333" s="30" t="s">
        <v>25</v>
      </c>
      <c r="D333" s="1" t="s">
        <v>46</v>
      </c>
      <c r="E333" s="1" t="s">
        <v>60</v>
      </c>
      <c r="F333" s="1">
        <v>1</v>
      </c>
      <c r="G333" s="33" t="e">
        <f>VLOOKUP(E333,ACTIVIDADES!A334:D346,2)</f>
        <v>#N/A</v>
      </c>
    </row>
    <row r="334" spans="1:7" x14ac:dyDescent="0.3">
      <c r="A334" s="28">
        <v>46134</v>
      </c>
      <c r="B334" s="24">
        <v>21</v>
      </c>
      <c r="C334" s="29" t="s">
        <v>26</v>
      </c>
      <c r="D334" s="1" t="s">
        <v>46</v>
      </c>
      <c r="E334" s="1" t="s">
        <v>60</v>
      </c>
      <c r="F334" s="1">
        <v>1</v>
      </c>
      <c r="G334" s="33" t="e">
        <f>VLOOKUP(E334,ACTIVIDADES!A335:D347,2)</f>
        <v>#N/A</v>
      </c>
    </row>
    <row r="335" spans="1:7" x14ac:dyDescent="0.3">
      <c r="A335" s="28">
        <v>46134</v>
      </c>
      <c r="B335" s="24">
        <v>22</v>
      </c>
      <c r="C335" s="30" t="s">
        <v>27</v>
      </c>
      <c r="D335" s="1" t="s">
        <v>46</v>
      </c>
      <c r="E335" s="1" t="s">
        <v>60</v>
      </c>
      <c r="F335" s="1">
        <v>1</v>
      </c>
      <c r="G335" s="33" t="e">
        <f>VLOOKUP(E335,ACTIVIDADES!A336:D348,2)</f>
        <v>#N/A</v>
      </c>
    </row>
    <row r="336" spans="1:7" x14ac:dyDescent="0.3">
      <c r="A336" s="28">
        <v>46134</v>
      </c>
      <c r="B336" s="24">
        <v>23</v>
      </c>
      <c r="C336" s="29" t="s">
        <v>28</v>
      </c>
      <c r="D336" s="1" t="s">
        <v>46</v>
      </c>
      <c r="E336" s="1" t="s">
        <v>60</v>
      </c>
      <c r="F336" s="1">
        <v>1</v>
      </c>
      <c r="G336" s="33" t="e">
        <f>VLOOKUP(E336,ACTIVIDADES!A337:D349,2)</f>
        <v>#N/A</v>
      </c>
    </row>
    <row r="337" spans="1:7" x14ac:dyDescent="0.3">
      <c r="A337" s="28">
        <v>46134</v>
      </c>
      <c r="B337" s="24">
        <v>24</v>
      </c>
      <c r="C337" s="30" t="s">
        <v>29</v>
      </c>
      <c r="D337" s="1" t="s">
        <v>46</v>
      </c>
      <c r="E337" s="1" t="s">
        <v>60</v>
      </c>
      <c r="F337" s="1">
        <v>1</v>
      </c>
      <c r="G337" s="33" t="e">
        <f>VLOOKUP(E337,ACTIVIDADES!A338:D350,2)</f>
        <v>#N/A</v>
      </c>
    </row>
    <row r="338" spans="1:7" x14ac:dyDescent="0.3">
      <c r="A338" s="28">
        <v>46134</v>
      </c>
      <c r="B338" s="24">
        <v>25</v>
      </c>
      <c r="C338" s="29" t="s">
        <v>30</v>
      </c>
      <c r="D338" s="1" t="s">
        <v>46</v>
      </c>
      <c r="E338" s="1" t="s">
        <v>50</v>
      </c>
      <c r="F338" s="1">
        <v>1</v>
      </c>
      <c r="G338" s="33" t="e">
        <f>VLOOKUP(E338,ACTIVIDADES!A339:D351,2)</f>
        <v>#N/A</v>
      </c>
    </row>
    <row r="339" spans="1:7" x14ac:dyDescent="0.3">
      <c r="A339" s="28">
        <v>46134</v>
      </c>
      <c r="B339" s="24">
        <v>26</v>
      </c>
      <c r="C339" s="30" t="s">
        <v>31</v>
      </c>
      <c r="D339" s="1" t="s">
        <v>46</v>
      </c>
      <c r="E339" s="1" t="s">
        <v>60</v>
      </c>
      <c r="F339" s="1">
        <v>1</v>
      </c>
      <c r="G339" s="33" t="e">
        <f>VLOOKUP(E339,ACTIVIDADES!A340:D352,2)</f>
        <v>#N/A</v>
      </c>
    </row>
    <row r="340" spans="1:7" x14ac:dyDescent="0.3">
      <c r="A340" s="28">
        <v>46134</v>
      </c>
      <c r="B340" s="24">
        <v>27</v>
      </c>
      <c r="C340" s="29" t="s">
        <v>32</v>
      </c>
      <c r="D340" s="1" t="s">
        <v>46</v>
      </c>
      <c r="E340" s="1" t="s">
        <v>60</v>
      </c>
      <c r="F340" s="1">
        <v>1</v>
      </c>
      <c r="G340" s="33" t="e">
        <f>VLOOKUP(E340,ACTIVIDADES!A341:D353,2)</f>
        <v>#N/A</v>
      </c>
    </row>
    <row r="341" spans="1:7" x14ac:dyDescent="0.3">
      <c r="A341" s="28">
        <v>46134</v>
      </c>
      <c r="B341" s="24">
        <v>28</v>
      </c>
      <c r="C341" s="30" t="s">
        <v>33</v>
      </c>
      <c r="D341" s="1" t="s">
        <v>46</v>
      </c>
      <c r="E341" s="1" t="s">
        <v>60</v>
      </c>
      <c r="F341" s="1">
        <v>1</v>
      </c>
      <c r="G341" s="33" t="e">
        <f>VLOOKUP(E341,ACTIVIDADES!A342:D354,2)</f>
        <v>#N/A</v>
      </c>
    </row>
    <row r="342" spans="1:7" x14ac:dyDescent="0.3">
      <c r="A342" s="28">
        <v>46134</v>
      </c>
      <c r="B342" s="24">
        <v>29</v>
      </c>
      <c r="C342" s="29" t="s">
        <v>34</v>
      </c>
      <c r="D342" s="1" t="s">
        <v>46</v>
      </c>
      <c r="E342" s="1" t="s">
        <v>60</v>
      </c>
      <c r="F342" s="1">
        <v>1</v>
      </c>
      <c r="G342" s="33" t="e">
        <f>VLOOKUP(E342,ACTIVIDADES!A343:D355,2)</f>
        <v>#N/A</v>
      </c>
    </row>
    <row r="343" spans="1:7" x14ac:dyDescent="0.3">
      <c r="A343" s="28">
        <v>46134</v>
      </c>
      <c r="B343" s="24">
        <v>30</v>
      </c>
      <c r="C343" s="30" t="s">
        <v>35</v>
      </c>
      <c r="D343" s="1" t="s">
        <v>46</v>
      </c>
      <c r="E343" s="1" t="s">
        <v>60</v>
      </c>
      <c r="F343" s="1">
        <v>1</v>
      </c>
      <c r="G343" s="33" t="e">
        <f>VLOOKUP(E343,ACTIVIDADES!A344:D356,2)</f>
        <v>#N/A</v>
      </c>
    </row>
    <row r="344" spans="1:7" x14ac:dyDescent="0.3">
      <c r="A344" s="28">
        <v>46134</v>
      </c>
      <c r="B344" s="24">
        <v>31</v>
      </c>
      <c r="C344" s="30" t="s">
        <v>9</v>
      </c>
      <c r="D344" s="1" t="s">
        <v>46</v>
      </c>
      <c r="E344" s="1" t="s">
        <v>60</v>
      </c>
      <c r="F344" s="1">
        <v>1</v>
      </c>
      <c r="G344" s="33" t="e">
        <f>VLOOKUP(E344,ACTIVIDADES!A345:D357,2)</f>
        <v>#N/A</v>
      </c>
    </row>
    <row r="345" spans="1:7" x14ac:dyDescent="0.3">
      <c r="A345" s="28">
        <v>46134</v>
      </c>
      <c r="B345" s="24">
        <v>32</v>
      </c>
      <c r="C345" s="30" t="s">
        <v>37</v>
      </c>
      <c r="D345" s="1" t="s">
        <v>46</v>
      </c>
      <c r="E345" s="1" t="s">
        <v>60</v>
      </c>
      <c r="F345" s="1">
        <v>1</v>
      </c>
      <c r="G345" s="33" t="e">
        <f>VLOOKUP(E345,ACTIVIDADES!A346:D358,2)</f>
        <v>#N/A</v>
      </c>
    </row>
    <row r="346" spans="1:7" x14ac:dyDescent="0.3">
      <c r="A346" s="28">
        <v>46134</v>
      </c>
      <c r="B346" s="24">
        <v>33</v>
      </c>
      <c r="C346" s="30" t="s">
        <v>7</v>
      </c>
      <c r="D346" s="1" t="s">
        <v>46</v>
      </c>
      <c r="E346" s="1" t="s">
        <v>60</v>
      </c>
      <c r="F346" s="1">
        <v>1</v>
      </c>
      <c r="G346" s="33" t="e">
        <f>VLOOKUP(E346,ACTIVIDADES!A347:D359,2)</f>
        <v>#N/A</v>
      </c>
    </row>
    <row r="347" spans="1:7" x14ac:dyDescent="0.3">
      <c r="A347" s="28">
        <v>46134</v>
      </c>
      <c r="B347" s="24">
        <v>34</v>
      </c>
      <c r="C347" s="30" t="s">
        <v>143</v>
      </c>
      <c r="D347" s="1"/>
      <c r="E347" s="1"/>
      <c r="F347" s="1"/>
      <c r="G347" s="33" t="e">
        <f>VLOOKUP(E347,ACTIVIDADES!A348:D360,2)</f>
        <v>#N/A</v>
      </c>
    </row>
    <row r="348" spans="1:7" x14ac:dyDescent="0.3">
      <c r="A348" s="28">
        <v>46134</v>
      </c>
      <c r="B348" s="24">
        <v>35</v>
      </c>
      <c r="C348" s="29" t="s">
        <v>40</v>
      </c>
      <c r="D348" s="1" t="s">
        <v>46</v>
      </c>
      <c r="E348" s="1" t="s">
        <v>60</v>
      </c>
      <c r="F348" s="1">
        <v>1</v>
      </c>
      <c r="G348" s="33" t="e">
        <f>VLOOKUP(E348,ACTIVIDADES!A349:D361,2)</f>
        <v>#N/A</v>
      </c>
    </row>
    <row r="349" spans="1:7" x14ac:dyDescent="0.3">
      <c r="A349" s="28">
        <v>46134</v>
      </c>
      <c r="B349" s="24">
        <v>36</v>
      </c>
      <c r="C349" s="29" t="s">
        <v>41</v>
      </c>
      <c r="D349" s="1" t="s">
        <v>46</v>
      </c>
      <c r="E349" s="1" t="s">
        <v>60</v>
      </c>
      <c r="F349" s="1">
        <v>1</v>
      </c>
      <c r="G349" s="33" t="e">
        <f>VLOOKUP(E349,ACTIVIDADES!A350:D362,2)</f>
        <v>#N/A</v>
      </c>
    </row>
    <row r="350" spans="1:7" x14ac:dyDescent="0.3">
      <c r="A350" s="28">
        <v>46134</v>
      </c>
      <c r="B350" s="24">
        <v>37</v>
      </c>
      <c r="C350" s="30" t="s">
        <v>42</v>
      </c>
      <c r="D350" s="1" t="s">
        <v>46</v>
      </c>
      <c r="E350" s="1" t="s">
        <v>60</v>
      </c>
      <c r="F350" s="1">
        <v>1</v>
      </c>
      <c r="G350" s="33" t="e">
        <f>VLOOKUP(E350,ACTIVIDADES!A351:D363,2)</f>
        <v>#N/A</v>
      </c>
    </row>
    <row r="351" spans="1:7" x14ac:dyDescent="0.3">
      <c r="A351" s="28">
        <v>46134</v>
      </c>
      <c r="B351" s="24">
        <v>38</v>
      </c>
      <c r="C351" s="30" t="s">
        <v>43</v>
      </c>
      <c r="D351" s="1" t="s">
        <v>46</v>
      </c>
      <c r="E351" s="1" t="s">
        <v>60</v>
      </c>
      <c r="F351" s="1">
        <v>1</v>
      </c>
      <c r="G351" s="33" t="e">
        <f>VLOOKUP(E351,ACTIVIDADES!A352:D364,2)</f>
        <v>#N/A</v>
      </c>
    </row>
    <row r="352" spans="1:7" x14ac:dyDescent="0.3">
      <c r="A352" s="28">
        <v>46134</v>
      </c>
      <c r="B352" s="24">
        <v>39</v>
      </c>
      <c r="C352" s="29" t="s">
        <v>44</v>
      </c>
      <c r="D352" s="1" t="s">
        <v>46</v>
      </c>
      <c r="E352" s="1" t="s">
        <v>50</v>
      </c>
      <c r="F352" s="1">
        <v>1</v>
      </c>
      <c r="G352" s="33" t="e">
        <f>VLOOKUP(E352,ACTIVIDADES!A353:D365,2)</f>
        <v>#N/A</v>
      </c>
    </row>
    <row r="353" spans="1:7" x14ac:dyDescent="0.3">
      <c r="A353" s="28">
        <v>46135</v>
      </c>
      <c r="B353" s="24">
        <v>1</v>
      </c>
      <c r="C353" s="29" t="s">
        <v>6</v>
      </c>
      <c r="D353" s="1" t="s">
        <v>49</v>
      </c>
      <c r="E353" s="1" t="s">
        <v>49</v>
      </c>
      <c r="F353" s="1">
        <v>1</v>
      </c>
      <c r="G353" s="33" t="e">
        <f>VLOOKUP(E353,ACTIVIDADES!A354:D366,2)</f>
        <v>#N/A</v>
      </c>
    </row>
    <row r="354" spans="1:7" x14ac:dyDescent="0.3">
      <c r="A354" s="28">
        <v>46135</v>
      </c>
      <c r="B354" s="24">
        <v>2</v>
      </c>
      <c r="C354" s="29" t="s">
        <v>10</v>
      </c>
      <c r="D354" s="1" t="s">
        <v>49</v>
      </c>
      <c r="E354" s="1" t="s">
        <v>49</v>
      </c>
      <c r="F354" s="1">
        <v>1</v>
      </c>
      <c r="G354" s="33" t="e">
        <f>VLOOKUP(E354,ACTIVIDADES!A355:D367,2)</f>
        <v>#N/A</v>
      </c>
    </row>
    <row r="355" spans="1:7" x14ac:dyDescent="0.3">
      <c r="A355" s="28">
        <v>46135</v>
      </c>
      <c r="B355" s="24">
        <v>3</v>
      </c>
      <c r="C355" s="29" t="s">
        <v>22</v>
      </c>
      <c r="D355" s="1" t="s">
        <v>48</v>
      </c>
      <c r="E355" s="1" t="s">
        <v>48</v>
      </c>
      <c r="F355" s="1">
        <v>1</v>
      </c>
      <c r="G355" s="33" t="e">
        <f>VLOOKUP(E355,ACTIVIDADES!A356:D368,2)</f>
        <v>#N/A</v>
      </c>
    </row>
    <row r="356" spans="1:7" x14ac:dyDescent="0.3">
      <c r="A356" s="28">
        <v>46135</v>
      </c>
      <c r="B356" s="24">
        <v>4</v>
      </c>
      <c r="C356" s="29" t="s">
        <v>36</v>
      </c>
      <c r="D356" s="1" t="s">
        <v>51</v>
      </c>
      <c r="E356" s="1" t="s">
        <v>50</v>
      </c>
      <c r="F356" s="1">
        <v>1</v>
      </c>
      <c r="G356" s="33" t="e">
        <f>VLOOKUP(E356,ACTIVIDADES!A357:D369,2)</f>
        <v>#N/A</v>
      </c>
    </row>
    <row r="357" spans="1:7" x14ac:dyDescent="0.3">
      <c r="A357" s="28">
        <v>46135</v>
      </c>
      <c r="B357" s="24">
        <v>5</v>
      </c>
      <c r="C357" s="29" t="s">
        <v>38</v>
      </c>
      <c r="D357" s="1" t="s">
        <v>50</v>
      </c>
      <c r="E357" s="1" t="s">
        <v>50</v>
      </c>
      <c r="F357" s="1">
        <v>1</v>
      </c>
      <c r="G357" s="33" t="e">
        <f>VLOOKUP(E357,ACTIVIDADES!A358:D370,2)</f>
        <v>#N/A</v>
      </c>
    </row>
    <row r="358" spans="1:7" x14ac:dyDescent="0.3">
      <c r="A358" s="28">
        <v>46135</v>
      </c>
      <c r="B358" s="24">
        <v>6</v>
      </c>
      <c r="C358" s="30" t="s">
        <v>11</v>
      </c>
      <c r="D358" s="1" t="s">
        <v>46</v>
      </c>
      <c r="E358" s="1" t="s">
        <v>60</v>
      </c>
      <c r="F358" s="1">
        <v>1</v>
      </c>
      <c r="G358" s="33" t="e">
        <f>VLOOKUP(E358,ACTIVIDADES!A359:D371,2)</f>
        <v>#N/A</v>
      </c>
    </row>
    <row r="359" spans="1:7" x14ac:dyDescent="0.3">
      <c r="A359" s="28">
        <v>46135</v>
      </c>
      <c r="B359" s="24">
        <v>7</v>
      </c>
      <c r="C359" s="29" t="s">
        <v>12</v>
      </c>
      <c r="D359" s="1" t="s">
        <v>46</v>
      </c>
      <c r="E359" s="1" t="s">
        <v>60</v>
      </c>
      <c r="F359" s="1">
        <v>1</v>
      </c>
      <c r="G359" s="33" t="e">
        <f>VLOOKUP(E359,ACTIVIDADES!A360:D372,2)</f>
        <v>#N/A</v>
      </c>
    </row>
    <row r="360" spans="1:7" x14ac:dyDescent="0.3">
      <c r="A360" s="28">
        <v>46135</v>
      </c>
      <c r="B360" s="24">
        <v>8</v>
      </c>
      <c r="C360" s="30" t="s">
        <v>13</v>
      </c>
      <c r="D360" s="1" t="s">
        <v>46</v>
      </c>
      <c r="E360" s="1" t="s">
        <v>50</v>
      </c>
      <c r="F360" s="1">
        <v>1</v>
      </c>
      <c r="G360" s="33" t="e">
        <f>VLOOKUP(E360,ACTIVIDADES!A361:D373,2)</f>
        <v>#N/A</v>
      </c>
    </row>
    <row r="361" spans="1:7" x14ac:dyDescent="0.3">
      <c r="A361" s="28">
        <v>46135</v>
      </c>
      <c r="B361" s="24">
        <v>9</v>
      </c>
      <c r="C361" s="29" t="s">
        <v>14</v>
      </c>
      <c r="D361" s="1" t="s">
        <v>46</v>
      </c>
      <c r="E361" s="1" t="s">
        <v>60</v>
      </c>
      <c r="F361" s="1">
        <v>1</v>
      </c>
      <c r="G361" s="33" t="e">
        <f>VLOOKUP(E361,ACTIVIDADES!A362:D374,2)</f>
        <v>#N/A</v>
      </c>
    </row>
    <row r="362" spans="1:7" x14ac:dyDescent="0.3">
      <c r="A362" s="28">
        <v>46135</v>
      </c>
      <c r="B362" s="24">
        <v>10</v>
      </c>
      <c r="C362" s="30" t="s">
        <v>15</v>
      </c>
      <c r="D362" s="1" t="s">
        <v>46</v>
      </c>
      <c r="E362" s="1" t="s">
        <v>50</v>
      </c>
      <c r="F362" s="1">
        <v>1</v>
      </c>
      <c r="G362" s="33" t="e">
        <f>VLOOKUP(E362,ACTIVIDADES!A363:D375,2)</f>
        <v>#N/A</v>
      </c>
    </row>
    <row r="363" spans="1:7" x14ac:dyDescent="0.3">
      <c r="A363" s="28">
        <v>46135</v>
      </c>
      <c r="B363" s="24">
        <v>11</v>
      </c>
      <c r="C363" s="29" t="s">
        <v>16</v>
      </c>
      <c r="D363" s="1"/>
      <c r="E363" s="1"/>
      <c r="F363" s="1"/>
      <c r="G363" s="33" t="e">
        <f>VLOOKUP(E363,ACTIVIDADES!A364:D376,2)</f>
        <v>#N/A</v>
      </c>
    </row>
    <row r="364" spans="1:7" x14ac:dyDescent="0.3">
      <c r="A364" s="28">
        <v>46135</v>
      </c>
      <c r="B364" s="24">
        <v>12</v>
      </c>
      <c r="C364" s="30" t="s">
        <v>17</v>
      </c>
      <c r="D364" s="1" t="s">
        <v>46</v>
      </c>
      <c r="E364" s="1" t="s">
        <v>60</v>
      </c>
      <c r="F364" s="1">
        <v>1</v>
      </c>
      <c r="G364" s="33" t="e">
        <f>VLOOKUP(E364,ACTIVIDADES!A365:D377,2)</f>
        <v>#N/A</v>
      </c>
    </row>
    <row r="365" spans="1:7" x14ac:dyDescent="0.3">
      <c r="A365" s="28">
        <v>46135</v>
      </c>
      <c r="B365" s="24">
        <v>13</v>
      </c>
      <c r="C365" s="29" t="s">
        <v>18</v>
      </c>
      <c r="D365" s="1" t="s">
        <v>46</v>
      </c>
      <c r="E365" s="1" t="s">
        <v>60</v>
      </c>
      <c r="F365" s="1">
        <v>1</v>
      </c>
      <c r="G365" s="33" t="e">
        <f>VLOOKUP(E365,ACTIVIDADES!A366:D378,2)</f>
        <v>#N/A</v>
      </c>
    </row>
    <row r="366" spans="1:7" x14ac:dyDescent="0.3">
      <c r="A366" s="28">
        <v>46135</v>
      </c>
      <c r="B366" s="24">
        <v>14</v>
      </c>
      <c r="C366" s="30" t="s">
        <v>19</v>
      </c>
      <c r="D366" s="1" t="s">
        <v>46</v>
      </c>
      <c r="E366" s="1" t="s">
        <v>60</v>
      </c>
      <c r="F366" s="1">
        <v>1</v>
      </c>
      <c r="G366" s="33" t="e">
        <f>VLOOKUP(E366,ACTIVIDADES!A367:D379,2)</f>
        <v>#N/A</v>
      </c>
    </row>
    <row r="367" spans="1:7" x14ac:dyDescent="0.3">
      <c r="A367" s="28">
        <v>46135</v>
      </c>
      <c r="B367" s="24">
        <v>15</v>
      </c>
      <c r="C367" s="29" t="s">
        <v>20</v>
      </c>
      <c r="D367" s="1" t="s">
        <v>53</v>
      </c>
      <c r="E367" s="1" t="s">
        <v>53</v>
      </c>
      <c r="F367" s="1">
        <v>1</v>
      </c>
      <c r="G367" s="33" t="e">
        <f>VLOOKUP(E367,ACTIVIDADES!A368:D380,2)</f>
        <v>#N/A</v>
      </c>
    </row>
    <row r="368" spans="1:7" x14ac:dyDescent="0.3">
      <c r="A368" s="28">
        <v>46135</v>
      </c>
      <c r="B368" s="24">
        <v>16</v>
      </c>
      <c r="C368" s="30" t="s">
        <v>21</v>
      </c>
      <c r="D368" s="1" t="s">
        <v>46</v>
      </c>
      <c r="E368" s="1" t="s">
        <v>60</v>
      </c>
      <c r="F368" s="1">
        <v>1</v>
      </c>
      <c r="G368" s="33" t="e">
        <f>VLOOKUP(E368,ACTIVIDADES!A369:D381,2)</f>
        <v>#N/A</v>
      </c>
    </row>
    <row r="369" spans="1:7" x14ac:dyDescent="0.3">
      <c r="A369" s="28">
        <v>46135</v>
      </c>
      <c r="B369" s="24">
        <v>17</v>
      </c>
      <c r="C369" s="29" t="s">
        <v>8</v>
      </c>
      <c r="D369" s="1" t="s">
        <v>46</v>
      </c>
      <c r="E369" s="1" t="s">
        <v>60</v>
      </c>
      <c r="F369" s="1">
        <v>1</v>
      </c>
      <c r="G369" s="33" t="e">
        <f>VLOOKUP(E369,ACTIVIDADES!A370:D382,2)</f>
        <v>#N/A</v>
      </c>
    </row>
    <row r="370" spans="1:7" x14ac:dyDescent="0.3">
      <c r="A370" s="28">
        <v>46135</v>
      </c>
      <c r="B370" s="24">
        <v>18</v>
      </c>
      <c r="C370" s="30" t="s">
        <v>23</v>
      </c>
      <c r="D370" s="1" t="s">
        <v>46</v>
      </c>
      <c r="E370" s="1" t="s">
        <v>60</v>
      </c>
      <c r="F370" s="1">
        <v>1</v>
      </c>
      <c r="G370" s="33" t="e">
        <f>VLOOKUP(E370,ACTIVIDADES!A371:D383,2)</f>
        <v>#N/A</v>
      </c>
    </row>
    <row r="371" spans="1:7" x14ac:dyDescent="0.3">
      <c r="A371" s="28">
        <v>46135</v>
      </c>
      <c r="B371" s="24">
        <v>19</v>
      </c>
      <c r="C371" s="29" t="s">
        <v>24</v>
      </c>
      <c r="D371" s="1" t="s">
        <v>46</v>
      </c>
      <c r="E371" s="1" t="s">
        <v>60</v>
      </c>
      <c r="F371" s="1">
        <v>1</v>
      </c>
      <c r="G371" s="33" t="e">
        <f>VLOOKUP(E371,ACTIVIDADES!A372:D384,2)</f>
        <v>#N/A</v>
      </c>
    </row>
    <row r="372" spans="1:7" x14ac:dyDescent="0.3">
      <c r="A372" s="28">
        <v>46135</v>
      </c>
      <c r="B372" s="24">
        <v>20</v>
      </c>
      <c r="C372" s="30" t="s">
        <v>25</v>
      </c>
      <c r="D372" s="1" t="s">
        <v>46</v>
      </c>
      <c r="E372" s="1" t="s">
        <v>60</v>
      </c>
      <c r="F372" s="1">
        <v>1</v>
      </c>
      <c r="G372" s="33" t="e">
        <f>VLOOKUP(E372,ACTIVIDADES!A373:D385,2)</f>
        <v>#N/A</v>
      </c>
    </row>
    <row r="373" spans="1:7" x14ac:dyDescent="0.3">
      <c r="A373" s="28">
        <v>46135</v>
      </c>
      <c r="B373" s="24">
        <v>21</v>
      </c>
      <c r="C373" s="29" t="s">
        <v>26</v>
      </c>
      <c r="D373" s="1" t="s">
        <v>46</v>
      </c>
      <c r="E373" s="1" t="s">
        <v>60</v>
      </c>
      <c r="F373" s="1">
        <v>1</v>
      </c>
      <c r="G373" s="33" t="e">
        <f>VLOOKUP(E373,ACTIVIDADES!A374:D386,2)</f>
        <v>#N/A</v>
      </c>
    </row>
    <row r="374" spans="1:7" x14ac:dyDescent="0.3">
      <c r="A374" s="28">
        <v>46135</v>
      </c>
      <c r="B374" s="24">
        <v>22</v>
      </c>
      <c r="C374" s="30" t="s">
        <v>27</v>
      </c>
      <c r="D374" s="1" t="s">
        <v>46</v>
      </c>
      <c r="E374" s="1" t="s">
        <v>60</v>
      </c>
      <c r="F374" s="1">
        <v>1</v>
      </c>
      <c r="G374" s="33" t="e">
        <f>VLOOKUP(E374,ACTIVIDADES!A375:D387,2)</f>
        <v>#N/A</v>
      </c>
    </row>
    <row r="375" spans="1:7" x14ac:dyDescent="0.3">
      <c r="A375" s="28">
        <v>46135</v>
      </c>
      <c r="B375" s="24">
        <v>23</v>
      </c>
      <c r="C375" s="29" t="s">
        <v>28</v>
      </c>
      <c r="D375" s="1" t="s">
        <v>46</v>
      </c>
      <c r="E375" s="1" t="s">
        <v>60</v>
      </c>
      <c r="F375" s="1">
        <v>1</v>
      </c>
      <c r="G375" s="33" t="e">
        <f>VLOOKUP(E375,ACTIVIDADES!A376:D388,2)</f>
        <v>#N/A</v>
      </c>
    </row>
    <row r="376" spans="1:7" x14ac:dyDescent="0.3">
      <c r="A376" s="28">
        <v>46135</v>
      </c>
      <c r="B376" s="24">
        <v>24</v>
      </c>
      <c r="C376" s="30" t="s">
        <v>29</v>
      </c>
      <c r="D376" s="1" t="s">
        <v>46</v>
      </c>
      <c r="E376" s="1" t="s">
        <v>60</v>
      </c>
      <c r="F376" s="1">
        <v>1</v>
      </c>
      <c r="G376" s="33" t="e">
        <f>VLOOKUP(E376,ACTIVIDADES!A377:D389,2)</f>
        <v>#N/A</v>
      </c>
    </row>
    <row r="377" spans="1:7" x14ac:dyDescent="0.3">
      <c r="A377" s="28">
        <v>46135</v>
      </c>
      <c r="B377" s="24">
        <v>25</v>
      </c>
      <c r="C377" s="29" t="s">
        <v>30</v>
      </c>
      <c r="D377" s="1" t="s">
        <v>46</v>
      </c>
      <c r="E377" s="1" t="s">
        <v>50</v>
      </c>
      <c r="F377" s="1">
        <v>1</v>
      </c>
      <c r="G377" s="33" t="e">
        <f>VLOOKUP(E377,ACTIVIDADES!A378:D390,2)</f>
        <v>#N/A</v>
      </c>
    </row>
    <row r="378" spans="1:7" x14ac:dyDescent="0.3">
      <c r="A378" s="28">
        <v>46135</v>
      </c>
      <c r="B378" s="24">
        <v>26</v>
      </c>
      <c r="C378" s="30" t="s">
        <v>31</v>
      </c>
      <c r="D378" s="1" t="s">
        <v>46</v>
      </c>
      <c r="E378" s="1" t="s">
        <v>60</v>
      </c>
      <c r="F378" s="1">
        <v>1</v>
      </c>
      <c r="G378" s="33" t="e">
        <f>VLOOKUP(E378,ACTIVIDADES!A379:D391,2)</f>
        <v>#N/A</v>
      </c>
    </row>
    <row r="379" spans="1:7" x14ac:dyDescent="0.3">
      <c r="A379" s="28">
        <v>46135</v>
      </c>
      <c r="B379" s="24">
        <v>27</v>
      </c>
      <c r="C379" s="29" t="s">
        <v>32</v>
      </c>
      <c r="D379" s="1" t="s">
        <v>46</v>
      </c>
      <c r="E379" s="1" t="s">
        <v>60</v>
      </c>
      <c r="F379" s="1">
        <v>1</v>
      </c>
      <c r="G379" s="33" t="e">
        <f>VLOOKUP(E379,ACTIVIDADES!A380:D392,2)</f>
        <v>#N/A</v>
      </c>
    </row>
    <row r="380" spans="1:7" x14ac:dyDescent="0.3">
      <c r="A380" s="28">
        <v>46135</v>
      </c>
      <c r="B380" s="24">
        <v>28</v>
      </c>
      <c r="C380" s="30" t="s">
        <v>33</v>
      </c>
      <c r="D380" s="1" t="s">
        <v>46</v>
      </c>
      <c r="E380" s="1" t="s">
        <v>60</v>
      </c>
      <c r="F380" s="1">
        <v>1</v>
      </c>
      <c r="G380" s="33" t="e">
        <f>VLOOKUP(E380,ACTIVIDADES!A381:D393,2)</f>
        <v>#N/A</v>
      </c>
    </row>
    <row r="381" spans="1:7" x14ac:dyDescent="0.3">
      <c r="A381" s="28">
        <v>46135</v>
      </c>
      <c r="B381" s="24">
        <v>29</v>
      </c>
      <c r="C381" s="29" t="s">
        <v>34</v>
      </c>
      <c r="D381" s="1" t="s">
        <v>46</v>
      </c>
      <c r="E381" s="1" t="s">
        <v>60</v>
      </c>
      <c r="F381" s="1">
        <v>1</v>
      </c>
      <c r="G381" s="33" t="e">
        <f>VLOOKUP(E381,ACTIVIDADES!A382:D394,2)</f>
        <v>#N/A</v>
      </c>
    </row>
    <row r="382" spans="1:7" x14ac:dyDescent="0.3">
      <c r="A382" s="28">
        <v>46135</v>
      </c>
      <c r="B382" s="24">
        <v>30</v>
      </c>
      <c r="C382" s="30" t="s">
        <v>35</v>
      </c>
      <c r="D382" s="1" t="s">
        <v>46</v>
      </c>
      <c r="E382" s="1" t="s">
        <v>60</v>
      </c>
      <c r="F382" s="1">
        <v>1</v>
      </c>
      <c r="G382" s="33" t="e">
        <f>VLOOKUP(E382,ACTIVIDADES!A383:D395,2)</f>
        <v>#N/A</v>
      </c>
    </row>
    <row r="383" spans="1:7" x14ac:dyDescent="0.3">
      <c r="A383" s="28">
        <v>46135</v>
      </c>
      <c r="B383" s="24">
        <v>31</v>
      </c>
      <c r="C383" s="30" t="s">
        <v>9</v>
      </c>
      <c r="D383" s="1" t="s">
        <v>46</v>
      </c>
      <c r="E383" s="1" t="s">
        <v>60</v>
      </c>
      <c r="F383" s="1">
        <v>1</v>
      </c>
      <c r="G383" s="33" t="e">
        <f>VLOOKUP(E383,ACTIVIDADES!A384:D396,2)</f>
        <v>#N/A</v>
      </c>
    </row>
    <row r="384" spans="1:7" x14ac:dyDescent="0.3">
      <c r="A384" s="28">
        <v>46135</v>
      </c>
      <c r="B384" s="24">
        <v>32</v>
      </c>
      <c r="C384" s="30" t="s">
        <v>37</v>
      </c>
      <c r="D384" s="1" t="s">
        <v>46</v>
      </c>
      <c r="E384" s="1" t="s">
        <v>60</v>
      </c>
      <c r="F384" s="1">
        <v>1</v>
      </c>
      <c r="G384" s="33" t="e">
        <f>VLOOKUP(E384,ACTIVIDADES!A385:D397,2)</f>
        <v>#N/A</v>
      </c>
    </row>
    <row r="385" spans="1:7" x14ac:dyDescent="0.3">
      <c r="A385" s="28">
        <v>46135</v>
      </c>
      <c r="B385" s="24">
        <v>33</v>
      </c>
      <c r="C385" s="30" t="s">
        <v>7</v>
      </c>
      <c r="D385" s="1" t="s">
        <v>46</v>
      </c>
      <c r="E385" s="1" t="s">
        <v>60</v>
      </c>
      <c r="F385" s="1">
        <v>1</v>
      </c>
      <c r="G385" s="33" t="e">
        <f>VLOOKUP(E385,ACTIVIDADES!A386:D398,2)</f>
        <v>#N/A</v>
      </c>
    </row>
    <row r="386" spans="1:7" x14ac:dyDescent="0.3">
      <c r="A386" s="28">
        <v>46135</v>
      </c>
      <c r="B386" s="24">
        <v>34</v>
      </c>
      <c r="C386" s="30" t="s">
        <v>143</v>
      </c>
      <c r="D386" s="1"/>
      <c r="E386" s="1"/>
      <c r="F386" s="1"/>
      <c r="G386" s="33" t="e">
        <f>VLOOKUP(E386,ACTIVIDADES!A387:D399,2)</f>
        <v>#N/A</v>
      </c>
    </row>
    <row r="387" spans="1:7" x14ac:dyDescent="0.3">
      <c r="A387" s="28">
        <v>46135</v>
      </c>
      <c r="B387" s="24">
        <v>35</v>
      </c>
      <c r="C387" s="29" t="s">
        <v>40</v>
      </c>
      <c r="D387" s="1" t="s">
        <v>46</v>
      </c>
      <c r="E387" s="1" t="s">
        <v>60</v>
      </c>
      <c r="F387" s="1">
        <v>1</v>
      </c>
      <c r="G387" s="33" t="e">
        <f>VLOOKUP(E387,ACTIVIDADES!A388:D400,2)</f>
        <v>#N/A</v>
      </c>
    </row>
    <row r="388" spans="1:7" x14ac:dyDescent="0.3">
      <c r="A388" s="28">
        <v>46135</v>
      </c>
      <c r="B388" s="24">
        <v>36</v>
      </c>
      <c r="C388" s="29" t="s">
        <v>41</v>
      </c>
      <c r="D388" s="1"/>
      <c r="E388" s="1"/>
      <c r="F388" s="1"/>
      <c r="G388" s="33" t="e">
        <f>VLOOKUP(E388,ACTIVIDADES!A389:D401,2)</f>
        <v>#N/A</v>
      </c>
    </row>
    <row r="389" spans="1:7" x14ac:dyDescent="0.3">
      <c r="A389" s="28">
        <v>46135</v>
      </c>
      <c r="B389" s="24">
        <v>37</v>
      </c>
      <c r="C389" s="30" t="s">
        <v>42</v>
      </c>
      <c r="D389" s="1" t="s">
        <v>46</v>
      </c>
      <c r="E389" s="1" t="s">
        <v>60</v>
      </c>
      <c r="F389" s="1">
        <v>1</v>
      </c>
      <c r="G389" s="33" t="e">
        <f>VLOOKUP(E389,ACTIVIDADES!A390:D402,2)</f>
        <v>#N/A</v>
      </c>
    </row>
    <row r="390" spans="1:7" x14ac:dyDescent="0.3">
      <c r="A390" s="28">
        <v>46135</v>
      </c>
      <c r="B390" s="24">
        <v>38</v>
      </c>
      <c r="C390" s="30" t="s">
        <v>43</v>
      </c>
      <c r="D390" s="1" t="s">
        <v>46</v>
      </c>
      <c r="E390" s="1" t="s">
        <v>60</v>
      </c>
      <c r="F390" s="1">
        <v>1</v>
      </c>
      <c r="G390" s="33" t="e">
        <f>VLOOKUP(E390,ACTIVIDADES!A391:D403,2)</f>
        <v>#N/A</v>
      </c>
    </row>
    <row r="391" spans="1:7" x14ac:dyDescent="0.3">
      <c r="A391" s="28">
        <v>46135</v>
      </c>
      <c r="B391" s="24">
        <v>39</v>
      </c>
      <c r="C391" s="29" t="s">
        <v>44</v>
      </c>
      <c r="D391" s="1" t="s">
        <v>46</v>
      </c>
      <c r="E391" s="1" t="s">
        <v>60</v>
      </c>
      <c r="F391" s="1">
        <v>1</v>
      </c>
      <c r="G391" s="33" t="e">
        <f>VLOOKUP(E391,ACTIVIDADES!A392:D404,2)</f>
        <v>#N/A</v>
      </c>
    </row>
    <row r="392" spans="1:7" x14ac:dyDescent="0.3">
      <c r="A392" s="28">
        <v>46136</v>
      </c>
      <c r="B392" s="24">
        <v>1</v>
      </c>
      <c r="C392" s="29" t="s">
        <v>6</v>
      </c>
      <c r="D392" s="1" t="s">
        <v>49</v>
      </c>
      <c r="E392" s="1" t="s">
        <v>49</v>
      </c>
      <c r="F392" s="1">
        <v>1</v>
      </c>
      <c r="G392" s="33" t="e">
        <f>VLOOKUP(E392,ACTIVIDADES!A393:D405,2)</f>
        <v>#N/A</v>
      </c>
    </row>
    <row r="393" spans="1:7" x14ac:dyDescent="0.3">
      <c r="A393" s="28">
        <v>46136</v>
      </c>
      <c r="B393" s="24">
        <v>2</v>
      </c>
      <c r="C393" s="29" t="s">
        <v>10</v>
      </c>
      <c r="D393" s="1" t="s">
        <v>49</v>
      </c>
      <c r="E393" s="1" t="s">
        <v>49</v>
      </c>
      <c r="F393" s="1">
        <v>1</v>
      </c>
      <c r="G393" s="33" t="e">
        <f>VLOOKUP(E393,ACTIVIDADES!A394:D406,2)</f>
        <v>#N/A</v>
      </c>
    </row>
    <row r="394" spans="1:7" x14ac:dyDescent="0.3">
      <c r="A394" s="28">
        <v>46136</v>
      </c>
      <c r="B394" s="24">
        <v>3</v>
      </c>
      <c r="C394" s="29" t="s">
        <v>22</v>
      </c>
      <c r="D394" s="1" t="s">
        <v>48</v>
      </c>
      <c r="E394" s="1" t="s">
        <v>48</v>
      </c>
      <c r="F394" s="1">
        <v>1</v>
      </c>
      <c r="G394" s="33" t="e">
        <f>VLOOKUP(E394,ACTIVIDADES!A395:D407,2)</f>
        <v>#N/A</v>
      </c>
    </row>
    <row r="395" spans="1:7" x14ac:dyDescent="0.3">
      <c r="A395" s="28">
        <v>46136</v>
      </c>
      <c r="B395" s="24">
        <v>4</v>
      </c>
      <c r="C395" s="29" t="s">
        <v>36</v>
      </c>
      <c r="D395" s="1" t="s">
        <v>51</v>
      </c>
      <c r="E395" s="1" t="s">
        <v>50</v>
      </c>
      <c r="F395" s="1">
        <v>1</v>
      </c>
      <c r="G395" s="33" t="e">
        <f>VLOOKUP(E395,ACTIVIDADES!A396:D408,2)</f>
        <v>#N/A</v>
      </c>
    </row>
    <row r="396" spans="1:7" x14ac:dyDescent="0.3">
      <c r="A396" s="28">
        <v>46136</v>
      </c>
      <c r="B396" s="24">
        <v>5</v>
      </c>
      <c r="C396" s="29" t="s">
        <v>38</v>
      </c>
      <c r="D396" s="1" t="s">
        <v>50</v>
      </c>
      <c r="E396" s="1" t="s">
        <v>50</v>
      </c>
      <c r="F396" s="1">
        <v>1</v>
      </c>
      <c r="G396" s="33" t="e">
        <f>VLOOKUP(E396,ACTIVIDADES!A397:D409,2)</f>
        <v>#N/A</v>
      </c>
    </row>
    <row r="397" spans="1:7" x14ac:dyDescent="0.3">
      <c r="A397" s="28">
        <v>46136</v>
      </c>
      <c r="B397" s="24">
        <v>6</v>
      </c>
      <c r="C397" s="30" t="s">
        <v>11</v>
      </c>
      <c r="D397" s="1" t="s">
        <v>46</v>
      </c>
      <c r="E397" s="1" t="s">
        <v>61</v>
      </c>
      <c r="F397" s="1">
        <v>1</v>
      </c>
      <c r="G397" s="33" t="e">
        <f>VLOOKUP(E397,ACTIVIDADES!A398:D410,2)</f>
        <v>#N/A</v>
      </c>
    </row>
    <row r="398" spans="1:7" x14ac:dyDescent="0.3">
      <c r="A398" s="28">
        <v>46136</v>
      </c>
      <c r="B398" s="24">
        <v>7</v>
      </c>
      <c r="C398" s="29" t="s">
        <v>12</v>
      </c>
      <c r="D398" s="1" t="s">
        <v>46</v>
      </c>
      <c r="E398" s="1" t="s">
        <v>61</v>
      </c>
      <c r="F398" s="1">
        <v>1</v>
      </c>
      <c r="G398" s="33" t="e">
        <f>VLOOKUP(E398,ACTIVIDADES!A399:D411,2)</f>
        <v>#N/A</v>
      </c>
    </row>
    <row r="399" spans="1:7" x14ac:dyDescent="0.3">
      <c r="A399" s="28">
        <v>46136</v>
      </c>
      <c r="B399" s="24">
        <v>8</v>
      </c>
      <c r="C399" s="30" t="s">
        <v>13</v>
      </c>
      <c r="D399" s="1" t="s">
        <v>46</v>
      </c>
      <c r="E399" s="1" t="s">
        <v>61</v>
      </c>
      <c r="F399" s="1">
        <v>1</v>
      </c>
      <c r="G399" s="33" t="e">
        <f>VLOOKUP(E399,ACTIVIDADES!A400:D412,2)</f>
        <v>#N/A</v>
      </c>
    </row>
    <row r="400" spans="1:7" x14ac:dyDescent="0.3">
      <c r="A400" s="28">
        <v>46136</v>
      </c>
      <c r="B400" s="24">
        <v>9</v>
      </c>
      <c r="C400" s="29" t="s">
        <v>14</v>
      </c>
      <c r="D400" s="1" t="s">
        <v>46</v>
      </c>
      <c r="E400" s="1" t="s">
        <v>61</v>
      </c>
      <c r="F400" s="1">
        <v>1</v>
      </c>
      <c r="G400" s="33" t="e">
        <f>VLOOKUP(E400,ACTIVIDADES!A401:D413,2)</f>
        <v>#N/A</v>
      </c>
    </row>
    <row r="401" spans="1:7" x14ac:dyDescent="0.3">
      <c r="A401" s="28">
        <v>46136</v>
      </c>
      <c r="B401" s="24">
        <v>10</v>
      </c>
      <c r="C401" s="30" t="s">
        <v>15</v>
      </c>
      <c r="D401" s="1" t="s">
        <v>46</v>
      </c>
      <c r="E401" s="1" t="s">
        <v>50</v>
      </c>
      <c r="F401" s="1">
        <v>1</v>
      </c>
      <c r="G401" s="33" t="e">
        <f>VLOOKUP(E401,ACTIVIDADES!A402:D414,2)</f>
        <v>#N/A</v>
      </c>
    </row>
    <row r="402" spans="1:7" x14ac:dyDescent="0.3">
      <c r="A402" s="28">
        <v>46136</v>
      </c>
      <c r="B402" s="24">
        <v>11</v>
      </c>
      <c r="C402" s="29" t="s">
        <v>16</v>
      </c>
      <c r="D402" s="1"/>
      <c r="E402" s="1"/>
      <c r="F402" s="1"/>
      <c r="G402" s="33" t="e">
        <f>VLOOKUP(E402,ACTIVIDADES!A403:D415,2)</f>
        <v>#N/A</v>
      </c>
    </row>
    <row r="403" spans="1:7" x14ac:dyDescent="0.3">
      <c r="A403" s="28">
        <v>46136</v>
      </c>
      <c r="B403" s="24">
        <v>12</v>
      </c>
      <c r="C403" s="30" t="s">
        <v>17</v>
      </c>
      <c r="D403" s="1" t="s">
        <v>46</v>
      </c>
      <c r="E403" s="1" t="s">
        <v>61</v>
      </c>
      <c r="F403" s="1">
        <v>1</v>
      </c>
      <c r="G403" s="33" t="e">
        <f>VLOOKUP(E403,ACTIVIDADES!A404:D416,2)</f>
        <v>#N/A</v>
      </c>
    </row>
    <row r="404" spans="1:7" x14ac:dyDescent="0.3">
      <c r="A404" s="28">
        <v>46136</v>
      </c>
      <c r="B404" s="24">
        <v>13</v>
      </c>
      <c r="C404" s="29" t="s">
        <v>18</v>
      </c>
      <c r="D404" s="1" t="s">
        <v>47</v>
      </c>
      <c r="E404" s="1" t="s">
        <v>50</v>
      </c>
      <c r="F404" s="1">
        <v>1</v>
      </c>
      <c r="G404" s="33" t="e">
        <f>VLOOKUP(E404,ACTIVIDADES!A405:D417,2)</f>
        <v>#N/A</v>
      </c>
    </row>
    <row r="405" spans="1:7" x14ac:dyDescent="0.3">
      <c r="A405" s="28">
        <v>46136</v>
      </c>
      <c r="B405" s="24">
        <v>14</v>
      </c>
      <c r="C405" s="30" t="s">
        <v>19</v>
      </c>
      <c r="D405" s="1" t="s">
        <v>46</v>
      </c>
      <c r="E405" s="1" t="s">
        <v>61</v>
      </c>
      <c r="F405" s="1">
        <v>1</v>
      </c>
      <c r="G405" s="33" t="e">
        <f>VLOOKUP(E405,ACTIVIDADES!A406:D418,2)</f>
        <v>#N/A</v>
      </c>
    </row>
    <row r="406" spans="1:7" x14ac:dyDescent="0.3">
      <c r="A406" s="28">
        <v>46136</v>
      </c>
      <c r="B406" s="24">
        <v>15</v>
      </c>
      <c r="C406" s="29" t="s">
        <v>20</v>
      </c>
      <c r="D406" s="1" t="s">
        <v>53</v>
      </c>
      <c r="E406" s="1" t="s">
        <v>62</v>
      </c>
      <c r="F406" s="1">
        <v>1</v>
      </c>
      <c r="G406" s="33" t="e">
        <f>VLOOKUP(E406,ACTIVIDADES!A407:D419,2)</f>
        <v>#N/A</v>
      </c>
    </row>
    <row r="407" spans="1:7" x14ac:dyDescent="0.3">
      <c r="A407" s="28">
        <v>46136</v>
      </c>
      <c r="B407" s="24">
        <v>16</v>
      </c>
      <c r="C407" s="30" t="s">
        <v>21</v>
      </c>
      <c r="D407" s="1" t="s">
        <v>46</v>
      </c>
      <c r="E407" s="1" t="s">
        <v>61</v>
      </c>
      <c r="F407" s="1">
        <v>1</v>
      </c>
      <c r="G407" s="33" t="e">
        <f>VLOOKUP(E407,ACTIVIDADES!A408:D420,2)</f>
        <v>#N/A</v>
      </c>
    </row>
    <row r="408" spans="1:7" x14ac:dyDescent="0.3">
      <c r="A408" s="28">
        <v>46136</v>
      </c>
      <c r="B408" s="24">
        <v>17</v>
      </c>
      <c r="C408" s="29" t="s">
        <v>8</v>
      </c>
      <c r="D408" s="1" t="s">
        <v>46</v>
      </c>
      <c r="E408" s="1" t="s">
        <v>61</v>
      </c>
      <c r="F408" s="1">
        <v>1</v>
      </c>
      <c r="G408" s="33" t="e">
        <f>VLOOKUP(E408,ACTIVIDADES!A409:D421,2)</f>
        <v>#N/A</v>
      </c>
    </row>
    <row r="409" spans="1:7" x14ac:dyDescent="0.3">
      <c r="A409" s="28">
        <v>46136</v>
      </c>
      <c r="B409" s="24">
        <v>18</v>
      </c>
      <c r="C409" s="30" t="s">
        <v>23</v>
      </c>
      <c r="D409" s="1" t="s">
        <v>46</v>
      </c>
      <c r="E409" s="1" t="s">
        <v>61</v>
      </c>
      <c r="F409" s="1">
        <v>1</v>
      </c>
      <c r="G409" s="33" t="e">
        <f>VLOOKUP(E409,ACTIVIDADES!A410:D422,2)</f>
        <v>#N/A</v>
      </c>
    </row>
    <row r="410" spans="1:7" x14ac:dyDescent="0.3">
      <c r="A410" s="28">
        <v>46136</v>
      </c>
      <c r="B410" s="24">
        <v>19</v>
      </c>
      <c r="C410" s="29" t="s">
        <v>24</v>
      </c>
      <c r="D410" s="1" t="s">
        <v>46</v>
      </c>
      <c r="E410" s="1" t="s">
        <v>61</v>
      </c>
      <c r="F410" s="1">
        <v>1</v>
      </c>
      <c r="G410" s="33" t="e">
        <f>VLOOKUP(E410,ACTIVIDADES!A411:D423,2)</f>
        <v>#N/A</v>
      </c>
    </row>
    <row r="411" spans="1:7" x14ac:dyDescent="0.3">
      <c r="A411" s="28">
        <v>46136</v>
      </c>
      <c r="B411" s="24">
        <v>20</v>
      </c>
      <c r="C411" s="30" t="s">
        <v>25</v>
      </c>
      <c r="D411" s="1" t="s">
        <v>46</v>
      </c>
      <c r="E411" s="1" t="s">
        <v>61</v>
      </c>
      <c r="F411" s="1">
        <v>1</v>
      </c>
      <c r="G411" s="33" t="e">
        <f>VLOOKUP(E411,ACTIVIDADES!A412:D424,2)</f>
        <v>#N/A</v>
      </c>
    </row>
    <row r="412" spans="1:7" x14ac:dyDescent="0.3">
      <c r="A412" s="28">
        <v>46136</v>
      </c>
      <c r="B412" s="24">
        <v>21</v>
      </c>
      <c r="C412" s="29" t="s">
        <v>26</v>
      </c>
      <c r="D412" s="1" t="s">
        <v>46</v>
      </c>
      <c r="E412" s="1" t="s">
        <v>61</v>
      </c>
      <c r="F412" s="1">
        <v>1</v>
      </c>
      <c r="G412" s="33" t="e">
        <f>VLOOKUP(E412,ACTIVIDADES!A413:D425,2)</f>
        <v>#N/A</v>
      </c>
    </row>
    <row r="413" spans="1:7" x14ac:dyDescent="0.3">
      <c r="A413" s="28">
        <v>46136</v>
      </c>
      <c r="B413" s="24">
        <v>22</v>
      </c>
      <c r="C413" s="30" t="s">
        <v>27</v>
      </c>
      <c r="D413" s="1" t="s">
        <v>46</v>
      </c>
      <c r="E413" s="1" t="s">
        <v>61</v>
      </c>
      <c r="F413" s="1">
        <v>1</v>
      </c>
      <c r="G413" s="33" t="e">
        <f>VLOOKUP(E413,ACTIVIDADES!A414:D426,2)</f>
        <v>#N/A</v>
      </c>
    </row>
    <row r="414" spans="1:7" x14ac:dyDescent="0.3">
      <c r="A414" s="28">
        <v>46136</v>
      </c>
      <c r="B414" s="24">
        <v>23</v>
      </c>
      <c r="C414" s="29" t="s">
        <v>28</v>
      </c>
      <c r="D414" s="1" t="s">
        <v>46</v>
      </c>
      <c r="E414" s="1" t="s">
        <v>61</v>
      </c>
      <c r="F414" s="1">
        <v>1</v>
      </c>
      <c r="G414" s="33" t="e">
        <f>VLOOKUP(E414,ACTIVIDADES!A415:D427,2)</f>
        <v>#N/A</v>
      </c>
    </row>
    <row r="415" spans="1:7" x14ac:dyDescent="0.3">
      <c r="A415" s="28">
        <v>46136</v>
      </c>
      <c r="B415" s="24">
        <v>24</v>
      </c>
      <c r="C415" s="30" t="s">
        <v>29</v>
      </c>
      <c r="D415" s="1" t="s">
        <v>46</v>
      </c>
      <c r="E415" s="1" t="s">
        <v>61</v>
      </c>
      <c r="F415" s="1">
        <v>1</v>
      </c>
      <c r="G415" s="33" t="e">
        <f>VLOOKUP(E415,ACTIVIDADES!A416:D428,2)</f>
        <v>#N/A</v>
      </c>
    </row>
    <row r="416" spans="1:7" x14ac:dyDescent="0.3">
      <c r="A416" s="28">
        <v>46136</v>
      </c>
      <c r="B416" s="24">
        <v>25</v>
      </c>
      <c r="C416" s="29" t="s">
        <v>30</v>
      </c>
      <c r="D416" s="1" t="s">
        <v>46</v>
      </c>
      <c r="E416" s="1" t="s">
        <v>61</v>
      </c>
      <c r="F416" s="1">
        <v>1</v>
      </c>
      <c r="G416" s="33" t="e">
        <f>VLOOKUP(E416,ACTIVIDADES!A417:D429,2)</f>
        <v>#N/A</v>
      </c>
    </row>
    <row r="417" spans="1:7" x14ac:dyDescent="0.3">
      <c r="A417" s="28">
        <v>46136</v>
      </c>
      <c r="B417" s="24">
        <v>26</v>
      </c>
      <c r="C417" s="30" t="s">
        <v>31</v>
      </c>
      <c r="D417" s="1" t="s">
        <v>46</v>
      </c>
      <c r="E417" s="1" t="s">
        <v>61</v>
      </c>
      <c r="F417" s="1">
        <v>1</v>
      </c>
      <c r="G417" s="33" t="e">
        <f>VLOOKUP(E417,ACTIVIDADES!A418:D430,2)</f>
        <v>#N/A</v>
      </c>
    </row>
    <row r="418" spans="1:7" x14ac:dyDescent="0.3">
      <c r="A418" s="28">
        <v>46136</v>
      </c>
      <c r="B418" s="24">
        <v>27</v>
      </c>
      <c r="C418" s="29" t="s">
        <v>32</v>
      </c>
      <c r="D418" s="1" t="s">
        <v>46</v>
      </c>
      <c r="E418" s="1" t="s">
        <v>61</v>
      </c>
      <c r="F418" s="1">
        <v>1</v>
      </c>
      <c r="G418" s="33" t="e">
        <f>VLOOKUP(E418,ACTIVIDADES!A419:D431,2)</f>
        <v>#N/A</v>
      </c>
    </row>
    <row r="419" spans="1:7" x14ac:dyDescent="0.3">
      <c r="A419" s="28">
        <v>46136</v>
      </c>
      <c r="B419" s="24">
        <v>28</v>
      </c>
      <c r="C419" s="30" t="s">
        <v>33</v>
      </c>
      <c r="D419" s="1" t="s">
        <v>46</v>
      </c>
      <c r="E419" s="1" t="s">
        <v>61</v>
      </c>
      <c r="F419" s="1">
        <v>1</v>
      </c>
      <c r="G419" s="33" t="e">
        <f>VLOOKUP(E419,ACTIVIDADES!A420:D432,2)</f>
        <v>#N/A</v>
      </c>
    </row>
    <row r="420" spans="1:7" x14ac:dyDescent="0.3">
      <c r="A420" s="28">
        <v>46136</v>
      </c>
      <c r="B420" s="24">
        <v>29</v>
      </c>
      <c r="C420" s="29" t="s">
        <v>34</v>
      </c>
      <c r="D420" s="1" t="s">
        <v>46</v>
      </c>
      <c r="E420" s="1" t="s">
        <v>61</v>
      </c>
      <c r="F420" s="1">
        <v>1</v>
      </c>
      <c r="G420" s="33" t="e">
        <f>VLOOKUP(E420,ACTIVIDADES!A421:D433,2)</f>
        <v>#N/A</v>
      </c>
    </row>
    <row r="421" spans="1:7" x14ac:dyDescent="0.3">
      <c r="A421" s="28">
        <v>46136</v>
      </c>
      <c r="B421" s="24">
        <v>30</v>
      </c>
      <c r="C421" s="30" t="s">
        <v>35</v>
      </c>
      <c r="D421" s="1" t="s">
        <v>46</v>
      </c>
      <c r="E421" s="1" t="s">
        <v>61</v>
      </c>
      <c r="F421" s="1">
        <v>1</v>
      </c>
      <c r="G421" s="33" t="e">
        <f>VLOOKUP(E421,ACTIVIDADES!A422:D434,2)</f>
        <v>#N/A</v>
      </c>
    </row>
    <row r="422" spans="1:7" x14ac:dyDescent="0.3">
      <c r="A422" s="28">
        <v>46136</v>
      </c>
      <c r="B422" s="24">
        <v>31</v>
      </c>
      <c r="C422" s="30" t="s">
        <v>9</v>
      </c>
      <c r="D422" s="1" t="s">
        <v>46</v>
      </c>
      <c r="E422" s="1" t="s">
        <v>61</v>
      </c>
      <c r="F422" s="1">
        <v>1</v>
      </c>
      <c r="G422" s="33" t="e">
        <f>VLOOKUP(E422,ACTIVIDADES!A423:D435,2)</f>
        <v>#N/A</v>
      </c>
    </row>
    <row r="423" spans="1:7" x14ac:dyDescent="0.3">
      <c r="A423" s="28">
        <v>46136</v>
      </c>
      <c r="B423" s="24">
        <v>32</v>
      </c>
      <c r="C423" s="30" t="s">
        <v>37</v>
      </c>
      <c r="D423" s="1" t="s">
        <v>46</v>
      </c>
      <c r="E423" s="1" t="s">
        <v>61</v>
      </c>
      <c r="F423" s="1">
        <v>1</v>
      </c>
      <c r="G423" s="33" t="e">
        <f>VLOOKUP(E423,ACTIVIDADES!A424:D436,2)</f>
        <v>#N/A</v>
      </c>
    </row>
    <row r="424" spans="1:7" x14ac:dyDescent="0.3">
      <c r="A424" s="28">
        <v>46136</v>
      </c>
      <c r="B424" s="24">
        <v>33</v>
      </c>
      <c r="C424" s="30" t="s">
        <v>7</v>
      </c>
      <c r="D424" s="1" t="s">
        <v>46</v>
      </c>
      <c r="E424" s="1" t="s">
        <v>61</v>
      </c>
      <c r="F424" s="1">
        <v>1</v>
      </c>
      <c r="G424" s="33" t="e">
        <f>VLOOKUP(E424,ACTIVIDADES!A425:D437,2)</f>
        <v>#N/A</v>
      </c>
    </row>
    <row r="425" spans="1:7" x14ac:dyDescent="0.3">
      <c r="A425" s="28">
        <v>46136</v>
      </c>
      <c r="B425" s="24">
        <v>34</v>
      </c>
      <c r="C425" s="30" t="s">
        <v>39</v>
      </c>
      <c r="D425" s="1" t="s">
        <v>46</v>
      </c>
      <c r="E425" s="1" t="s">
        <v>61</v>
      </c>
      <c r="F425" s="1">
        <v>1</v>
      </c>
      <c r="G425" s="33" t="e">
        <f>VLOOKUP(E425,ACTIVIDADES!A426:D438,2)</f>
        <v>#N/A</v>
      </c>
    </row>
    <row r="426" spans="1:7" x14ac:dyDescent="0.3">
      <c r="A426" s="28">
        <v>46136</v>
      </c>
      <c r="B426" s="24">
        <v>35</v>
      </c>
      <c r="C426" s="29" t="s">
        <v>40</v>
      </c>
      <c r="D426" s="1" t="s">
        <v>46</v>
      </c>
      <c r="E426" s="1" t="s">
        <v>61</v>
      </c>
      <c r="F426" s="1">
        <v>1</v>
      </c>
      <c r="G426" s="33" t="e">
        <f>VLOOKUP(E426,ACTIVIDADES!A427:D439,2)</f>
        <v>#N/A</v>
      </c>
    </row>
    <row r="427" spans="1:7" x14ac:dyDescent="0.3">
      <c r="A427" s="28">
        <v>46136</v>
      </c>
      <c r="B427" s="24">
        <v>36</v>
      </c>
      <c r="C427" s="29" t="s">
        <v>41</v>
      </c>
      <c r="D427" s="1" t="s">
        <v>46</v>
      </c>
      <c r="E427" s="1" t="s">
        <v>61</v>
      </c>
      <c r="F427" s="1">
        <v>1</v>
      </c>
      <c r="G427" s="33" t="e">
        <f>VLOOKUP(E427,ACTIVIDADES!A428:D440,2)</f>
        <v>#N/A</v>
      </c>
    </row>
    <row r="428" spans="1:7" x14ac:dyDescent="0.3">
      <c r="A428" s="28">
        <v>46136</v>
      </c>
      <c r="B428" s="24">
        <v>37</v>
      </c>
      <c r="C428" s="30" t="s">
        <v>42</v>
      </c>
      <c r="D428" s="1" t="s">
        <v>46</v>
      </c>
      <c r="E428" s="1" t="s">
        <v>61</v>
      </c>
      <c r="F428" s="1">
        <v>1</v>
      </c>
      <c r="G428" s="33" t="e">
        <f>VLOOKUP(E428,ACTIVIDADES!A429:D441,2)</f>
        <v>#N/A</v>
      </c>
    </row>
    <row r="429" spans="1:7" x14ac:dyDescent="0.3">
      <c r="A429" s="28">
        <v>46136</v>
      </c>
      <c r="B429" s="24">
        <v>38</v>
      </c>
      <c r="C429" s="30" t="s">
        <v>43</v>
      </c>
      <c r="D429" s="1" t="s">
        <v>46</v>
      </c>
      <c r="E429" s="1" t="s">
        <v>61</v>
      </c>
      <c r="F429" s="1">
        <v>1</v>
      </c>
      <c r="G429" s="33" t="e">
        <f>VLOOKUP(E429,ACTIVIDADES!A430:D442,2)</f>
        <v>#N/A</v>
      </c>
    </row>
    <row r="430" spans="1:7" x14ac:dyDescent="0.3">
      <c r="A430" s="28">
        <v>46136</v>
      </c>
      <c r="B430" s="24">
        <v>39</v>
      </c>
      <c r="C430" s="29" t="s">
        <v>44</v>
      </c>
      <c r="D430" s="1" t="s">
        <v>46</v>
      </c>
      <c r="E430" s="1" t="s">
        <v>61</v>
      </c>
      <c r="F430" s="1">
        <v>1</v>
      </c>
      <c r="G430" s="33" t="e">
        <f>VLOOKUP(E430,ACTIVIDADES!A431:D443,2)</f>
        <v>#N/A</v>
      </c>
    </row>
    <row r="431" spans="1:7" x14ac:dyDescent="0.3">
      <c r="A431" s="28">
        <v>46137</v>
      </c>
      <c r="B431" s="24">
        <v>1</v>
      </c>
      <c r="C431" s="29" t="s">
        <v>6</v>
      </c>
      <c r="D431" s="1" t="s">
        <v>49</v>
      </c>
      <c r="E431" s="1" t="s">
        <v>49</v>
      </c>
      <c r="F431" s="1">
        <v>1</v>
      </c>
      <c r="G431" s="33" t="e">
        <f>VLOOKUP(E431,ACTIVIDADES!A432:D444,2)</f>
        <v>#N/A</v>
      </c>
    </row>
    <row r="432" spans="1:7" x14ac:dyDescent="0.3">
      <c r="A432" s="28">
        <v>46137</v>
      </c>
      <c r="B432" s="24">
        <v>2</v>
      </c>
      <c r="C432" s="29" t="s">
        <v>10</v>
      </c>
      <c r="D432" s="1" t="s">
        <v>49</v>
      </c>
      <c r="E432" s="1" t="s">
        <v>49</v>
      </c>
      <c r="F432" s="1">
        <v>1</v>
      </c>
      <c r="G432" s="33" t="e">
        <f>VLOOKUP(E432,ACTIVIDADES!A433:D445,2)</f>
        <v>#N/A</v>
      </c>
    </row>
    <row r="433" spans="1:7" x14ac:dyDescent="0.3">
      <c r="A433" s="28">
        <v>46137</v>
      </c>
      <c r="B433" s="24">
        <v>3</v>
      </c>
      <c r="C433" s="29" t="s">
        <v>22</v>
      </c>
      <c r="D433" s="1" t="s">
        <v>48</v>
      </c>
      <c r="E433" s="1" t="s">
        <v>48</v>
      </c>
      <c r="F433" s="1">
        <v>1</v>
      </c>
      <c r="G433" s="33" t="e">
        <f>VLOOKUP(E433,ACTIVIDADES!A434:D446,2)</f>
        <v>#N/A</v>
      </c>
    </row>
    <row r="434" spans="1:7" x14ac:dyDescent="0.3">
      <c r="A434" s="28">
        <v>46137</v>
      </c>
      <c r="B434" s="24">
        <v>4</v>
      </c>
      <c r="C434" s="29" t="s">
        <v>36</v>
      </c>
      <c r="D434" s="1" t="s">
        <v>51</v>
      </c>
      <c r="E434" s="1" t="s">
        <v>50</v>
      </c>
      <c r="F434" s="1">
        <v>1</v>
      </c>
      <c r="G434" s="33" t="e">
        <f>VLOOKUP(E434,ACTIVIDADES!A435:D447,2)</f>
        <v>#N/A</v>
      </c>
    </row>
    <row r="435" spans="1:7" x14ac:dyDescent="0.3">
      <c r="A435" s="28">
        <v>46137</v>
      </c>
      <c r="B435" s="24">
        <v>5</v>
      </c>
      <c r="C435" s="29" t="s">
        <v>38</v>
      </c>
      <c r="D435" s="1" t="s">
        <v>51</v>
      </c>
      <c r="E435" s="1" t="s">
        <v>50</v>
      </c>
      <c r="F435" s="1">
        <v>1</v>
      </c>
      <c r="G435" s="33" t="e">
        <f>VLOOKUP(E435,ACTIVIDADES!A436:D448,2)</f>
        <v>#N/A</v>
      </c>
    </row>
    <row r="436" spans="1:7" x14ac:dyDescent="0.3">
      <c r="A436" s="28">
        <v>46137</v>
      </c>
      <c r="B436" s="24">
        <v>6</v>
      </c>
      <c r="C436" s="30" t="s">
        <v>11</v>
      </c>
      <c r="D436" s="1" t="s">
        <v>57</v>
      </c>
      <c r="E436" s="1" t="s">
        <v>60</v>
      </c>
      <c r="F436" s="1">
        <v>1</v>
      </c>
      <c r="G436" s="33" t="e">
        <f>VLOOKUP(E436,ACTIVIDADES!A437:D449,2)</f>
        <v>#N/A</v>
      </c>
    </row>
    <row r="437" spans="1:7" x14ac:dyDescent="0.3">
      <c r="A437" s="28">
        <v>46137</v>
      </c>
      <c r="B437" s="24">
        <v>7</v>
      </c>
      <c r="C437" s="29" t="s">
        <v>12</v>
      </c>
      <c r="D437" s="1" t="s">
        <v>57</v>
      </c>
      <c r="E437" s="1" t="s">
        <v>60</v>
      </c>
      <c r="F437" s="1">
        <v>1</v>
      </c>
      <c r="G437" s="33" t="e">
        <f>VLOOKUP(E437,ACTIVIDADES!A438:D450,2)</f>
        <v>#N/A</v>
      </c>
    </row>
    <row r="438" spans="1:7" x14ac:dyDescent="0.3">
      <c r="A438" s="28">
        <v>46137</v>
      </c>
      <c r="B438" s="24">
        <v>8</v>
      </c>
      <c r="C438" s="30" t="s">
        <v>13</v>
      </c>
      <c r="D438" s="1" t="s">
        <v>63</v>
      </c>
      <c r="E438" s="1" t="s">
        <v>60</v>
      </c>
      <c r="F438" s="1">
        <v>1</v>
      </c>
      <c r="G438" s="33" t="e">
        <f>VLOOKUP(E438,ACTIVIDADES!A439:D451,2)</f>
        <v>#N/A</v>
      </c>
    </row>
    <row r="439" spans="1:7" x14ac:dyDescent="0.3">
      <c r="A439" s="28">
        <v>46137</v>
      </c>
      <c r="B439" s="24">
        <v>9</v>
      </c>
      <c r="C439" s="29" t="s">
        <v>14</v>
      </c>
      <c r="D439" s="1" t="s">
        <v>63</v>
      </c>
      <c r="E439" s="1" t="s">
        <v>60</v>
      </c>
      <c r="F439" s="1">
        <v>1</v>
      </c>
      <c r="G439" s="33" t="e">
        <f>VLOOKUP(E439,ACTIVIDADES!A440:D452,2)</f>
        <v>#N/A</v>
      </c>
    </row>
    <row r="440" spans="1:7" x14ac:dyDescent="0.3">
      <c r="A440" s="28">
        <v>46137</v>
      </c>
      <c r="B440" s="24">
        <v>10</v>
      </c>
      <c r="C440" s="30" t="s">
        <v>15</v>
      </c>
      <c r="D440" s="1" t="s">
        <v>63</v>
      </c>
      <c r="E440" s="1" t="s">
        <v>60</v>
      </c>
      <c r="F440" s="1">
        <v>1</v>
      </c>
      <c r="G440" s="33" t="e">
        <f>VLOOKUP(E440,ACTIVIDADES!A441:D453,2)</f>
        <v>#N/A</v>
      </c>
    </row>
    <row r="441" spans="1:7" x14ac:dyDescent="0.3">
      <c r="A441" s="28">
        <v>46137</v>
      </c>
      <c r="B441" s="24">
        <v>11</v>
      </c>
      <c r="C441" s="29" t="s">
        <v>16</v>
      </c>
      <c r="D441" s="1"/>
      <c r="E441" s="1"/>
      <c r="F441" s="1"/>
      <c r="G441" s="33" t="e">
        <f>VLOOKUP(E441,ACTIVIDADES!A442:D454,2)</f>
        <v>#N/A</v>
      </c>
    </row>
    <row r="442" spans="1:7" x14ac:dyDescent="0.3">
      <c r="A442" s="28">
        <v>46137</v>
      </c>
      <c r="B442" s="24">
        <v>12</v>
      </c>
      <c r="C442" s="30" t="s">
        <v>17</v>
      </c>
      <c r="D442" s="1" t="s">
        <v>63</v>
      </c>
      <c r="E442" s="1" t="s">
        <v>60</v>
      </c>
      <c r="F442" s="1">
        <v>1</v>
      </c>
      <c r="G442" s="33" t="e">
        <f>VLOOKUP(E442,ACTIVIDADES!A443:D455,2)</f>
        <v>#N/A</v>
      </c>
    </row>
    <row r="443" spans="1:7" x14ac:dyDescent="0.3">
      <c r="A443" s="28">
        <v>46137</v>
      </c>
      <c r="B443" s="24">
        <v>13</v>
      </c>
      <c r="C443" s="29" t="s">
        <v>18</v>
      </c>
      <c r="D443" s="1" t="s">
        <v>63</v>
      </c>
      <c r="E443" s="1" t="s">
        <v>60</v>
      </c>
      <c r="F443" s="1">
        <v>1</v>
      </c>
      <c r="G443" s="33" t="e">
        <f>VLOOKUP(E443,ACTIVIDADES!A444:D456,2)</f>
        <v>#N/A</v>
      </c>
    </row>
    <row r="444" spans="1:7" x14ac:dyDescent="0.3">
      <c r="A444" s="28">
        <v>46137</v>
      </c>
      <c r="B444" s="24">
        <v>14</v>
      </c>
      <c r="C444" s="30" t="s">
        <v>19</v>
      </c>
      <c r="D444" s="1" t="s">
        <v>63</v>
      </c>
      <c r="E444" s="1" t="s">
        <v>60</v>
      </c>
      <c r="F444" s="1">
        <v>1</v>
      </c>
      <c r="G444" s="33" t="e">
        <f>VLOOKUP(E444,ACTIVIDADES!A445:D457,2)</f>
        <v>#N/A</v>
      </c>
    </row>
    <row r="445" spans="1:7" x14ac:dyDescent="0.3">
      <c r="A445" s="28">
        <v>46137</v>
      </c>
      <c r="B445" s="24">
        <v>15</v>
      </c>
      <c r="C445" s="29" t="s">
        <v>20</v>
      </c>
      <c r="D445" s="1" t="s">
        <v>64</v>
      </c>
      <c r="E445" s="1" t="s">
        <v>62</v>
      </c>
      <c r="F445" s="1">
        <v>1</v>
      </c>
      <c r="G445" s="33" t="e">
        <f>VLOOKUP(E445,ACTIVIDADES!A446:D458,2)</f>
        <v>#N/A</v>
      </c>
    </row>
    <row r="446" spans="1:7" x14ac:dyDescent="0.3">
      <c r="A446" s="28">
        <v>46137</v>
      </c>
      <c r="B446" s="24">
        <v>16</v>
      </c>
      <c r="C446" s="30" t="s">
        <v>21</v>
      </c>
      <c r="D446" s="1" t="s">
        <v>63</v>
      </c>
      <c r="E446" s="1" t="s">
        <v>60</v>
      </c>
      <c r="F446" s="1">
        <v>1</v>
      </c>
      <c r="G446" s="33" t="e">
        <f>VLOOKUP(E446,ACTIVIDADES!A447:D459,2)</f>
        <v>#N/A</v>
      </c>
    </row>
    <row r="447" spans="1:7" x14ac:dyDescent="0.3">
      <c r="A447" s="28">
        <v>46137</v>
      </c>
      <c r="B447" s="24">
        <v>17</v>
      </c>
      <c r="C447" s="29" t="s">
        <v>8</v>
      </c>
      <c r="D447" s="1" t="s">
        <v>63</v>
      </c>
      <c r="E447" s="1" t="s">
        <v>60</v>
      </c>
      <c r="F447" s="1">
        <v>1</v>
      </c>
      <c r="G447" s="33" t="e">
        <f>VLOOKUP(E447,ACTIVIDADES!A448:D460,2)</f>
        <v>#N/A</v>
      </c>
    </row>
    <row r="448" spans="1:7" x14ac:dyDescent="0.3">
      <c r="A448" s="28">
        <v>46137</v>
      </c>
      <c r="B448" s="24">
        <v>18</v>
      </c>
      <c r="C448" s="30" t="s">
        <v>23</v>
      </c>
      <c r="D448" s="1" t="s">
        <v>63</v>
      </c>
      <c r="E448" s="1" t="s">
        <v>60</v>
      </c>
      <c r="F448" s="1">
        <v>1</v>
      </c>
      <c r="G448" s="33" t="e">
        <f>VLOOKUP(E448,ACTIVIDADES!A449:D461,2)</f>
        <v>#N/A</v>
      </c>
    </row>
    <row r="449" spans="1:7" x14ac:dyDescent="0.3">
      <c r="A449" s="28">
        <v>46137</v>
      </c>
      <c r="B449" s="24">
        <v>19</v>
      </c>
      <c r="C449" s="29" t="s">
        <v>24</v>
      </c>
      <c r="D449" s="1" t="s">
        <v>63</v>
      </c>
      <c r="E449" s="1" t="s">
        <v>60</v>
      </c>
      <c r="F449" s="1">
        <v>1</v>
      </c>
      <c r="G449" s="33" t="e">
        <f>VLOOKUP(E449,ACTIVIDADES!A450:D462,2)</f>
        <v>#N/A</v>
      </c>
    </row>
    <row r="450" spans="1:7" x14ac:dyDescent="0.3">
      <c r="A450" s="28">
        <v>46137</v>
      </c>
      <c r="B450" s="24">
        <v>20</v>
      </c>
      <c r="C450" s="30" t="s">
        <v>25</v>
      </c>
      <c r="D450" s="1" t="s">
        <v>63</v>
      </c>
      <c r="E450" s="1" t="s">
        <v>60</v>
      </c>
      <c r="F450" s="1">
        <v>1</v>
      </c>
      <c r="G450" s="33" t="e">
        <f>VLOOKUP(E450,ACTIVIDADES!A451:D463,2)</f>
        <v>#N/A</v>
      </c>
    </row>
    <row r="451" spans="1:7" x14ac:dyDescent="0.3">
      <c r="A451" s="28">
        <v>46137</v>
      </c>
      <c r="B451" s="24">
        <v>21</v>
      </c>
      <c r="C451" s="29" t="s">
        <v>26</v>
      </c>
      <c r="D451" s="1" t="s">
        <v>63</v>
      </c>
      <c r="E451" s="1" t="s">
        <v>60</v>
      </c>
      <c r="F451" s="1">
        <v>1</v>
      </c>
      <c r="G451" s="33" t="e">
        <f>VLOOKUP(E451,ACTIVIDADES!A452:D464,2)</f>
        <v>#N/A</v>
      </c>
    </row>
    <row r="452" spans="1:7" x14ac:dyDescent="0.3">
      <c r="A452" s="28">
        <v>46137</v>
      </c>
      <c r="B452" s="24">
        <v>22</v>
      </c>
      <c r="C452" s="30" t="s">
        <v>27</v>
      </c>
      <c r="D452" s="1" t="s">
        <v>63</v>
      </c>
      <c r="E452" s="1" t="s">
        <v>60</v>
      </c>
      <c r="F452" s="1">
        <v>1</v>
      </c>
      <c r="G452" s="33" t="e">
        <f>VLOOKUP(E452,ACTIVIDADES!A453:D465,2)</f>
        <v>#N/A</v>
      </c>
    </row>
    <row r="453" spans="1:7" x14ac:dyDescent="0.3">
      <c r="A453" s="28">
        <v>46137</v>
      </c>
      <c r="B453" s="24">
        <v>23</v>
      </c>
      <c r="C453" s="29" t="s">
        <v>28</v>
      </c>
      <c r="D453" s="1" t="s">
        <v>63</v>
      </c>
      <c r="E453" s="1" t="s">
        <v>60</v>
      </c>
      <c r="F453" s="1">
        <v>1</v>
      </c>
      <c r="G453" s="33" t="e">
        <f>VLOOKUP(E453,ACTIVIDADES!A454:D466,2)</f>
        <v>#N/A</v>
      </c>
    </row>
    <row r="454" spans="1:7" x14ac:dyDescent="0.3">
      <c r="A454" s="28">
        <v>46137</v>
      </c>
      <c r="B454" s="24">
        <v>24</v>
      </c>
      <c r="C454" s="30" t="s">
        <v>29</v>
      </c>
      <c r="D454" s="1" t="s">
        <v>63</v>
      </c>
      <c r="E454" s="1" t="s">
        <v>60</v>
      </c>
      <c r="F454" s="1">
        <v>1</v>
      </c>
      <c r="G454" s="33" t="e">
        <f>VLOOKUP(E454,ACTIVIDADES!A455:D467,2)</f>
        <v>#N/A</v>
      </c>
    </row>
    <row r="455" spans="1:7" x14ac:dyDescent="0.3">
      <c r="A455" s="28">
        <v>46137</v>
      </c>
      <c r="B455" s="24">
        <v>25</v>
      </c>
      <c r="C455" s="29" t="s">
        <v>30</v>
      </c>
      <c r="D455" s="1" t="s">
        <v>63</v>
      </c>
      <c r="E455" s="1" t="s">
        <v>60</v>
      </c>
      <c r="F455" s="1">
        <v>1</v>
      </c>
      <c r="G455" s="33" t="e">
        <f>VLOOKUP(E455,ACTIVIDADES!A456:D468,2)</f>
        <v>#N/A</v>
      </c>
    </row>
    <row r="456" spans="1:7" x14ac:dyDescent="0.3">
      <c r="A456" s="28">
        <v>46137</v>
      </c>
      <c r="B456" s="24">
        <v>26</v>
      </c>
      <c r="C456" s="30" t="s">
        <v>31</v>
      </c>
      <c r="D456" s="1" t="s">
        <v>63</v>
      </c>
      <c r="E456" s="1" t="s">
        <v>60</v>
      </c>
      <c r="F456" s="1">
        <v>1</v>
      </c>
      <c r="G456" s="33" t="e">
        <f>VLOOKUP(E456,ACTIVIDADES!A457:D469,2)</f>
        <v>#N/A</v>
      </c>
    </row>
    <row r="457" spans="1:7" x14ac:dyDescent="0.3">
      <c r="A457" s="28">
        <v>46137</v>
      </c>
      <c r="B457" s="24">
        <v>27</v>
      </c>
      <c r="C457" s="29" t="s">
        <v>32</v>
      </c>
      <c r="D457" s="1" t="s">
        <v>63</v>
      </c>
      <c r="E457" s="1" t="s">
        <v>60</v>
      </c>
      <c r="F457" s="1">
        <v>1</v>
      </c>
      <c r="G457" s="33" t="e">
        <f>VLOOKUP(E457,ACTIVIDADES!A458:D470,2)</f>
        <v>#N/A</v>
      </c>
    </row>
    <row r="458" spans="1:7" x14ac:dyDescent="0.3">
      <c r="A458" s="28">
        <v>46137</v>
      </c>
      <c r="B458" s="24">
        <v>28</v>
      </c>
      <c r="C458" s="30" t="s">
        <v>33</v>
      </c>
      <c r="D458" s="1" t="s">
        <v>63</v>
      </c>
      <c r="E458" s="1" t="s">
        <v>60</v>
      </c>
      <c r="F458" s="1">
        <v>1</v>
      </c>
      <c r="G458" s="33" t="e">
        <f>VLOOKUP(E458,ACTIVIDADES!A459:D471,2)</f>
        <v>#N/A</v>
      </c>
    </row>
    <row r="459" spans="1:7" x14ac:dyDescent="0.3">
      <c r="A459" s="28">
        <v>46137</v>
      </c>
      <c r="B459" s="24">
        <v>29</v>
      </c>
      <c r="C459" s="29" t="s">
        <v>34</v>
      </c>
      <c r="D459" s="1" t="s">
        <v>63</v>
      </c>
      <c r="E459" s="1" t="s">
        <v>60</v>
      </c>
      <c r="F459" s="1">
        <v>1</v>
      </c>
      <c r="G459" s="33" t="e">
        <f>VLOOKUP(E459,ACTIVIDADES!A460:D472,2)</f>
        <v>#N/A</v>
      </c>
    </row>
    <row r="460" spans="1:7" x14ac:dyDescent="0.3">
      <c r="A460" s="28">
        <v>46137</v>
      </c>
      <c r="B460" s="24">
        <v>30</v>
      </c>
      <c r="C460" s="30" t="s">
        <v>35</v>
      </c>
      <c r="D460" s="1" t="s">
        <v>57</v>
      </c>
      <c r="E460" s="1" t="s">
        <v>60</v>
      </c>
      <c r="F460" s="1">
        <v>1</v>
      </c>
      <c r="G460" s="33" t="e">
        <f>VLOOKUP(E460,ACTIVIDADES!A461:D473,2)</f>
        <v>#N/A</v>
      </c>
    </row>
    <row r="461" spans="1:7" x14ac:dyDescent="0.3">
      <c r="A461" s="28">
        <v>46137</v>
      </c>
      <c r="B461" s="24">
        <v>31</v>
      </c>
      <c r="C461" s="30" t="s">
        <v>9</v>
      </c>
      <c r="D461" s="1" t="s">
        <v>63</v>
      </c>
      <c r="E461" s="1" t="s">
        <v>60</v>
      </c>
      <c r="F461" s="1">
        <v>1</v>
      </c>
      <c r="G461" s="33" t="e">
        <f>VLOOKUP(E461,ACTIVIDADES!A462:D474,2)</f>
        <v>#N/A</v>
      </c>
    </row>
    <row r="462" spans="1:7" x14ac:dyDescent="0.3">
      <c r="A462" s="28">
        <v>46137</v>
      </c>
      <c r="B462" s="24">
        <v>32</v>
      </c>
      <c r="C462" s="30" t="s">
        <v>37</v>
      </c>
      <c r="D462" s="1" t="s">
        <v>63</v>
      </c>
      <c r="E462" s="1" t="s">
        <v>60</v>
      </c>
      <c r="F462" s="1">
        <v>1</v>
      </c>
      <c r="G462" s="33" t="e">
        <f>VLOOKUP(E462,ACTIVIDADES!A463:D475,2)</f>
        <v>#N/A</v>
      </c>
    </row>
    <row r="463" spans="1:7" x14ac:dyDescent="0.3">
      <c r="A463" s="28">
        <v>46137</v>
      </c>
      <c r="B463" s="24">
        <v>33</v>
      </c>
      <c r="C463" s="30" t="s">
        <v>7</v>
      </c>
      <c r="D463" s="1" t="s">
        <v>63</v>
      </c>
      <c r="E463" s="1" t="s">
        <v>60</v>
      </c>
      <c r="F463" s="1">
        <v>1</v>
      </c>
      <c r="G463" s="33" t="e">
        <f>VLOOKUP(E463,ACTIVIDADES!A464:D476,2)</f>
        <v>#N/A</v>
      </c>
    </row>
    <row r="464" spans="1:7" x14ac:dyDescent="0.3">
      <c r="A464" s="28">
        <v>46137</v>
      </c>
      <c r="B464" s="24">
        <v>34</v>
      </c>
      <c r="C464" s="30" t="s">
        <v>39</v>
      </c>
      <c r="D464" s="1" t="s">
        <v>57</v>
      </c>
      <c r="E464" s="1" t="s">
        <v>60</v>
      </c>
      <c r="F464" s="1">
        <v>1</v>
      </c>
      <c r="G464" s="33" t="e">
        <f>VLOOKUP(E464,ACTIVIDADES!A465:D477,2)</f>
        <v>#N/A</v>
      </c>
    </row>
    <row r="465" spans="1:7" x14ac:dyDescent="0.3">
      <c r="A465" s="28">
        <v>46137</v>
      </c>
      <c r="B465" s="24">
        <v>35</v>
      </c>
      <c r="C465" s="29" t="s">
        <v>40</v>
      </c>
      <c r="D465" s="1" t="s">
        <v>63</v>
      </c>
      <c r="E465" s="1" t="s">
        <v>60</v>
      </c>
      <c r="F465" s="1">
        <v>1</v>
      </c>
      <c r="G465" s="33" t="e">
        <f>VLOOKUP(E465,ACTIVIDADES!A466:D478,2)</f>
        <v>#N/A</v>
      </c>
    </row>
    <row r="466" spans="1:7" x14ac:dyDescent="0.3">
      <c r="A466" s="28">
        <v>46137</v>
      </c>
      <c r="B466" s="24">
        <v>36</v>
      </c>
      <c r="C466" s="29" t="s">
        <v>41</v>
      </c>
      <c r="D466" s="1" t="s">
        <v>63</v>
      </c>
      <c r="E466" s="1" t="s">
        <v>60</v>
      </c>
      <c r="F466" s="1">
        <v>1</v>
      </c>
      <c r="G466" s="33" t="e">
        <f>VLOOKUP(E466,ACTIVIDADES!A467:D479,2)</f>
        <v>#N/A</v>
      </c>
    </row>
    <row r="467" spans="1:7" x14ac:dyDescent="0.3">
      <c r="A467" s="28">
        <v>46137</v>
      </c>
      <c r="B467" s="24">
        <v>37</v>
      </c>
      <c r="C467" s="30" t="s">
        <v>42</v>
      </c>
      <c r="D467" s="1" t="s">
        <v>63</v>
      </c>
      <c r="E467" s="1" t="s">
        <v>60</v>
      </c>
      <c r="F467" s="1">
        <v>1</v>
      </c>
      <c r="G467" s="33" t="e">
        <f>VLOOKUP(E467,ACTIVIDADES!A468:D480,2)</f>
        <v>#N/A</v>
      </c>
    </row>
    <row r="468" spans="1:7" x14ac:dyDescent="0.3">
      <c r="A468" s="28">
        <v>46137</v>
      </c>
      <c r="B468" s="24">
        <v>38</v>
      </c>
      <c r="C468" s="30" t="s">
        <v>43</v>
      </c>
      <c r="D468" s="1" t="s">
        <v>63</v>
      </c>
      <c r="E468" s="1" t="s">
        <v>60</v>
      </c>
      <c r="F468" s="1">
        <v>1</v>
      </c>
      <c r="G468" s="33" t="e">
        <f>VLOOKUP(E468,ACTIVIDADES!A469:D481,2)</f>
        <v>#N/A</v>
      </c>
    </row>
    <row r="469" spans="1:7" x14ac:dyDescent="0.3">
      <c r="A469" s="28">
        <v>46137</v>
      </c>
      <c r="B469" s="24">
        <v>39</v>
      </c>
      <c r="C469" s="29" t="s">
        <v>44</v>
      </c>
      <c r="D469" s="1" t="s">
        <v>63</v>
      </c>
      <c r="E469" s="1" t="s">
        <v>60</v>
      </c>
      <c r="F469" s="1">
        <v>1</v>
      </c>
      <c r="G469" s="33" t="e">
        <f>VLOOKUP(E469,ACTIVIDADES!A470:D482,2)</f>
        <v>#N/A</v>
      </c>
    </row>
    <row r="470" spans="1:7" x14ac:dyDescent="0.3">
      <c r="A470" s="28">
        <v>46138</v>
      </c>
      <c r="B470" s="24">
        <v>1</v>
      </c>
      <c r="C470" s="29" t="s">
        <v>6</v>
      </c>
      <c r="D470" s="1"/>
      <c r="E470" s="1"/>
      <c r="F470" s="1"/>
      <c r="G470" s="33" t="e">
        <f>VLOOKUP(E470,ACTIVIDADES!A471:D483,2)</f>
        <v>#N/A</v>
      </c>
    </row>
    <row r="471" spans="1:7" x14ac:dyDescent="0.3">
      <c r="A471" s="28">
        <v>46138</v>
      </c>
      <c r="B471" s="24">
        <v>2</v>
      </c>
      <c r="C471" s="29" t="s">
        <v>10</v>
      </c>
      <c r="D471" s="1"/>
      <c r="E471" s="1"/>
      <c r="F471" s="1"/>
      <c r="G471" s="33" t="e">
        <f>VLOOKUP(E471,ACTIVIDADES!A472:D484,2)</f>
        <v>#N/A</v>
      </c>
    </row>
    <row r="472" spans="1:7" x14ac:dyDescent="0.3">
      <c r="A472" s="28">
        <v>46138</v>
      </c>
      <c r="B472" s="24">
        <v>3</v>
      </c>
      <c r="C472" s="29" t="s">
        <v>22</v>
      </c>
      <c r="D472" s="1"/>
      <c r="E472" s="1"/>
      <c r="F472" s="1"/>
      <c r="G472" s="33" t="e">
        <f>VLOOKUP(E472,ACTIVIDADES!A473:D485,2)</f>
        <v>#N/A</v>
      </c>
    </row>
    <row r="473" spans="1:7" x14ac:dyDescent="0.3">
      <c r="A473" s="28">
        <v>46138</v>
      </c>
      <c r="B473" s="24">
        <v>4</v>
      </c>
      <c r="C473" s="29" t="s">
        <v>36</v>
      </c>
      <c r="D473" s="1" t="s">
        <v>51</v>
      </c>
      <c r="E473" s="1" t="s">
        <v>50</v>
      </c>
      <c r="F473" s="1">
        <v>1</v>
      </c>
      <c r="G473" s="33" t="e">
        <f>VLOOKUP(E473,ACTIVIDADES!A474:D486,2)</f>
        <v>#N/A</v>
      </c>
    </row>
    <row r="474" spans="1:7" x14ac:dyDescent="0.3">
      <c r="A474" s="28">
        <v>46138</v>
      </c>
      <c r="B474" s="24">
        <v>5</v>
      </c>
      <c r="C474" s="29" t="s">
        <v>38</v>
      </c>
      <c r="D474" s="1" t="s">
        <v>51</v>
      </c>
      <c r="E474" s="1" t="s">
        <v>50</v>
      </c>
      <c r="F474" s="1">
        <v>1</v>
      </c>
      <c r="G474" s="33" t="e">
        <f>VLOOKUP(E474,ACTIVIDADES!A475:D487,2)</f>
        <v>#N/A</v>
      </c>
    </row>
    <row r="475" spans="1:7" x14ac:dyDescent="0.3">
      <c r="A475" s="28">
        <v>46138</v>
      </c>
      <c r="B475" s="24">
        <v>6</v>
      </c>
      <c r="C475" s="30" t="s">
        <v>11</v>
      </c>
      <c r="D475" s="1"/>
      <c r="E475" s="1"/>
      <c r="F475" s="1"/>
      <c r="G475" s="33" t="e">
        <f>VLOOKUP(E475,ACTIVIDADES!A476:D488,2)</f>
        <v>#N/A</v>
      </c>
    </row>
    <row r="476" spans="1:7" x14ac:dyDescent="0.3">
      <c r="A476" s="28">
        <v>46138</v>
      </c>
      <c r="B476" s="24">
        <v>7</v>
      </c>
      <c r="C476" s="29" t="s">
        <v>12</v>
      </c>
      <c r="D476" s="1"/>
      <c r="E476" s="1"/>
      <c r="F476" s="1"/>
      <c r="G476" s="33" t="e">
        <f>VLOOKUP(E476,ACTIVIDADES!A477:D489,2)</f>
        <v>#N/A</v>
      </c>
    </row>
    <row r="477" spans="1:7" x14ac:dyDescent="0.3">
      <c r="A477" s="28">
        <v>46138</v>
      </c>
      <c r="B477" s="24">
        <v>8</v>
      </c>
      <c r="C477" s="30" t="s">
        <v>13</v>
      </c>
      <c r="D477" s="1"/>
      <c r="E477" s="1"/>
      <c r="F477" s="1"/>
      <c r="G477" s="33" t="e">
        <f>VLOOKUP(E477,ACTIVIDADES!A478:D490,2)</f>
        <v>#N/A</v>
      </c>
    </row>
    <row r="478" spans="1:7" x14ac:dyDescent="0.3">
      <c r="A478" s="28">
        <v>46138</v>
      </c>
      <c r="B478" s="24">
        <v>9</v>
      </c>
      <c r="C478" s="29" t="s">
        <v>14</v>
      </c>
      <c r="D478" s="1"/>
      <c r="E478" s="1"/>
      <c r="F478" s="1"/>
      <c r="G478" s="33" t="e">
        <f>VLOOKUP(E478,ACTIVIDADES!A479:D491,2)</f>
        <v>#N/A</v>
      </c>
    </row>
    <row r="479" spans="1:7" x14ac:dyDescent="0.3">
      <c r="A479" s="28">
        <v>46138</v>
      </c>
      <c r="B479" s="24">
        <v>10</v>
      </c>
      <c r="C479" s="30" t="s">
        <v>15</v>
      </c>
      <c r="D479" s="1"/>
      <c r="E479" s="1"/>
      <c r="F479" s="1"/>
      <c r="G479" s="33" t="e">
        <f>VLOOKUP(E479,ACTIVIDADES!A480:D492,2)</f>
        <v>#N/A</v>
      </c>
    </row>
    <row r="480" spans="1:7" x14ac:dyDescent="0.3">
      <c r="A480" s="28">
        <v>46138</v>
      </c>
      <c r="B480" s="24">
        <v>11</v>
      </c>
      <c r="C480" s="29" t="s">
        <v>16</v>
      </c>
      <c r="D480" s="1"/>
      <c r="E480" s="1"/>
      <c r="F480" s="1"/>
      <c r="G480" s="33" t="e">
        <f>VLOOKUP(E480,ACTIVIDADES!A481:D493,2)</f>
        <v>#N/A</v>
      </c>
    </row>
    <row r="481" spans="1:7" x14ac:dyDescent="0.3">
      <c r="A481" s="28">
        <v>46138</v>
      </c>
      <c r="B481" s="24">
        <v>12</v>
      </c>
      <c r="C481" s="30" t="s">
        <v>17</v>
      </c>
      <c r="D481" s="1"/>
      <c r="E481" s="1"/>
      <c r="F481" s="1"/>
      <c r="G481" s="33" t="e">
        <f>VLOOKUP(E481,ACTIVIDADES!A482:D494,2)</f>
        <v>#N/A</v>
      </c>
    </row>
    <row r="482" spans="1:7" x14ac:dyDescent="0.3">
      <c r="A482" s="28">
        <v>46138</v>
      </c>
      <c r="B482" s="24">
        <v>13</v>
      </c>
      <c r="C482" s="29" t="s">
        <v>18</v>
      </c>
      <c r="D482" s="1"/>
      <c r="E482" s="1"/>
      <c r="F482" s="1"/>
      <c r="G482" s="33" t="e">
        <f>VLOOKUP(E482,ACTIVIDADES!A483:D495,2)</f>
        <v>#N/A</v>
      </c>
    </row>
    <row r="483" spans="1:7" x14ac:dyDescent="0.3">
      <c r="A483" s="28">
        <v>46138</v>
      </c>
      <c r="B483" s="24">
        <v>14</v>
      </c>
      <c r="C483" s="30" t="s">
        <v>19</v>
      </c>
      <c r="D483" s="1"/>
      <c r="E483" s="1"/>
      <c r="F483" s="1"/>
      <c r="G483" s="33" t="e">
        <f>VLOOKUP(E483,ACTIVIDADES!A484:D496,2)</f>
        <v>#N/A</v>
      </c>
    </row>
    <row r="484" spans="1:7" x14ac:dyDescent="0.3">
      <c r="A484" s="28">
        <v>46138</v>
      </c>
      <c r="B484" s="24">
        <v>15</v>
      </c>
      <c r="C484" s="29" t="s">
        <v>20</v>
      </c>
      <c r="D484" s="1"/>
      <c r="E484" s="1"/>
      <c r="F484" s="1"/>
      <c r="G484" s="33" t="e">
        <f>VLOOKUP(E484,ACTIVIDADES!A485:D497,2)</f>
        <v>#N/A</v>
      </c>
    </row>
    <row r="485" spans="1:7" x14ac:dyDescent="0.3">
      <c r="A485" s="28">
        <v>46138</v>
      </c>
      <c r="B485" s="24">
        <v>16</v>
      </c>
      <c r="C485" s="30" t="s">
        <v>21</v>
      </c>
      <c r="D485" s="1"/>
      <c r="E485" s="1"/>
      <c r="F485" s="1"/>
      <c r="G485" s="33" t="e">
        <f>VLOOKUP(E485,ACTIVIDADES!A486:D498,2)</f>
        <v>#N/A</v>
      </c>
    </row>
    <row r="486" spans="1:7" x14ac:dyDescent="0.3">
      <c r="A486" s="28">
        <v>46138</v>
      </c>
      <c r="B486" s="24">
        <v>17</v>
      </c>
      <c r="C486" s="29" t="s">
        <v>8</v>
      </c>
      <c r="D486" s="1"/>
      <c r="E486" s="1"/>
      <c r="F486" s="1"/>
      <c r="G486" s="33" t="e">
        <f>VLOOKUP(E486,ACTIVIDADES!A487:D499,2)</f>
        <v>#N/A</v>
      </c>
    </row>
    <row r="487" spans="1:7" x14ac:dyDescent="0.3">
      <c r="A487" s="28">
        <v>46138</v>
      </c>
      <c r="B487" s="24">
        <v>18</v>
      </c>
      <c r="C487" s="30" t="s">
        <v>23</v>
      </c>
      <c r="D487" s="1"/>
      <c r="E487" s="1"/>
      <c r="F487" s="1"/>
      <c r="G487" s="33" t="e">
        <f>VLOOKUP(E487,ACTIVIDADES!A488:D500,2)</f>
        <v>#N/A</v>
      </c>
    </row>
    <row r="488" spans="1:7" x14ac:dyDescent="0.3">
      <c r="A488" s="28">
        <v>46138</v>
      </c>
      <c r="B488" s="24">
        <v>19</v>
      </c>
      <c r="C488" s="29" t="s">
        <v>92</v>
      </c>
      <c r="D488" s="1"/>
      <c r="E488" s="1"/>
      <c r="F488" s="1"/>
      <c r="G488" s="33" t="e">
        <f>VLOOKUP(E488,ACTIVIDADES!A489:D501,2)</f>
        <v>#N/A</v>
      </c>
    </row>
    <row r="489" spans="1:7" x14ac:dyDescent="0.3">
      <c r="A489" s="28">
        <v>46138</v>
      </c>
      <c r="B489" s="24">
        <v>20</v>
      </c>
      <c r="C489" s="30" t="s">
        <v>25</v>
      </c>
      <c r="D489" s="1"/>
      <c r="E489" s="1"/>
      <c r="F489" s="1"/>
      <c r="G489" s="33" t="e">
        <f>VLOOKUP(E489,ACTIVIDADES!A490:D502,2)</f>
        <v>#N/A</v>
      </c>
    </row>
    <row r="490" spans="1:7" x14ac:dyDescent="0.3">
      <c r="A490" s="28">
        <v>46138</v>
      </c>
      <c r="B490" s="24">
        <v>21</v>
      </c>
      <c r="C490" s="29" t="s">
        <v>26</v>
      </c>
      <c r="D490" s="1"/>
      <c r="E490" s="1"/>
      <c r="F490" s="1"/>
      <c r="G490" s="33" t="e">
        <f>VLOOKUP(E490,ACTIVIDADES!A491:D503,2)</f>
        <v>#N/A</v>
      </c>
    </row>
    <row r="491" spans="1:7" x14ac:dyDescent="0.3">
      <c r="A491" s="28">
        <v>46138</v>
      </c>
      <c r="B491" s="24">
        <v>22</v>
      </c>
      <c r="C491" s="30" t="s">
        <v>27</v>
      </c>
      <c r="D491" s="1"/>
      <c r="E491" s="1"/>
      <c r="F491" s="1"/>
      <c r="G491" s="33" t="e">
        <f>VLOOKUP(E491,ACTIVIDADES!A492:D504,2)</f>
        <v>#N/A</v>
      </c>
    </row>
    <row r="492" spans="1:7" x14ac:dyDescent="0.3">
      <c r="A492" s="28">
        <v>46138</v>
      </c>
      <c r="B492" s="24">
        <v>23</v>
      </c>
      <c r="C492" s="29" t="s">
        <v>28</v>
      </c>
      <c r="D492" s="1"/>
      <c r="E492" s="1"/>
      <c r="F492" s="1"/>
      <c r="G492" s="33" t="e">
        <f>VLOOKUP(E492,ACTIVIDADES!A493:D505,2)</f>
        <v>#N/A</v>
      </c>
    </row>
    <row r="493" spans="1:7" x14ac:dyDescent="0.3">
      <c r="A493" s="28">
        <v>46138</v>
      </c>
      <c r="B493" s="24">
        <v>24</v>
      </c>
      <c r="C493" s="30" t="s">
        <v>29</v>
      </c>
      <c r="D493" s="1"/>
      <c r="E493" s="1"/>
      <c r="F493" s="1"/>
      <c r="G493" s="33" t="e">
        <f>VLOOKUP(E493,ACTIVIDADES!A494:D506,2)</f>
        <v>#N/A</v>
      </c>
    </row>
    <row r="494" spans="1:7" x14ac:dyDescent="0.3">
      <c r="A494" s="28">
        <v>46138</v>
      </c>
      <c r="B494" s="24">
        <v>25</v>
      </c>
      <c r="C494" s="29" t="s">
        <v>30</v>
      </c>
      <c r="D494" s="1"/>
      <c r="E494" s="1"/>
      <c r="F494" s="1"/>
      <c r="G494" s="33" t="e">
        <f>VLOOKUP(E494,ACTIVIDADES!A495:D507,2)</f>
        <v>#N/A</v>
      </c>
    </row>
    <row r="495" spans="1:7" x14ac:dyDescent="0.3">
      <c r="A495" s="28">
        <v>46138</v>
      </c>
      <c r="B495" s="24">
        <v>26</v>
      </c>
      <c r="C495" s="30" t="s">
        <v>31</v>
      </c>
      <c r="D495" s="1"/>
      <c r="E495" s="1"/>
      <c r="F495" s="1"/>
      <c r="G495" s="33" t="e">
        <f>VLOOKUP(E495,ACTIVIDADES!A496:D508,2)</f>
        <v>#N/A</v>
      </c>
    </row>
    <row r="496" spans="1:7" x14ac:dyDescent="0.3">
      <c r="A496" s="28">
        <v>46138</v>
      </c>
      <c r="B496" s="24">
        <v>27</v>
      </c>
      <c r="C496" s="29" t="s">
        <v>32</v>
      </c>
      <c r="D496" s="1"/>
      <c r="E496" s="1"/>
      <c r="F496" s="1"/>
      <c r="G496" s="33" t="e">
        <f>VLOOKUP(E496,ACTIVIDADES!A497:D509,2)</f>
        <v>#N/A</v>
      </c>
    </row>
    <row r="497" spans="1:7" x14ac:dyDescent="0.3">
      <c r="A497" s="28">
        <v>46138</v>
      </c>
      <c r="B497" s="24">
        <v>28</v>
      </c>
      <c r="C497" s="30" t="s">
        <v>33</v>
      </c>
      <c r="D497" s="1"/>
      <c r="E497" s="1"/>
      <c r="F497" s="1"/>
      <c r="G497" s="33" t="e">
        <f>VLOOKUP(E497,ACTIVIDADES!A498:D510,2)</f>
        <v>#N/A</v>
      </c>
    </row>
    <row r="498" spans="1:7" x14ac:dyDescent="0.3">
      <c r="A498" s="28">
        <v>46138</v>
      </c>
      <c r="B498" s="24">
        <v>29</v>
      </c>
      <c r="C498" s="29" t="s">
        <v>34</v>
      </c>
      <c r="D498" s="1"/>
      <c r="E498" s="1"/>
      <c r="F498" s="1"/>
      <c r="G498" s="33" t="e">
        <f>VLOOKUP(E498,ACTIVIDADES!A499:D511,2)</f>
        <v>#N/A</v>
      </c>
    </row>
    <row r="499" spans="1:7" x14ac:dyDescent="0.3">
      <c r="A499" s="28">
        <v>46138</v>
      </c>
      <c r="B499" s="24">
        <v>30</v>
      </c>
      <c r="C499" s="30" t="s">
        <v>35</v>
      </c>
      <c r="D499" s="1"/>
      <c r="E499" s="1"/>
      <c r="F499" s="1"/>
      <c r="G499" s="33" t="e">
        <f>VLOOKUP(E499,ACTIVIDADES!A500:D512,2)</f>
        <v>#N/A</v>
      </c>
    </row>
    <row r="500" spans="1:7" x14ac:dyDescent="0.3">
      <c r="A500" s="28">
        <v>46138</v>
      </c>
      <c r="B500" s="24">
        <v>31</v>
      </c>
      <c r="C500" s="30" t="s">
        <v>9</v>
      </c>
      <c r="D500" s="1"/>
      <c r="E500" s="1"/>
      <c r="F500" s="1"/>
      <c r="G500" s="33" t="e">
        <f>VLOOKUP(E500,ACTIVIDADES!A501:D513,2)</f>
        <v>#N/A</v>
      </c>
    </row>
    <row r="501" spans="1:7" x14ac:dyDescent="0.3">
      <c r="A501" s="28">
        <v>46138</v>
      </c>
      <c r="B501" s="24">
        <v>32</v>
      </c>
      <c r="C501" s="30" t="s">
        <v>37</v>
      </c>
      <c r="D501" s="1"/>
      <c r="E501" s="1"/>
      <c r="F501" s="1"/>
      <c r="G501" s="33" t="e">
        <f>VLOOKUP(E501,ACTIVIDADES!A502:D514,2)</f>
        <v>#N/A</v>
      </c>
    </row>
    <row r="502" spans="1:7" x14ac:dyDescent="0.3">
      <c r="A502" s="28">
        <v>46138</v>
      </c>
      <c r="B502" s="24">
        <v>33</v>
      </c>
      <c r="C502" s="30" t="s">
        <v>7</v>
      </c>
      <c r="D502" s="1"/>
      <c r="E502" s="1"/>
      <c r="F502" s="1"/>
      <c r="G502" s="33" t="e">
        <f>VLOOKUP(E502,ACTIVIDADES!A503:D515,2)</f>
        <v>#N/A</v>
      </c>
    </row>
    <row r="503" spans="1:7" x14ac:dyDescent="0.3">
      <c r="A503" s="28">
        <v>46138</v>
      </c>
      <c r="B503" s="24">
        <v>34</v>
      </c>
      <c r="C503" s="30" t="s">
        <v>143</v>
      </c>
      <c r="D503" s="1"/>
      <c r="E503" s="1"/>
      <c r="F503" s="1"/>
      <c r="G503" s="33" t="e">
        <f>VLOOKUP(E503,ACTIVIDADES!A504:D516,2)</f>
        <v>#N/A</v>
      </c>
    </row>
    <row r="504" spans="1:7" x14ac:dyDescent="0.3">
      <c r="A504" s="28">
        <v>46138</v>
      </c>
      <c r="B504" s="24">
        <v>35</v>
      </c>
      <c r="C504" s="29" t="s">
        <v>40</v>
      </c>
      <c r="D504" s="1"/>
      <c r="E504" s="1"/>
      <c r="F504" s="1"/>
      <c r="G504" s="33" t="e">
        <f>VLOOKUP(E504,ACTIVIDADES!A505:D517,2)</f>
        <v>#N/A</v>
      </c>
    </row>
    <row r="505" spans="1:7" x14ac:dyDescent="0.3">
      <c r="A505" s="28">
        <v>46138</v>
      </c>
      <c r="B505" s="24">
        <v>36</v>
      </c>
      <c r="C505" s="29" t="s">
        <v>41</v>
      </c>
      <c r="D505" s="1"/>
      <c r="E505" s="1"/>
      <c r="F505" s="1"/>
      <c r="G505" s="33" t="e">
        <f>VLOOKUP(E505,ACTIVIDADES!A506:D518,2)</f>
        <v>#N/A</v>
      </c>
    </row>
    <row r="506" spans="1:7" x14ac:dyDescent="0.3">
      <c r="A506" s="28">
        <v>46138</v>
      </c>
      <c r="B506" s="24">
        <v>37</v>
      </c>
      <c r="C506" s="30" t="s">
        <v>42</v>
      </c>
      <c r="D506" s="1"/>
      <c r="E506" s="1"/>
      <c r="F506" s="1"/>
      <c r="G506" s="33" t="e">
        <f>VLOOKUP(E506,ACTIVIDADES!A507:D519,2)</f>
        <v>#N/A</v>
      </c>
    </row>
    <row r="507" spans="1:7" x14ac:dyDescent="0.3">
      <c r="A507" s="28">
        <v>46138</v>
      </c>
      <c r="B507" s="24">
        <v>38</v>
      </c>
      <c r="C507" s="30" t="s">
        <v>43</v>
      </c>
      <c r="D507" s="1"/>
      <c r="E507" s="1"/>
      <c r="F507" s="1"/>
      <c r="G507" s="33" t="e">
        <f>VLOOKUP(E507,ACTIVIDADES!A508:D520,2)</f>
        <v>#N/A</v>
      </c>
    </row>
    <row r="508" spans="1:7" x14ac:dyDescent="0.3">
      <c r="A508" s="28">
        <v>46138</v>
      </c>
      <c r="B508" s="24">
        <v>39</v>
      </c>
      <c r="C508" s="29" t="s">
        <v>44</v>
      </c>
      <c r="D508" s="1"/>
      <c r="E508" s="1"/>
      <c r="F508" s="1"/>
      <c r="G508" s="33" t="e">
        <f>VLOOKUP(E508,ACTIVIDADES!A509:D521,2)</f>
        <v>#N/A</v>
      </c>
    </row>
    <row r="509" spans="1:7" x14ac:dyDescent="0.3">
      <c r="A509" s="28">
        <v>46139</v>
      </c>
      <c r="B509" s="24">
        <v>1</v>
      </c>
      <c r="C509" s="29" t="s">
        <v>6</v>
      </c>
      <c r="D509" s="1" t="s">
        <v>49</v>
      </c>
      <c r="E509" s="1" t="s">
        <v>49</v>
      </c>
      <c r="F509" s="1">
        <v>1</v>
      </c>
      <c r="G509" s="33" t="e">
        <f>VLOOKUP(E509,ACTIVIDADES!A510:D522,2)</f>
        <v>#N/A</v>
      </c>
    </row>
    <row r="510" spans="1:7" x14ac:dyDescent="0.3">
      <c r="A510" s="28">
        <v>46139</v>
      </c>
      <c r="B510" s="24">
        <v>2</v>
      </c>
      <c r="C510" s="29" t="s">
        <v>10</v>
      </c>
      <c r="D510" s="1" t="s">
        <v>49</v>
      </c>
      <c r="E510" s="1" t="s">
        <v>49</v>
      </c>
      <c r="F510" s="1">
        <v>1</v>
      </c>
      <c r="G510" s="33" t="e">
        <f>VLOOKUP(E510,ACTIVIDADES!A511:D523,2)</f>
        <v>#N/A</v>
      </c>
    </row>
    <row r="511" spans="1:7" x14ac:dyDescent="0.3">
      <c r="A511" s="28">
        <v>46139</v>
      </c>
      <c r="B511" s="24">
        <v>3</v>
      </c>
      <c r="C511" s="29" t="s">
        <v>22</v>
      </c>
      <c r="D511" s="1" t="s">
        <v>48</v>
      </c>
      <c r="E511" s="1" t="s">
        <v>48</v>
      </c>
      <c r="F511" s="1">
        <v>1</v>
      </c>
      <c r="G511" s="33" t="e">
        <f>VLOOKUP(E511,ACTIVIDADES!A512:D524,2)</f>
        <v>#N/A</v>
      </c>
    </row>
    <row r="512" spans="1:7" x14ac:dyDescent="0.3">
      <c r="A512" s="28">
        <v>46139</v>
      </c>
      <c r="B512" s="24">
        <v>4</v>
      </c>
      <c r="C512" s="29" t="s">
        <v>36</v>
      </c>
      <c r="D512" s="1" t="s">
        <v>51</v>
      </c>
      <c r="E512" s="1" t="s">
        <v>50</v>
      </c>
      <c r="F512" s="1">
        <v>1</v>
      </c>
      <c r="G512" s="33" t="e">
        <f>VLOOKUP(E512,ACTIVIDADES!A513:D525,2)</f>
        <v>#N/A</v>
      </c>
    </row>
    <row r="513" spans="1:7" x14ac:dyDescent="0.3">
      <c r="A513" s="28">
        <v>46139</v>
      </c>
      <c r="B513" s="24">
        <v>5</v>
      </c>
      <c r="C513" s="29" t="s">
        <v>38</v>
      </c>
      <c r="D513" s="1" t="s">
        <v>51</v>
      </c>
      <c r="E513" s="1" t="s">
        <v>50</v>
      </c>
      <c r="F513" s="1">
        <v>1</v>
      </c>
      <c r="G513" s="33" t="e">
        <f>VLOOKUP(E513,ACTIVIDADES!A514:D526,2)</f>
        <v>#N/A</v>
      </c>
    </row>
    <row r="514" spans="1:7" x14ac:dyDescent="0.3">
      <c r="A514" s="28">
        <v>46139</v>
      </c>
      <c r="B514" s="24">
        <v>6</v>
      </c>
      <c r="C514" s="30" t="s">
        <v>11</v>
      </c>
      <c r="D514" s="1" t="s">
        <v>63</v>
      </c>
      <c r="E514" s="1" t="s">
        <v>60</v>
      </c>
      <c r="F514" s="1">
        <v>1</v>
      </c>
      <c r="G514" s="33" t="e">
        <f>VLOOKUP(E514,ACTIVIDADES!A515:D527,2)</f>
        <v>#N/A</v>
      </c>
    </row>
    <row r="515" spans="1:7" x14ac:dyDescent="0.3">
      <c r="A515" s="28">
        <v>46139</v>
      </c>
      <c r="B515" s="24">
        <v>7</v>
      </c>
      <c r="C515" s="29" t="s">
        <v>12</v>
      </c>
      <c r="D515" s="1" t="s">
        <v>63</v>
      </c>
      <c r="E515" s="1" t="s">
        <v>60</v>
      </c>
      <c r="F515" s="1">
        <v>1</v>
      </c>
      <c r="G515" s="33" t="e">
        <f>VLOOKUP(E515,ACTIVIDADES!A516:D528,2)</f>
        <v>#N/A</v>
      </c>
    </row>
    <row r="516" spans="1:7" x14ac:dyDescent="0.3">
      <c r="A516" s="28">
        <v>46139</v>
      </c>
      <c r="B516" s="24">
        <v>8</v>
      </c>
      <c r="C516" s="30" t="s">
        <v>13</v>
      </c>
      <c r="D516" s="1" t="s">
        <v>63</v>
      </c>
      <c r="E516" s="1" t="s">
        <v>60</v>
      </c>
      <c r="F516" s="1">
        <v>1</v>
      </c>
      <c r="G516" s="33" t="e">
        <f>VLOOKUP(E516,ACTIVIDADES!A517:D529,2)</f>
        <v>#N/A</v>
      </c>
    </row>
    <row r="517" spans="1:7" x14ac:dyDescent="0.3">
      <c r="A517" s="28">
        <v>46139</v>
      </c>
      <c r="B517" s="24">
        <v>9</v>
      </c>
      <c r="C517" s="29" t="s">
        <v>14</v>
      </c>
      <c r="D517" s="1" t="s">
        <v>63</v>
      </c>
      <c r="E517" s="1" t="s">
        <v>60</v>
      </c>
      <c r="F517" s="1">
        <v>1</v>
      </c>
      <c r="G517" s="33" t="e">
        <f>VLOOKUP(E517,ACTIVIDADES!A518:D530,2)</f>
        <v>#N/A</v>
      </c>
    </row>
    <row r="518" spans="1:7" x14ac:dyDescent="0.3">
      <c r="A518" s="28">
        <v>46139</v>
      </c>
      <c r="B518" s="24">
        <v>10</v>
      </c>
      <c r="C518" s="30" t="s">
        <v>15</v>
      </c>
      <c r="D518" s="1" t="s">
        <v>63</v>
      </c>
      <c r="E518" s="1" t="s">
        <v>60</v>
      </c>
      <c r="F518" s="1">
        <v>1</v>
      </c>
      <c r="G518" s="33" t="e">
        <f>VLOOKUP(E518,ACTIVIDADES!A519:D531,2)</f>
        <v>#N/A</v>
      </c>
    </row>
    <row r="519" spans="1:7" x14ac:dyDescent="0.3">
      <c r="A519" s="28">
        <v>46139</v>
      </c>
      <c r="B519" s="24">
        <v>11</v>
      </c>
      <c r="C519" s="29" t="s">
        <v>16</v>
      </c>
      <c r="D519" s="1" t="s">
        <v>63</v>
      </c>
      <c r="E519" s="1" t="s">
        <v>60</v>
      </c>
      <c r="F519" s="1">
        <v>1</v>
      </c>
      <c r="G519" s="33" t="e">
        <f>VLOOKUP(E519,ACTIVIDADES!A520:D532,2)</f>
        <v>#N/A</v>
      </c>
    </row>
    <row r="520" spans="1:7" x14ac:dyDescent="0.3">
      <c r="A520" s="28">
        <v>46139</v>
      </c>
      <c r="B520" s="24">
        <v>12</v>
      </c>
      <c r="C520" s="30" t="s">
        <v>17</v>
      </c>
      <c r="D520" s="1" t="s">
        <v>63</v>
      </c>
      <c r="E520" s="1" t="s">
        <v>60</v>
      </c>
      <c r="F520" s="1">
        <v>1</v>
      </c>
      <c r="G520" s="33" t="e">
        <f>VLOOKUP(E520,ACTIVIDADES!A521:D533,2)</f>
        <v>#N/A</v>
      </c>
    </row>
    <row r="521" spans="1:7" x14ac:dyDescent="0.3">
      <c r="A521" s="28">
        <v>46139</v>
      </c>
      <c r="B521" s="24">
        <v>13</v>
      </c>
      <c r="C521" s="29" t="s">
        <v>18</v>
      </c>
      <c r="D521" s="1" t="s">
        <v>63</v>
      </c>
      <c r="E521" s="1" t="s">
        <v>60</v>
      </c>
      <c r="F521" s="1">
        <v>1</v>
      </c>
      <c r="G521" s="33" t="e">
        <f>VLOOKUP(E521,ACTIVIDADES!A522:D534,2)</f>
        <v>#N/A</v>
      </c>
    </row>
    <row r="522" spans="1:7" x14ac:dyDescent="0.3">
      <c r="A522" s="28">
        <v>46139</v>
      </c>
      <c r="B522" s="24">
        <v>14</v>
      </c>
      <c r="C522" s="30" t="s">
        <v>19</v>
      </c>
      <c r="D522" s="1" t="s">
        <v>63</v>
      </c>
      <c r="E522" s="1" t="s">
        <v>60</v>
      </c>
      <c r="F522" s="1">
        <v>1</v>
      </c>
      <c r="G522" s="33" t="e">
        <f>VLOOKUP(E522,ACTIVIDADES!A523:D535,2)</f>
        <v>#N/A</v>
      </c>
    </row>
    <row r="523" spans="1:7" x14ac:dyDescent="0.3">
      <c r="A523" s="28">
        <v>46139</v>
      </c>
      <c r="B523" s="24">
        <v>15</v>
      </c>
      <c r="C523" s="29" t="s">
        <v>20</v>
      </c>
      <c r="D523" s="1" t="s">
        <v>64</v>
      </c>
      <c r="E523" s="1" t="s">
        <v>62</v>
      </c>
      <c r="F523" s="1">
        <v>1</v>
      </c>
      <c r="G523" s="33" t="e">
        <f>VLOOKUP(E523,ACTIVIDADES!A524:D536,2)</f>
        <v>#N/A</v>
      </c>
    </row>
    <row r="524" spans="1:7" x14ac:dyDescent="0.3">
      <c r="A524" s="28">
        <v>46139</v>
      </c>
      <c r="B524" s="24">
        <v>16</v>
      </c>
      <c r="C524" s="30" t="s">
        <v>21</v>
      </c>
      <c r="D524" s="1" t="s">
        <v>63</v>
      </c>
      <c r="E524" s="1" t="s">
        <v>60</v>
      </c>
      <c r="F524" s="1">
        <v>1</v>
      </c>
      <c r="G524" s="33" t="e">
        <f>VLOOKUP(E524,ACTIVIDADES!A525:D537,2)</f>
        <v>#N/A</v>
      </c>
    </row>
    <row r="525" spans="1:7" x14ac:dyDescent="0.3">
      <c r="A525" s="28">
        <v>46139</v>
      </c>
      <c r="B525" s="24">
        <v>17</v>
      </c>
      <c r="C525" s="29" t="s">
        <v>8</v>
      </c>
      <c r="D525" s="1" t="s">
        <v>63</v>
      </c>
      <c r="E525" s="1" t="s">
        <v>60</v>
      </c>
      <c r="F525" s="1">
        <v>1</v>
      </c>
      <c r="G525" s="33" t="e">
        <f>VLOOKUP(E525,ACTIVIDADES!A526:D538,2)</f>
        <v>#N/A</v>
      </c>
    </row>
    <row r="526" spans="1:7" x14ac:dyDescent="0.3">
      <c r="A526" s="28">
        <v>46139</v>
      </c>
      <c r="B526" s="24">
        <v>18</v>
      </c>
      <c r="C526" s="30" t="s">
        <v>23</v>
      </c>
      <c r="D526" s="1" t="s">
        <v>63</v>
      </c>
      <c r="E526" s="1" t="s">
        <v>60</v>
      </c>
      <c r="F526" s="1">
        <v>1</v>
      </c>
      <c r="G526" s="33" t="e">
        <f>VLOOKUP(E526,ACTIVIDADES!A527:D539,2)</f>
        <v>#N/A</v>
      </c>
    </row>
    <row r="527" spans="1:7" x14ac:dyDescent="0.3">
      <c r="A527" s="28">
        <v>46139</v>
      </c>
      <c r="B527" s="24">
        <v>19</v>
      </c>
      <c r="C527" s="29" t="s">
        <v>24</v>
      </c>
      <c r="D527" s="1" t="s">
        <v>63</v>
      </c>
      <c r="E527" s="1" t="s">
        <v>60</v>
      </c>
      <c r="F527" s="1">
        <v>1</v>
      </c>
      <c r="G527" s="33" t="e">
        <f>VLOOKUP(E527,ACTIVIDADES!A528:D540,2)</f>
        <v>#N/A</v>
      </c>
    </row>
    <row r="528" spans="1:7" x14ac:dyDescent="0.3">
      <c r="A528" s="28">
        <v>46139</v>
      </c>
      <c r="B528" s="24">
        <v>20</v>
      </c>
      <c r="C528" s="30" t="s">
        <v>25</v>
      </c>
      <c r="D528" s="1" t="s">
        <v>63</v>
      </c>
      <c r="E528" s="1" t="s">
        <v>60</v>
      </c>
      <c r="F528" s="1">
        <v>1</v>
      </c>
      <c r="G528" s="33" t="e">
        <f>VLOOKUP(E528,ACTIVIDADES!A529:D541,2)</f>
        <v>#N/A</v>
      </c>
    </row>
    <row r="529" spans="1:7" x14ac:dyDescent="0.3">
      <c r="A529" s="28">
        <v>46139</v>
      </c>
      <c r="B529" s="24">
        <v>21</v>
      </c>
      <c r="C529" s="29" t="s">
        <v>26</v>
      </c>
      <c r="D529" s="1" t="s">
        <v>63</v>
      </c>
      <c r="E529" s="1" t="s">
        <v>60</v>
      </c>
      <c r="F529" s="1">
        <v>1</v>
      </c>
      <c r="G529" s="33" t="e">
        <f>VLOOKUP(E529,ACTIVIDADES!A530:D542,2)</f>
        <v>#N/A</v>
      </c>
    </row>
    <row r="530" spans="1:7" x14ac:dyDescent="0.3">
      <c r="A530" s="28">
        <v>46139</v>
      </c>
      <c r="B530" s="24">
        <v>22</v>
      </c>
      <c r="C530" s="30" t="s">
        <v>27</v>
      </c>
      <c r="D530" s="1" t="s">
        <v>63</v>
      </c>
      <c r="E530" s="1" t="s">
        <v>60</v>
      </c>
      <c r="F530" s="1">
        <v>1</v>
      </c>
      <c r="G530" s="33" t="e">
        <f>VLOOKUP(E530,ACTIVIDADES!A531:D543,2)</f>
        <v>#N/A</v>
      </c>
    </row>
    <row r="531" spans="1:7" x14ac:dyDescent="0.3">
      <c r="A531" s="28">
        <v>46139</v>
      </c>
      <c r="B531" s="24">
        <v>23</v>
      </c>
      <c r="C531" s="29" t="s">
        <v>28</v>
      </c>
      <c r="D531" s="1" t="s">
        <v>63</v>
      </c>
      <c r="E531" s="1" t="s">
        <v>60</v>
      </c>
      <c r="F531" s="1">
        <v>1</v>
      </c>
      <c r="G531" s="33" t="e">
        <f>VLOOKUP(E531,ACTIVIDADES!A532:D544,2)</f>
        <v>#N/A</v>
      </c>
    </row>
    <row r="532" spans="1:7" x14ac:dyDescent="0.3">
      <c r="A532" s="28">
        <v>46139</v>
      </c>
      <c r="B532" s="24">
        <v>24</v>
      </c>
      <c r="C532" s="30" t="s">
        <v>29</v>
      </c>
      <c r="D532" s="1" t="s">
        <v>63</v>
      </c>
      <c r="E532" s="1" t="s">
        <v>60</v>
      </c>
      <c r="F532" s="1">
        <v>1</v>
      </c>
      <c r="G532" s="33" t="e">
        <f>VLOOKUP(E532,ACTIVIDADES!A533:D545,2)</f>
        <v>#N/A</v>
      </c>
    </row>
    <row r="533" spans="1:7" x14ac:dyDescent="0.3">
      <c r="A533" s="28">
        <v>46139</v>
      </c>
      <c r="B533" s="24">
        <v>25</v>
      </c>
      <c r="C533" s="29" t="s">
        <v>30</v>
      </c>
      <c r="D533" s="1" t="s">
        <v>63</v>
      </c>
      <c r="E533" s="1" t="s">
        <v>60</v>
      </c>
      <c r="F533" s="1">
        <v>1</v>
      </c>
      <c r="G533" s="33" t="e">
        <f>VLOOKUP(E533,ACTIVIDADES!A534:D546,2)</f>
        <v>#N/A</v>
      </c>
    </row>
    <row r="534" spans="1:7" x14ac:dyDescent="0.3">
      <c r="A534" s="28">
        <v>46139</v>
      </c>
      <c r="B534" s="24">
        <v>26</v>
      </c>
      <c r="C534" s="30" t="s">
        <v>31</v>
      </c>
      <c r="D534" s="1" t="s">
        <v>63</v>
      </c>
      <c r="E534" s="1" t="s">
        <v>60</v>
      </c>
      <c r="F534" s="1">
        <v>1</v>
      </c>
      <c r="G534" s="33" t="e">
        <f>VLOOKUP(E534,ACTIVIDADES!A535:D547,2)</f>
        <v>#N/A</v>
      </c>
    </row>
    <row r="535" spans="1:7" x14ac:dyDescent="0.3">
      <c r="A535" s="28">
        <v>46139</v>
      </c>
      <c r="B535" s="24">
        <v>27</v>
      </c>
      <c r="C535" s="29" t="s">
        <v>32</v>
      </c>
      <c r="D535" s="1"/>
      <c r="E535" s="1"/>
      <c r="F535" s="1"/>
      <c r="G535" s="33" t="e">
        <f>VLOOKUP(E535,ACTIVIDADES!A536:D548,2)</f>
        <v>#N/A</v>
      </c>
    </row>
    <row r="536" spans="1:7" x14ac:dyDescent="0.3">
      <c r="A536" s="28">
        <v>46139</v>
      </c>
      <c r="B536" s="24">
        <v>28</v>
      </c>
      <c r="C536" s="30" t="s">
        <v>33</v>
      </c>
      <c r="D536" s="1" t="s">
        <v>63</v>
      </c>
      <c r="E536" s="1" t="s">
        <v>60</v>
      </c>
      <c r="F536" s="1">
        <v>1</v>
      </c>
      <c r="G536" s="33" t="e">
        <f>VLOOKUP(E536,ACTIVIDADES!A537:D549,2)</f>
        <v>#N/A</v>
      </c>
    </row>
    <row r="537" spans="1:7" x14ac:dyDescent="0.3">
      <c r="A537" s="28">
        <v>46139</v>
      </c>
      <c r="B537" s="24">
        <v>29</v>
      </c>
      <c r="C537" s="29" t="s">
        <v>34</v>
      </c>
      <c r="D537" s="1" t="s">
        <v>63</v>
      </c>
      <c r="E537" s="1" t="s">
        <v>60</v>
      </c>
      <c r="F537" s="1">
        <v>1</v>
      </c>
      <c r="G537" s="33" t="e">
        <f>VLOOKUP(E537,ACTIVIDADES!A538:D550,2)</f>
        <v>#N/A</v>
      </c>
    </row>
    <row r="538" spans="1:7" x14ac:dyDescent="0.3">
      <c r="A538" s="28">
        <v>46139</v>
      </c>
      <c r="B538" s="24">
        <v>30</v>
      </c>
      <c r="C538" s="30" t="s">
        <v>35</v>
      </c>
      <c r="D538" s="1" t="s">
        <v>63</v>
      </c>
      <c r="E538" s="1" t="s">
        <v>60</v>
      </c>
      <c r="F538" s="1">
        <v>1</v>
      </c>
      <c r="G538" s="33" t="e">
        <f>VLOOKUP(E538,ACTIVIDADES!A539:D551,2)</f>
        <v>#N/A</v>
      </c>
    </row>
    <row r="539" spans="1:7" x14ac:dyDescent="0.3">
      <c r="A539" s="28">
        <v>46139</v>
      </c>
      <c r="B539" s="24">
        <v>31</v>
      </c>
      <c r="C539" s="30" t="s">
        <v>9</v>
      </c>
      <c r="D539" s="1" t="s">
        <v>63</v>
      </c>
      <c r="E539" s="1" t="s">
        <v>60</v>
      </c>
      <c r="F539" s="1">
        <v>1</v>
      </c>
      <c r="G539" s="33" t="e">
        <f>VLOOKUP(E539,ACTIVIDADES!A540:D552,2)</f>
        <v>#N/A</v>
      </c>
    </row>
    <row r="540" spans="1:7" x14ac:dyDescent="0.3">
      <c r="A540" s="28">
        <v>46139</v>
      </c>
      <c r="B540" s="24">
        <v>32</v>
      </c>
      <c r="C540" s="30" t="s">
        <v>37</v>
      </c>
      <c r="D540" s="1" t="s">
        <v>63</v>
      </c>
      <c r="E540" s="1" t="s">
        <v>60</v>
      </c>
      <c r="F540" s="1">
        <v>1</v>
      </c>
      <c r="G540" s="33" t="e">
        <f>VLOOKUP(E540,ACTIVIDADES!A541:D553,2)</f>
        <v>#N/A</v>
      </c>
    </row>
    <row r="541" spans="1:7" x14ac:dyDescent="0.3">
      <c r="A541" s="28">
        <v>46139</v>
      </c>
      <c r="B541" s="24">
        <v>33</v>
      </c>
      <c r="C541" s="30" t="s">
        <v>7</v>
      </c>
      <c r="D541" s="1" t="s">
        <v>63</v>
      </c>
      <c r="E541" s="1" t="s">
        <v>60</v>
      </c>
      <c r="F541" s="1">
        <v>1</v>
      </c>
      <c r="G541" s="33" t="e">
        <f>VLOOKUP(E541,ACTIVIDADES!A542:D554,2)</f>
        <v>#N/A</v>
      </c>
    </row>
    <row r="542" spans="1:7" x14ac:dyDescent="0.3">
      <c r="A542" s="28">
        <v>46139</v>
      </c>
      <c r="B542" s="24">
        <v>34</v>
      </c>
      <c r="C542" s="30" t="s">
        <v>39</v>
      </c>
      <c r="D542" s="1" t="s">
        <v>63</v>
      </c>
      <c r="E542" s="1" t="s">
        <v>60</v>
      </c>
      <c r="F542" s="1">
        <v>1</v>
      </c>
      <c r="G542" s="33" t="e">
        <f>VLOOKUP(E542,ACTIVIDADES!A543:D555,2)</f>
        <v>#N/A</v>
      </c>
    </row>
    <row r="543" spans="1:7" x14ac:dyDescent="0.3">
      <c r="A543" s="28">
        <v>46139</v>
      </c>
      <c r="B543" s="24">
        <v>35</v>
      </c>
      <c r="C543" s="29" t="s">
        <v>40</v>
      </c>
      <c r="D543" s="1" t="s">
        <v>63</v>
      </c>
      <c r="E543" s="1" t="s">
        <v>60</v>
      </c>
      <c r="F543" s="1">
        <v>1</v>
      </c>
      <c r="G543" s="33" t="e">
        <f>VLOOKUP(E543,ACTIVIDADES!A544:D556,2)</f>
        <v>#N/A</v>
      </c>
    </row>
    <row r="544" spans="1:7" x14ac:dyDescent="0.3">
      <c r="A544" s="28">
        <v>46139</v>
      </c>
      <c r="B544" s="24">
        <v>36</v>
      </c>
      <c r="C544" s="29" t="s">
        <v>41</v>
      </c>
      <c r="D544" s="1" t="s">
        <v>63</v>
      </c>
      <c r="E544" s="1" t="s">
        <v>60</v>
      </c>
      <c r="F544" s="1">
        <v>1</v>
      </c>
      <c r="G544" s="33" t="e">
        <f>VLOOKUP(E544,ACTIVIDADES!A545:D557,2)</f>
        <v>#N/A</v>
      </c>
    </row>
    <row r="545" spans="1:7" x14ac:dyDescent="0.3">
      <c r="A545" s="28">
        <v>46139</v>
      </c>
      <c r="B545" s="24">
        <v>37</v>
      </c>
      <c r="C545" s="30" t="s">
        <v>42</v>
      </c>
      <c r="D545" s="1" t="s">
        <v>63</v>
      </c>
      <c r="E545" s="1" t="s">
        <v>60</v>
      </c>
      <c r="F545" s="1">
        <v>1</v>
      </c>
      <c r="G545" s="33" t="e">
        <f>VLOOKUP(E545,ACTIVIDADES!A546:D558,2)</f>
        <v>#N/A</v>
      </c>
    </row>
    <row r="546" spans="1:7" x14ac:dyDescent="0.3">
      <c r="A546" s="28">
        <v>46139</v>
      </c>
      <c r="B546" s="24">
        <v>38</v>
      </c>
      <c r="C546" s="30" t="s">
        <v>43</v>
      </c>
      <c r="D546" s="1" t="s">
        <v>63</v>
      </c>
      <c r="E546" s="1" t="s">
        <v>60</v>
      </c>
      <c r="F546" s="1">
        <v>1</v>
      </c>
      <c r="G546" s="33" t="e">
        <f>VLOOKUP(E546,ACTIVIDADES!A547:D559,2)</f>
        <v>#N/A</v>
      </c>
    </row>
    <row r="547" spans="1:7" x14ac:dyDescent="0.3">
      <c r="A547" s="28">
        <v>46139</v>
      </c>
      <c r="B547" s="24">
        <v>39</v>
      </c>
      <c r="C547" s="29" t="s">
        <v>44</v>
      </c>
      <c r="D547" s="1" t="s">
        <v>63</v>
      </c>
      <c r="E547" s="1" t="s">
        <v>60</v>
      </c>
      <c r="F547" s="1">
        <v>1</v>
      </c>
      <c r="G547" s="33" t="e">
        <f>VLOOKUP(E547,ACTIVIDADES!A548:D560,2)</f>
        <v>#N/A</v>
      </c>
    </row>
    <row r="548" spans="1:7" x14ac:dyDescent="0.3">
      <c r="A548" s="28">
        <v>46140</v>
      </c>
      <c r="B548" s="24">
        <v>1</v>
      </c>
      <c r="C548" s="29" t="s">
        <v>6</v>
      </c>
      <c r="D548" s="1" t="s">
        <v>49</v>
      </c>
      <c r="E548" s="1" t="s">
        <v>49</v>
      </c>
      <c r="F548" s="1">
        <v>1</v>
      </c>
      <c r="G548" s="33" t="e">
        <f>VLOOKUP(E548,ACTIVIDADES!A549:D561,2)</f>
        <v>#N/A</v>
      </c>
    </row>
    <row r="549" spans="1:7" x14ac:dyDescent="0.3">
      <c r="A549" s="28">
        <v>46140</v>
      </c>
      <c r="B549" s="24">
        <v>2</v>
      </c>
      <c r="C549" s="29" t="s">
        <v>10</v>
      </c>
      <c r="D549" s="1" t="s">
        <v>49</v>
      </c>
      <c r="E549" s="1" t="s">
        <v>49</v>
      </c>
      <c r="F549" s="1">
        <v>1</v>
      </c>
      <c r="G549" s="33" t="e">
        <f>VLOOKUP(E549,ACTIVIDADES!A550:D562,2)</f>
        <v>#N/A</v>
      </c>
    </row>
    <row r="550" spans="1:7" x14ac:dyDescent="0.3">
      <c r="A550" s="28">
        <v>46140</v>
      </c>
      <c r="B550" s="24">
        <v>3</v>
      </c>
      <c r="C550" s="29" t="s">
        <v>22</v>
      </c>
      <c r="D550" s="1" t="s">
        <v>48</v>
      </c>
      <c r="E550" s="1" t="s">
        <v>48</v>
      </c>
      <c r="F550" s="1">
        <v>1</v>
      </c>
      <c r="G550" s="33" t="e">
        <f>VLOOKUP(E550,ACTIVIDADES!A551:D563,2)</f>
        <v>#N/A</v>
      </c>
    </row>
    <row r="551" spans="1:7" x14ac:dyDescent="0.3">
      <c r="A551" s="28">
        <v>46140</v>
      </c>
      <c r="B551" s="24">
        <v>4</v>
      </c>
      <c r="C551" s="29" t="s">
        <v>36</v>
      </c>
      <c r="D551" s="1" t="s">
        <v>51</v>
      </c>
      <c r="E551" s="1" t="s">
        <v>50</v>
      </c>
      <c r="F551" s="1">
        <v>1</v>
      </c>
      <c r="G551" s="33" t="e">
        <f>VLOOKUP(E551,ACTIVIDADES!A552:D564,2)</f>
        <v>#N/A</v>
      </c>
    </row>
    <row r="552" spans="1:7" x14ac:dyDescent="0.3">
      <c r="A552" s="28">
        <v>46140</v>
      </c>
      <c r="B552" s="24">
        <v>5</v>
      </c>
      <c r="C552" s="29" t="s">
        <v>38</v>
      </c>
      <c r="D552" s="1" t="s">
        <v>51</v>
      </c>
      <c r="E552" s="1" t="s">
        <v>50</v>
      </c>
      <c r="F552" s="1">
        <v>1</v>
      </c>
      <c r="G552" s="33" t="e">
        <f>VLOOKUP(E552,ACTIVIDADES!A553:D565,2)</f>
        <v>#N/A</v>
      </c>
    </row>
    <row r="553" spans="1:7" x14ac:dyDescent="0.3">
      <c r="A553" s="28">
        <v>46140</v>
      </c>
      <c r="B553" s="24">
        <v>6</v>
      </c>
      <c r="C553" s="30" t="s">
        <v>11</v>
      </c>
      <c r="D553" s="1" t="s">
        <v>63</v>
      </c>
      <c r="E553" s="1" t="s">
        <v>60</v>
      </c>
      <c r="F553" s="1">
        <v>1</v>
      </c>
      <c r="G553" s="33" t="e">
        <f>VLOOKUP(E553,ACTIVIDADES!A554:D566,2)</f>
        <v>#N/A</v>
      </c>
    </row>
    <row r="554" spans="1:7" x14ac:dyDescent="0.3">
      <c r="A554" s="28">
        <v>46140</v>
      </c>
      <c r="B554" s="24">
        <v>7</v>
      </c>
      <c r="C554" s="29" t="s">
        <v>12</v>
      </c>
      <c r="D554" s="1" t="s">
        <v>63</v>
      </c>
      <c r="E554" s="1" t="s">
        <v>60</v>
      </c>
      <c r="F554" s="1">
        <v>1</v>
      </c>
      <c r="G554" s="33" t="e">
        <f>VLOOKUP(E554,ACTIVIDADES!A555:D567,2)</f>
        <v>#N/A</v>
      </c>
    </row>
    <row r="555" spans="1:7" x14ac:dyDescent="0.3">
      <c r="A555" s="28">
        <v>46140</v>
      </c>
      <c r="B555" s="24">
        <v>8</v>
      </c>
      <c r="C555" s="30" t="s">
        <v>13</v>
      </c>
      <c r="D555" s="1" t="s">
        <v>63</v>
      </c>
      <c r="E555" s="1" t="s">
        <v>60</v>
      </c>
      <c r="F555" s="1">
        <v>1</v>
      </c>
      <c r="G555" s="33" t="e">
        <f>VLOOKUP(E555,ACTIVIDADES!A556:D568,2)</f>
        <v>#N/A</v>
      </c>
    </row>
    <row r="556" spans="1:7" x14ac:dyDescent="0.3">
      <c r="A556" s="28">
        <v>46140</v>
      </c>
      <c r="B556" s="24">
        <v>9</v>
      </c>
      <c r="C556" s="29" t="s">
        <v>14</v>
      </c>
      <c r="D556" s="1" t="s">
        <v>63</v>
      </c>
      <c r="E556" s="1" t="s">
        <v>60</v>
      </c>
      <c r="F556" s="1">
        <v>1</v>
      </c>
      <c r="G556" s="33" t="e">
        <f>VLOOKUP(E556,ACTIVIDADES!A557:D569,2)</f>
        <v>#N/A</v>
      </c>
    </row>
    <row r="557" spans="1:7" x14ac:dyDescent="0.3">
      <c r="A557" s="28">
        <v>46140</v>
      </c>
      <c r="B557" s="24">
        <v>10</v>
      </c>
      <c r="C557" s="30" t="s">
        <v>15</v>
      </c>
      <c r="D557" s="1" t="s">
        <v>63</v>
      </c>
      <c r="E557" s="1" t="s">
        <v>60</v>
      </c>
      <c r="F557" s="1">
        <v>1</v>
      </c>
      <c r="G557" s="33" t="e">
        <f>VLOOKUP(E557,ACTIVIDADES!A558:D570,2)</f>
        <v>#N/A</v>
      </c>
    </row>
    <row r="558" spans="1:7" x14ac:dyDescent="0.3">
      <c r="A558" s="28">
        <v>46140</v>
      </c>
      <c r="B558" s="24">
        <v>11</v>
      </c>
      <c r="C558" s="29" t="s">
        <v>16</v>
      </c>
      <c r="D558" s="1" t="s">
        <v>63</v>
      </c>
      <c r="E558" s="1" t="s">
        <v>60</v>
      </c>
      <c r="F558" s="1">
        <v>1</v>
      </c>
      <c r="G558" s="33" t="e">
        <f>VLOOKUP(E558,ACTIVIDADES!A559:D571,2)</f>
        <v>#N/A</v>
      </c>
    </row>
    <row r="559" spans="1:7" x14ac:dyDescent="0.3">
      <c r="A559" s="28">
        <v>46140</v>
      </c>
      <c r="B559" s="24">
        <v>12</v>
      </c>
      <c r="C559" s="30" t="s">
        <v>17</v>
      </c>
      <c r="D559" s="1" t="s">
        <v>63</v>
      </c>
      <c r="E559" s="1" t="s">
        <v>60</v>
      </c>
      <c r="F559" s="1">
        <v>1</v>
      </c>
      <c r="G559" s="33" t="e">
        <f>VLOOKUP(E559,ACTIVIDADES!A560:D572,2)</f>
        <v>#N/A</v>
      </c>
    </row>
    <row r="560" spans="1:7" x14ac:dyDescent="0.3">
      <c r="A560" s="28">
        <v>46140</v>
      </c>
      <c r="B560" s="24">
        <v>13</v>
      </c>
      <c r="C560" s="29" t="s">
        <v>18</v>
      </c>
      <c r="D560" s="1" t="s">
        <v>63</v>
      </c>
      <c r="E560" s="1" t="s">
        <v>60</v>
      </c>
      <c r="F560" s="1">
        <v>1</v>
      </c>
      <c r="G560" s="33" t="e">
        <f>VLOOKUP(E560,ACTIVIDADES!A561:D573,2)</f>
        <v>#N/A</v>
      </c>
    </row>
    <row r="561" spans="1:7" x14ac:dyDescent="0.3">
      <c r="A561" s="28">
        <v>46140</v>
      </c>
      <c r="B561" s="24">
        <v>14</v>
      </c>
      <c r="C561" s="30" t="s">
        <v>19</v>
      </c>
      <c r="D561" s="1" t="s">
        <v>63</v>
      </c>
      <c r="E561" s="1" t="s">
        <v>60</v>
      </c>
      <c r="F561" s="1">
        <v>1</v>
      </c>
      <c r="G561" s="33" t="e">
        <f>VLOOKUP(E561,ACTIVIDADES!A562:D574,2)</f>
        <v>#N/A</v>
      </c>
    </row>
    <row r="562" spans="1:7" x14ac:dyDescent="0.3">
      <c r="A562" s="28">
        <v>46140</v>
      </c>
      <c r="B562" s="24">
        <v>15</v>
      </c>
      <c r="C562" s="29" t="s">
        <v>20</v>
      </c>
      <c r="D562" s="1" t="s">
        <v>64</v>
      </c>
      <c r="E562" s="1" t="s">
        <v>62</v>
      </c>
      <c r="F562" s="1">
        <v>1</v>
      </c>
      <c r="G562" s="33" t="e">
        <f>VLOOKUP(E562,ACTIVIDADES!A563:D575,2)</f>
        <v>#N/A</v>
      </c>
    </row>
    <row r="563" spans="1:7" x14ac:dyDescent="0.3">
      <c r="A563" s="28">
        <v>46140</v>
      </c>
      <c r="B563" s="24">
        <v>16</v>
      </c>
      <c r="C563" s="30" t="s">
        <v>21</v>
      </c>
      <c r="D563" s="1" t="s">
        <v>63</v>
      </c>
      <c r="E563" s="1" t="s">
        <v>60</v>
      </c>
      <c r="F563" s="1">
        <v>1</v>
      </c>
      <c r="G563" s="33" t="e">
        <f>VLOOKUP(E563,ACTIVIDADES!A564:D576,2)</f>
        <v>#N/A</v>
      </c>
    </row>
    <row r="564" spans="1:7" x14ac:dyDescent="0.3">
      <c r="A564" s="28">
        <v>46140</v>
      </c>
      <c r="B564" s="24">
        <v>17</v>
      </c>
      <c r="C564" s="29" t="s">
        <v>8</v>
      </c>
      <c r="D564" s="1" t="s">
        <v>63</v>
      </c>
      <c r="E564" s="1" t="s">
        <v>60</v>
      </c>
      <c r="F564" s="1">
        <v>1</v>
      </c>
      <c r="G564" s="33" t="e">
        <f>VLOOKUP(E564,ACTIVIDADES!A565:D577,2)</f>
        <v>#N/A</v>
      </c>
    </row>
    <row r="565" spans="1:7" x14ac:dyDescent="0.3">
      <c r="A565" s="28">
        <v>46140</v>
      </c>
      <c r="B565" s="24">
        <v>18</v>
      </c>
      <c r="C565" s="30" t="s">
        <v>23</v>
      </c>
      <c r="D565" s="1" t="s">
        <v>63</v>
      </c>
      <c r="E565" s="1" t="s">
        <v>60</v>
      </c>
      <c r="F565" s="1">
        <v>1</v>
      </c>
      <c r="G565" s="33" t="e">
        <f>VLOOKUP(E565,ACTIVIDADES!A566:D578,2)</f>
        <v>#N/A</v>
      </c>
    </row>
    <row r="566" spans="1:7" x14ac:dyDescent="0.3">
      <c r="A566" s="28">
        <v>46140</v>
      </c>
      <c r="B566" s="24">
        <v>19</v>
      </c>
      <c r="C566" s="29" t="s">
        <v>24</v>
      </c>
      <c r="D566" s="1" t="s">
        <v>63</v>
      </c>
      <c r="E566" s="1" t="s">
        <v>60</v>
      </c>
      <c r="F566" s="1">
        <v>1</v>
      </c>
      <c r="G566" s="33" t="e">
        <f>VLOOKUP(E566,ACTIVIDADES!A567:D579,2)</f>
        <v>#N/A</v>
      </c>
    </row>
    <row r="567" spans="1:7" x14ac:dyDescent="0.3">
      <c r="A567" s="28">
        <v>46140</v>
      </c>
      <c r="B567" s="24">
        <v>20</v>
      </c>
      <c r="C567" s="30" t="s">
        <v>25</v>
      </c>
      <c r="D567" s="1" t="s">
        <v>63</v>
      </c>
      <c r="E567" s="1" t="s">
        <v>60</v>
      </c>
      <c r="F567" s="1">
        <v>1</v>
      </c>
      <c r="G567" s="33" t="e">
        <f>VLOOKUP(E567,ACTIVIDADES!A568:D580,2)</f>
        <v>#N/A</v>
      </c>
    </row>
    <row r="568" spans="1:7" x14ac:dyDescent="0.3">
      <c r="A568" s="28">
        <v>46140</v>
      </c>
      <c r="B568" s="24">
        <v>21</v>
      </c>
      <c r="C568" s="29" t="s">
        <v>26</v>
      </c>
      <c r="D568" s="1" t="s">
        <v>63</v>
      </c>
      <c r="E568" s="1" t="s">
        <v>60</v>
      </c>
      <c r="F568" s="1">
        <v>1</v>
      </c>
      <c r="G568" s="33" t="e">
        <f>VLOOKUP(E568,ACTIVIDADES!A569:D581,2)</f>
        <v>#N/A</v>
      </c>
    </row>
    <row r="569" spans="1:7" x14ac:dyDescent="0.3">
      <c r="A569" s="28">
        <v>46140</v>
      </c>
      <c r="B569" s="24">
        <v>22</v>
      </c>
      <c r="C569" s="30" t="s">
        <v>27</v>
      </c>
      <c r="D569" s="1" t="s">
        <v>63</v>
      </c>
      <c r="E569" s="1" t="s">
        <v>60</v>
      </c>
      <c r="F569" s="1">
        <v>1</v>
      </c>
      <c r="G569" s="33" t="e">
        <f>VLOOKUP(E569,ACTIVIDADES!A570:D582,2)</f>
        <v>#N/A</v>
      </c>
    </row>
    <row r="570" spans="1:7" x14ac:dyDescent="0.3">
      <c r="A570" s="28">
        <v>46140</v>
      </c>
      <c r="B570" s="24">
        <v>23</v>
      </c>
      <c r="C570" s="29" t="s">
        <v>28</v>
      </c>
      <c r="D570" s="1" t="s">
        <v>63</v>
      </c>
      <c r="E570" s="1" t="s">
        <v>60</v>
      </c>
      <c r="F570" s="1">
        <v>1</v>
      </c>
      <c r="G570" s="33" t="e">
        <f>VLOOKUP(E570,ACTIVIDADES!A571:D583,2)</f>
        <v>#N/A</v>
      </c>
    </row>
    <row r="571" spans="1:7" x14ac:dyDescent="0.3">
      <c r="A571" s="28">
        <v>46140</v>
      </c>
      <c r="B571" s="24">
        <v>24</v>
      </c>
      <c r="C571" s="30" t="s">
        <v>29</v>
      </c>
      <c r="D571" s="1" t="s">
        <v>63</v>
      </c>
      <c r="E571" s="1" t="s">
        <v>60</v>
      </c>
      <c r="F571" s="1">
        <v>1</v>
      </c>
      <c r="G571" s="33" t="e">
        <f>VLOOKUP(E571,ACTIVIDADES!A572:D584,2)</f>
        <v>#N/A</v>
      </c>
    </row>
    <row r="572" spans="1:7" x14ac:dyDescent="0.3">
      <c r="A572" s="28">
        <v>46140</v>
      </c>
      <c r="B572" s="24">
        <v>25</v>
      </c>
      <c r="C572" s="29" t="s">
        <v>30</v>
      </c>
      <c r="D572" s="1" t="s">
        <v>63</v>
      </c>
      <c r="E572" s="1" t="s">
        <v>60</v>
      </c>
      <c r="F572" s="1">
        <v>1</v>
      </c>
      <c r="G572" s="33" t="e">
        <f>VLOOKUP(E572,ACTIVIDADES!A573:D585,2)</f>
        <v>#N/A</v>
      </c>
    </row>
    <row r="573" spans="1:7" x14ac:dyDescent="0.3">
      <c r="A573" s="28">
        <v>46140</v>
      </c>
      <c r="B573" s="24">
        <v>26</v>
      </c>
      <c r="C573" s="30" t="s">
        <v>31</v>
      </c>
      <c r="D573" s="1" t="s">
        <v>63</v>
      </c>
      <c r="E573" s="1" t="s">
        <v>60</v>
      </c>
      <c r="F573" s="1">
        <v>1</v>
      </c>
      <c r="G573" s="33" t="e">
        <f>VLOOKUP(E573,ACTIVIDADES!A574:D586,2)</f>
        <v>#N/A</v>
      </c>
    </row>
    <row r="574" spans="1:7" x14ac:dyDescent="0.3">
      <c r="A574" s="28">
        <v>46140</v>
      </c>
      <c r="B574" s="24">
        <v>27</v>
      </c>
      <c r="C574" s="29" t="s">
        <v>32</v>
      </c>
      <c r="D574" s="1" t="s">
        <v>63</v>
      </c>
      <c r="E574" s="1" t="s">
        <v>60</v>
      </c>
      <c r="F574" s="1">
        <v>1</v>
      </c>
      <c r="G574" s="33" t="e">
        <f>VLOOKUP(E574,ACTIVIDADES!A575:D587,2)</f>
        <v>#N/A</v>
      </c>
    </row>
    <row r="575" spans="1:7" x14ac:dyDescent="0.3">
      <c r="A575" s="28">
        <v>46140</v>
      </c>
      <c r="B575" s="24">
        <v>28</v>
      </c>
      <c r="C575" s="30" t="s">
        <v>33</v>
      </c>
      <c r="D575" s="1" t="s">
        <v>63</v>
      </c>
      <c r="E575" s="1" t="s">
        <v>60</v>
      </c>
      <c r="F575" s="1">
        <v>1</v>
      </c>
      <c r="G575" s="33" t="e">
        <f>VLOOKUP(E575,ACTIVIDADES!A576:D588,2)</f>
        <v>#N/A</v>
      </c>
    </row>
    <row r="576" spans="1:7" x14ac:dyDescent="0.3">
      <c r="A576" s="28">
        <v>46140</v>
      </c>
      <c r="B576" s="24">
        <v>29</v>
      </c>
      <c r="C576" s="29" t="s">
        <v>34</v>
      </c>
      <c r="D576" s="1" t="s">
        <v>63</v>
      </c>
      <c r="E576" s="1" t="s">
        <v>60</v>
      </c>
      <c r="F576" s="1">
        <v>1</v>
      </c>
      <c r="G576" s="33" t="e">
        <f>VLOOKUP(E576,ACTIVIDADES!A577:D589,2)</f>
        <v>#N/A</v>
      </c>
    </row>
    <row r="577" spans="1:7" x14ac:dyDescent="0.3">
      <c r="A577" s="28">
        <v>46140</v>
      </c>
      <c r="B577" s="24">
        <v>30</v>
      </c>
      <c r="C577" s="30" t="s">
        <v>35</v>
      </c>
      <c r="D577" s="1" t="s">
        <v>63</v>
      </c>
      <c r="E577" s="1" t="s">
        <v>60</v>
      </c>
      <c r="F577" s="1">
        <v>1</v>
      </c>
      <c r="G577" s="33" t="e">
        <f>VLOOKUP(E577,ACTIVIDADES!A578:D590,2)</f>
        <v>#N/A</v>
      </c>
    </row>
    <row r="578" spans="1:7" x14ac:dyDescent="0.3">
      <c r="A578" s="28">
        <v>46140</v>
      </c>
      <c r="B578" s="24">
        <v>31</v>
      </c>
      <c r="C578" s="30" t="s">
        <v>9</v>
      </c>
      <c r="D578" s="1" t="s">
        <v>63</v>
      </c>
      <c r="E578" s="1" t="s">
        <v>60</v>
      </c>
      <c r="F578" s="1">
        <v>1</v>
      </c>
      <c r="G578" s="33" t="e">
        <f>VLOOKUP(E578,ACTIVIDADES!A579:D591,2)</f>
        <v>#N/A</v>
      </c>
    </row>
    <row r="579" spans="1:7" x14ac:dyDescent="0.3">
      <c r="A579" s="28">
        <v>46140</v>
      </c>
      <c r="B579" s="24">
        <v>32</v>
      </c>
      <c r="C579" s="30" t="s">
        <v>37</v>
      </c>
      <c r="D579" s="1" t="s">
        <v>63</v>
      </c>
      <c r="E579" s="1" t="s">
        <v>60</v>
      </c>
      <c r="F579" s="1">
        <v>1</v>
      </c>
      <c r="G579" s="33" t="e">
        <f>VLOOKUP(E579,ACTIVIDADES!A580:D592,2)</f>
        <v>#N/A</v>
      </c>
    </row>
    <row r="580" spans="1:7" x14ac:dyDescent="0.3">
      <c r="A580" s="28">
        <v>46140</v>
      </c>
      <c r="B580" s="24">
        <v>33</v>
      </c>
      <c r="C580" s="30" t="s">
        <v>7</v>
      </c>
      <c r="D580" s="1" t="s">
        <v>63</v>
      </c>
      <c r="E580" s="1" t="s">
        <v>60</v>
      </c>
      <c r="F580" s="1">
        <v>1</v>
      </c>
      <c r="G580" s="33" t="e">
        <f>VLOOKUP(E580,ACTIVIDADES!A581:D593,2)</f>
        <v>#N/A</v>
      </c>
    </row>
    <row r="581" spans="1:7" x14ac:dyDescent="0.3">
      <c r="A581" s="28">
        <v>46140</v>
      </c>
      <c r="B581" s="24">
        <v>34</v>
      </c>
      <c r="C581" s="30" t="s">
        <v>39</v>
      </c>
      <c r="D581" s="1" t="s">
        <v>63</v>
      </c>
      <c r="E581" s="1" t="s">
        <v>60</v>
      </c>
      <c r="F581" s="1">
        <v>1</v>
      </c>
      <c r="G581" s="33" t="e">
        <f>VLOOKUP(E581,ACTIVIDADES!A582:D594,2)</f>
        <v>#N/A</v>
      </c>
    </row>
    <row r="582" spans="1:7" x14ac:dyDescent="0.3">
      <c r="A582" s="28">
        <v>46140</v>
      </c>
      <c r="B582" s="24">
        <v>35</v>
      </c>
      <c r="C582" s="29" t="s">
        <v>40</v>
      </c>
      <c r="D582" s="1" t="s">
        <v>63</v>
      </c>
      <c r="E582" s="1" t="s">
        <v>60</v>
      </c>
      <c r="F582" s="1">
        <v>1</v>
      </c>
      <c r="G582" s="33" t="e">
        <f>VLOOKUP(E582,ACTIVIDADES!A583:D595,2)</f>
        <v>#N/A</v>
      </c>
    </row>
    <row r="583" spans="1:7" x14ac:dyDescent="0.3">
      <c r="A583" s="28">
        <v>46140</v>
      </c>
      <c r="B583" s="24">
        <v>36</v>
      </c>
      <c r="C583" s="29" t="s">
        <v>41</v>
      </c>
      <c r="D583" s="1" t="s">
        <v>63</v>
      </c>
      <c r="E583" s="1" t="s">
        <v>60</v>
      </c>
      <c r="F583" s="1">
        <v>1</v>
      </c>
      <c r="G583" s="33" t="e">
        <f>VLOOKUP(E583,ACTIVIDADES!A584:D596,2)</f>
        <v>#N/A</v>
      </c>
    </row>
    <row r="584" spans="1:7" x14ac:dyDescent="0.3">
      <c r="A584" s="28">
        <v>46140</v>
      </c>
      <c r="B584" s="24">
        <v>37</v>
      </c>
      <c r="C584" s="30" t="s">
        <v>42</v>
      </c>
      <c r="D584" s="1" t="s">
        <v>63</v>
      </c>
      <c r="E584" s="1" t="s">
        <v>60</v>
      </c>
      <c r="F584" s="1">
        <v>1</v>
      </c>
      <c r="G584" s="33" t="e">
        <f>VLOOKUP(E584,ACTIVIDADES!A585:D597,2)</f>
        <v>#N/A</v>
      </c>
    </row>
    <row r="585" spans="1:7" x14ac:dyDescent="0.3">
      <c r="A585" s="28">
        <v>46140</v>
      </c>
      <c r="B585" s="24">
        <v>38</v>
      </c>
      <c r="C585" s="30" t="s">
        <v>43</v>
      </c>
      <c r="D585" s="1" t="s">
        <v>63</v>
      </c>
      <c r="E585" s="1" t="s">
        <v>60</v>
      </c>
      <c r="F585" s="1">
        <v>1</v>
      </c>
      <c r="G585" s="33" t="e">
        <f>VLOOKUP(E585,ACTIVIDADES!A586:D598,2)</f>
        <v>#N/A</v>
      </c>
    </row>
    <row r="586" spans="1:7" x14ac:dyDescent="0.3">
      <c r="A586" s="28">
        <v>46140</v>
      </c>
      <c r="B586" s="24">
        <v>39</v>
      </c>
      <c r="C586" s="29" t="s">
        <v>44</v>
      </c>
      <c r="D586" s="1" t="s">
        <v>63</v>
      </c>
      <c r="E586" s="1" t="s">
        <v>60</v>
      </c>
      <c r="F586" s="1">
        <v>1</v>
      </c>
      <c r="G586" s="33" t="e">
        <f>VLOOKUP(E586,ACTIVIDADES!A587:D599,2)</f>
        <v>#N/A</v>
      </c>
    </row>
    <row r="587" spans="1:7" x14ac:dyDescent="0.3">
      <c r="A587" s="28">
        <v>46141</v>
      </c>
      <c r="B587" s="24">
        <v>1</v>
      </c>
      <c r="C587" s="29" t="s">
        <v>6</v>
      </c>
      <c r="D587" s="1" t="s">
        <v>49</v>
      </c>
      <c r="E587" s="1" t="s">
        <v>49</v>
      </c>
      <c r="F587" s="1">
        <v>1</v>
      </c>
      <c r="G587" s="33" t="e">
        <f>VLOOKUP(E587,ACTIVIDADES!A588:D600,2)</f>
        <v>#N/A</v>
      </c>
    </row>
    <row r="588" spans="1:7" x14ac:dyDescent="0.3">
      <c r="A588" s="28">
        <v>46141</v>
      </c>
      <c r="B588" s="24">
        <v>2</v>
      </c>
      <c r="C588" s="29" t="s">
        <v>10</v>
      </c>
      <c r="D588" s="1" t="s">
        <v>49</v>
      </c>
      <c r="E588" s="1" t="s">
        <v>49</v>
      </c>
      <c r="F588" s="1">
        <v>1</v>
      </c>
      <c r="G588" s="33" t="e">
        <f>VLOOKUP(E588,ACTIVIDADES!A589:D601,2)</f>
        <v>#N/A</v>
      </c>
    </row>
    <row r="589" spans="1:7" x14ac:dyDescent="0.3">
      <c r="A589" s="28">
        <v>46141</v>
      </c>
      <c r="B589" s="24">
        <v>3</v>
      </c>
      <c r="C589" s="29" t="s">
        <v>22</v>
      </c>
      <c r="D589" s="1" t="s">
        <v>48</v>
      </c>
      <c r="E589" s="1" t="s">
        <v>48</v>
      </c>
      <c r="F589" s="1">
        <v>1</v>
      </c>
      <c r="G589" s="33" t="e">
        <f>VLOOKUP(E589,ACTIVIDADES!A590:D602,2)</f>
        <v>#N/A</v>
      </c>
    </row>
    <row r="590" spans="1:7" x14ac:dyDescent="0.3">
      <c r="A590" s="28">
        <v>46141</v>
      </c>
      <c r="B590" s="24">
        <v>4</v>
      </c>
      <c r="C590" s="29" t="s">
        <v>36</v>
      </c>
      <c r="D590" s="1" t="s">
        <v>51</v>
      </c>
      <c r="E590" s="1" t="s">
        <v>50</v>
      </c>
      <c r="F590" s="1">
        <v>1</v>
      </c>
      <c r="G590" s="33" t="e">
        <f>VLOOKUP(E590,ACTIVIDADES!A591:D603,2)</f>
        <v>#N/A</v>
      </c>
    </row>
    <row r="591" spans="1:7" x14ac:dyDescent="0.3">
      <c r="A591" s="28">
        <v>46141</v>
      </c>
      <c r="B591" s="24">
        <v>5</v>
      </c>
      <c r="C591" s="29" t="s">
        <v>38</v>
      </c>
      <c r="D591" s="1" t="s">
        <v>51</v>
      </c>
      <c r="E591" s="1" t="s">
        <v>50</v>
      </c>
      <c r="F591" s="1">
        <v>1</v>
      </c>
      <c r="G591" s="33" t="e">
        <f>VLOOKUP(E591,ACTIVIDADES!A592:D604,2)</f>
        <v>#N/A</v>
      </c>
    </row>
    <row r="592" spans="1:7" x14ac:dyDescent="0.3">
      <c r="A592" s="28">
        <v>46141</v>
      </c>
      <c r="B592" s="24">
        <v>6</v>
      </c>
      <c r="C592" s="30" t="s">
        <v>11</v>
      </c>
      <c r="D592" s="1" t="s">
        <v>63</v>
      </c>
      <c r="E592" s="1" t="s">
        <v>60</v>
      </c>
      <c r="F592" s="1">
        <v>1</v>
      </c>
      <c r="G592" s="33" t="e">
        <f>VLOOKUP(E592,ACTIVIDADES!A593:D605,2)</f>
        <v>#N/A</v>
      </c>
    </row>
    <row r="593" spans="1:7" x14ac:dyDescent="0.3">
      <c r="A593" s="28">
        <v>46141</v>
      </c>
      <c r="B593" s="24">
        <v>7</v>
      </c>
      <c r="C593" s="29" t="s">
        <v>12</v>
      </c>
      <c r="D593" s="1" t="s">
        <v>63</v>
      </c>
      <c r="E593" s="1" t="s">
        <v>60</v>
      </c>
      <c r="F593" s="1">
        <v>1</v>
      </c>
      <c r="G593" s="33" t="e">
        <f>VLOOKUP(E593,ACTIVIDADES!A594:D606,2)</f>
        <v>#N/A</v>
      </c>
    </row>
    <row r="594" spans="1:7" x14ac:dyDescent="0.3">
      <c r="A594" s="28">
        <v>46141</v>
      </c>
      <c r="B594" s="24">
        <v>8</v>
      </c>
      <c r="C594" s="30" t="s">
        <v>13</v>
      </c>
      <c r="D594" s="1" t="s">
        <v>63</v>
      </c>
      <c r="E594" s="1" t="s">
        <v>60</v>
      </c>
      <c r="F594" s="1">
        <v>1</v>
      </c>
      <c r="G594" s="33" t="e">
        <f>VLOOKUP(E594,ACTIVIDADES!A595:D607,2)</f>
        <v>#N/A</v>
      </c>
    </row>
    <row r="595" spans="1:7" x14ac:dyDescent="0.3">
      <c r="A595" s="28">
        <v>46141</v>
      </c>
      <c r="B595" s="24">
        <v>9</v>
      </c>
      <c r="C595" s="29" t="s">
        <v>14</v>
      </c>
      <c r="D595" s="1" t="s">
        <v>63</v>
      </c>
      <c r="E595" s="1" t="s">
        <v>60</v>
      </c>
      <c r="F595" s="1">
        <v>1</v>
      </c>
      <c r="G595" s="33" t="e">
        <f>VLOOKUP(E595,ACTIVIDADES!A596:D608,2)</f>
        <v>#N/A</v>
      </c>
    </row>
    <row r="596" spans="1:7" x14ac:dyDescent="0.3">
      <c r="A596" s="28">
        <v>46141</v>
      </c>
      <c r="B596" s="24">
        <v>10</v>
      </c>
      <c r="C596" s="30" t="s">
        <v>15</v>
      </c>
      <c r="D596" s="1" t="s">
        <v>63</v>
      </c>
      <c r="E596" s="1" t="s">
        <v>60</v>
      </c>
      <c r="F596" s="1">
        <v>1</v>
      </c>
      <c r="G596" s="33" t="e">
        <f>VLOOKUP(E596,ACTIVIDADES!A597:D609,2)</f>
        <v>#N/A</v>
      </c>
    </row>
    <row r="597" spans="1:7" x14ac:dyDescent="0.3">
      <c r="A597" s="28">
        <v>46141</v>
      </c>
      <c r="B597" s="24">
        <v>11</v>
      </c>
      <c r="C597" s="29" t="s">
        <v>16</v>
      </c>
      <c r="D597" s="1" t="s">
        <v>63</v>
      </c>
      <c r="E597" s="1" t="s">
        <v>60</v>
      </c>
      <c r="F597" s="1">
        <v>1</v>
      </c>
      <c r="G597" s="33" t="e">
        <f>VLOOKUP(E597,ACTIVIDADES!A598:D610,2)</f>
        <v>#N/A</v>
      </c>
    </row>
    <row r="598" spans="1:7" x14ac:dyDescent="0.3">
      <c r="A598" s="28">
        <v>46141</v>
      </c>
      <c r="B598" s="24">
        <v>12</v>
      </c>
      <c r="C598" s="30" t="s">
        <v>17</v>
      </c>
      <c r="D598" s="1" t="s">
        <v>63</v>
      </c>
      <c r="E598" s="1" t="s">
        <v>60</v>
      </c>
      <c r="F598" s="1">
        <v>1</v>
      </c>
      <c r="G598" s="33" t="e">
        <f>VLOOKUP(E598,ACTIVIDADES!A599:D611,2)</f>
        <v>#N/A</v>
      </c>
    </row>
    <row r="599" spans="1:7" x14ac:dyDescent="0.3">
      <c r="A599" s="28">
        <v>46141</v>
      </c>
      <c r="B599" s="24">
        <v>13</v>
      </c>
      <c r="C599" s="29" t="s">
        <v>18</v>
      </c>
      <c r="D599" s="1" t="s">
        <v>66</v>
      </c>
      <c r="E599" s="1" t="s">
        <v>65</v>
      </c>
      <c r="F599" s="1">
        <v>1</v>
      </c>
      <c r="G599" s="33" t="e">
        <f>VLOOKUP(E599,ACTIVIDADES!A600:D612,2)</f>
        <v>#N/A</v>
      </c>
    </row>
    <row r="600" spans="1:7" x14ac:dyDescent="0.3">
      <c r="A600" s="28">
        <v>46141</v>
      </c>
      <c r="B600" s="24">
        <v>14</v>
      </c>
      <c r="C600" s="30" t="s">
        <v>19</v>
      </c>
      <c r="D600" s="1" t="s">
        <v>63</v>
      </c>
      <c r="E600" s="1" t="s">
        <v>60</v>
      </c>
      <c r="F600" s="1">
        <v>1</v>
      </c>
      <c r="G600" s="33" t="e">
        <f>VLOOKUP(E600,ACTIVIDADES!A601:D613,2)</f>
        <v>#N/A</v>
      </c>
    </row>
    <row r="601" spans="1:7" x14ac:dyDescent="0.3">
      <c r="A601" s="28">
        <v>46141</v>
      </c>
      <c r="B601" s="24">
        <v>15</v>
      </c>
      <c r="C601" s="29" t="s">
        <v>20</v>
      </c>
      <c r="D601" s="1" t="s">
        <v>63</v>
      </c>
      <c r="E601" s="1" t="s">
        <v>60</v>
      </c>
      <c r="F601" s="1">
        <v>1</v>
      </c>
      <c r="G601" s="33" t="e">
        <f>VLOOKUP(E601,ACTIVIDADES!A602:D614,2)</f>
        <v>#N/A</v>
      </c>
    </row>
    <row r="602" spans="1:7" x14ac:dyDescent="0.3">
      <c r="A602" s="28">
        <v>46141</v>
      </c>
      <c r="B602" s="24">
        <v>16</v>
      </c>
      <c r="C602" s="30" t="s">
        <v>21</v>
      </c>
      <c r="D602" s="1" t="s">
        <v>63</v>
      </c>
      <c r="E602" s="1" t="s">
        <v>60</v>
      </c>
      <c r="F602" s="1">
        <v>1</v>
      </c>
      <c r="G602" s="33" t="e">
        <f>VLOOKUP(E602,ACTIVIDADES!A603:D615,2)</f>
        <v>#N/A</v>
      </c>
    </row>
    <row r="603" spans="1:7" x14ac:dyDescent="0.3">
      <c r="A603" s="28">
        <v>46141</v>
      </c>
      <c r="B603" s="24">
        <v>17</v>
      </c>
      <c r="C603" s="29" t="s">
        <v>8</v>
      </c>
      <c r="D603" s="1" t="s">
        <v>63</v>
      </c>
      <c r="E603" s="1" t="s">
        <v>60</v>
      </c>
      <c r="F603" s="1">
        <v>1</v>
      </c>
      <c r="G603" s="33" t="e">
        <f>VLOOKUP(E603,ACTIVIDADES!A604:D616,2)</f>
        <v>#N/A</v>
      </c>
    </row>
    <row r="604" spans="1:7" x14ac:dyDescent="0.3">
      <c r="A604" s="28">
        <v>46141</v>
      </c>
      <c r="B604" s="24">
        <v>18</v>
      </c>
      <c r="C604" s="30" t="s">
        <v>23</v>
      </c>
      <c r="D604" s="1" t="s">
        <v>66</v>
      </c>
      <c r="E604" s="1" t="s">
        <v>65</v>
      </c>
      <c r="F604" s="1">
        <v>1</v>
      </c>
      <c r="G604" s="33" t="e">
        <f>VLOOKUP(E604,ACTIVIDADES!A605:D617,2)</f>
        <v>#N/A</v>
      </c>
    </row>
    <row r="605" spans="1:7" x14ac:dyDescent="0.3">
      <c r="A605" s="28">
        <v>46141</v>
      </c>
      <c r="B605" s="24">
        <v>19</v>
      </c>
      <c r="C605" s="29" t="s">
        <v>24</v>
      </c>
      <c r="D605" s="1" t="s">
        <v>63</v>
      </c>
      <c r="E605" s="1" t="s">
        <v>60</v>
      </c>
      <c r="F605" s="1">
        <v>1</v>
      </c>
      <c r="G605" s="33" t="e">
        <f>VLOOKUP(E605,ACTIVIDADES!A606:D618,2)</f>
        <v>#N/A</v>
      </c>
    </row>
    <row r="606" spans="1:7" x14ac:dyDescent="0.3">
      <c r="A606" s="28">
        <v>46141</v>
      </c>
      <c r="B606" s="24">
        <v>20</v>
      </c>
      <c r="C606" s="30" t="s">
        <v>25</v>
      </c>
      <c r="D606" s="1" t="s">
        <v>63</v>
      </c>
      <c r="E606" s="1" t="s">
        <v>60</v>
      </c>
      <c r="F606" s="1">
        <v>1</v>
      </c>
      <c r="G606" s="33" t="e">
        <f>VLOOKUP(E606,ACTIVIDADES!A607:D619,2)</f>
        <v>#N/A</v>
      </c>
    </row>
    <row r="607" spans="1:7" x14ac:dyDescent="0.3">
      <c r="A607" s="28">
        <v>46141</v>
      </c>
      <c r="B607" s="24">
        <v>21</v>
      </c>
      <c r="C607" s="29" t="s">
        <v>26</v>
      </c>
      <c r="D607" s="1" t="s">
        <v>63</v>
      </c>
      <c r="E607" s="1" t="s">
        <v>60</v>
      </c>
      <c r="F607" s="1">
        <v>1</v>
      </c>
      <c r="G607" s="33" t="e">
        <f>VLOOKUP(E607,ACTIVIDADES!A608:D620,2)</f>
        <v>#N/A</v>
      </c>
    </row>
    <row r="608" spans="1:7" x14ac:dyDescent="0.3">
      <c r="A608" s="28">
        <v>46141</v>
      </c>
      <c r="B608" s="24">
        <v>22</v>
      </c>
      <c r="C608" s="30" t="s">
        <v>27</v>
      </c>
      <c r="D608" s="1" t="s">
        <v>63</v>
      </c>
      <c r="E608" s="1" t="s">
        <v>60</v>
      </c>
      <c r="F608" s="1">
        <v>1</v>
      </c>
      <c r="G608" s="33" t="e">
        <f>VLOOKUP(E608,ACTIVIDADES!A609:D621,2)</f>
        <v>#N/A</v>
      </c>
    </row>
    <row r="609" spans="1:7" x14ac:dyDescent="0.3">
      <c r="A609" s="28">
        <v>46141</v>
      </c>
      <c r="B609" s="24">
        <v>23</v>
      </c>
      <c r="C609" s="29" t="s">
        <v>28</v>
      </c>
      <c r="D609" s="1" t="s">
        <v>63</v>
      </c>
      <c r="E609" s="1" t="s">
        <v>60</v>
      </c>
      <c r="F609" s="1">
        <v>1</v>
      </c>
      <c r="G609" s="33" t="e">
        <f>VLOOKUP(E609,ACTIVIDADES!A610:D622,2)</f>
        <v>#N/A</v>
      </c>
    </row>
    <row r="610" spans="1:7" x14ac:dyDescent="0.3">
      <c r="A610" s="28">
        <v>46141</v>
      </c>
      <c r="B610" s="24">
        <v>24</v>
      </c>
      <c r="C610" s="30" t="s">
        <v>29</v>
      </c>
      <c r="D610" s="1" t="s">
        <v>63</v>
      </c>
      <c r="E610" s="1" t="s">
        <v>60</v>
      </c>
      <c r="F610" s="1">
        <v>1</v>
      </c>
      <c r="G610" s="33" t="e">
        <f>VLOOKUP(E610,ACTIVIDADES!A611:D623,2)</f>
        <v>#N/A</v>
      </c>
    </row>
    <row r="611" spans="1:7" x14ac:dyDescent="0.3">
      <c r="A611" s="28">
        <v>46141</v>
      </c>
      <c r="B611" s="24">
        <v>25</v>
      </c>
      <c r="C611" s="29" t="s">
        <v>30</v>
      </c>
      <c r="D611" s="1" t="s">
        <v>63</v>
      </c>
      <c r="E611" s="1" t="s">
        <v>60</v>
      </c>
      <c r="F611" s="1">
        <v>1</v>
      </c>
      <c r="G611" s="33" t="e">
        <f>VLOOKUP(E611,ACTIVIDADES!A612:D624,2)</f>
        <v>#N/A</v>
      </c>
    </row>
    <row r="612" spans="1:7" x14ac:dyDescent="0.3">
      <c r="A612" s="28">
        <v>46141</v>
      </c>
      <c r="B612" s="24">
        <v>26</v>
      </c>
      <c r="C612" s="30" t="s">
        <v>31</v>
      </c>
      <c r="D612" s="1" t="s">
        <v>63</v>
      </c>
      <c r="E612" s="1" t="s">
        <v>60</v>
      </c>
      <c r="F612" s="1">
        <v>1</v>
      </c>
      <c r="G612" s="33" t="e">
        <f>VLOOKUP(E612,ACTIVIDADES!A613:D625,2)</f>
        <v>#N/A</v>
      </c>
    </row>
    <row r="613" spans="1:7" x14ac:dyDescent="0.3">
      <c r="A613" s="28">
        <v>46141</v>
      </c>
      <c r="B613" s="24">
        <v>27</v>
      </c>
      <c r="C613" s="29" t="s">
        <v>32</v>
      </c>
      <c r="D613" s="1" t="s">
        <v>63</v>
      </c>
      <c r="E613" s="1" t="s">
        <v>60</v>
      </c>
      <c r="F613" s="1">
        <v>1</v>
      </c>
      <c r="G613" s="33" t="e">
        <f>VLOOKUP(E613,ACTIVIDADES!A614:D626,2)</f>
        <v>#N/A</v>
      </c>
    </row>
    <row r="614" spans="1:7" x14ac:dyDescent="0.3">
      <c r="A614" s="28">
        <v>46141</v>
      </c>
      <c r="B614" s="24">
        <v>28</v>
      </c>
      <c r="C614" s="30" t="s">
        <v>33</v>
      </c>
      <c r="D614" s="1" t="s">
        <v>63</v>
      </c>
      <c r="E614" s="1" t="s">
        <v>60</v>
      </c>
      <c r="F614" s="1">
        <v>1</v>
      </c>
      <c r="G614" s="33" t="e">
        <f>VLOOKUP(E614,ACTIVIDADES!A615:D627,2)</f>
        <v>#N/A</v>
      </c>
    </row>
    <row r="615" spans="1:7" x14ac:dyDescent="0.3">
      <c r="A615" s="28">
        <v>46141</v>
      </c>
      <c r="B615" s="24">
        <v>29</v>
      </c>
      <c r="C615" s="29" t="s">
        <v>34</v>
      </c>
      <c r="D615" s="1" t="s">
        <v>63</v>
      </c>
      <c r="E615" s="1" t="s">
        <v>60</v>
      </c>
      <c r="F615" s="1">
        <v>1</v>
      </c>
      <c r="G615" s="33" t="e">
        <f>VLOOKUP(E615,ACTIVIDADES!A616:D628,2)</f>
        <v>#N/A</v>
      </c>
    </row>
    <row r="616" spans="1:7" x14ac:dyDescent="0.3">
      <c r="A616" s="28">
        <v>46141</v>
      </c>
      <c r="B616" s="24">
        <v>30</v>
      </c>
      <c r="C616" s="30" t="s">
        <v>35</v>
      </c>
      <c r="D616" s="1" t="s">
        <v>63</v>
      </c>
      <c r="E616" s="1" t="s">
        <v>60</v>
      </c>
      <c r="F616" s="1">
        <v>1</v>
      </c>
      <c r="G616" s="33" t="e">
        <f>VLOOKUP(E616,ACTIVIDADES!A617:D629,2)</f>
        <v>#N/A</v>
      </c>
    </row>
    <row r="617" spans="1:7" x14ac:dyDescent="0.3">
      <c r="A617" s="28">
        <v>46141</v>
      </c>
      <c r="B617" s="24">
        <v>31</v>
      </c>
      <c r="C617" s="30" t="s">
        <v>9</v>
      </c>
      <c r="D617" s="1" t="s">
        <v>63</v>
      </c>
      <c r="E617" s="1" t="s">
        <v>60</v>
      </c>
      <c r="F617" s="1">
        <v>1</v>
      </c>
      <c r="G617" s="33" t="e">
        <f>VLOOKUP(E617,ACTIVIDADES!A618:D630,2)</f>
        <v>#N/A</v>
      </c>
    </row>
    <row r="618" spans="1:7" x14ac:dyDescent="0.3">
      <c r="A618" s="28">
        <v>46141</v>
      </c>
      <c r="B618" s="24">
        <v>32</v>
      </c>
      <c r="C618" s="30" t="s">
        <v>37</v>
      </c>
      <c r="D618" s="1" t="s">
        <v>63</v>
      </c>
      <c r="E618" s="1" t="s">
        <v>60</v>
      </c>
      <c r="F618" s="1">
        <v>1</v>
      </c>
      <c r="G618" s="33" t="e">
        <f>VLOOKUP(E618,ACTIVIDADES!A619:D631,2)</f>
        <v>#N/A</v>
      </c>
    </row>
    <row r="619" spans="1:7" x14ac:dyDescent="0.3">
      <c r="A619" s="28">
        <v>46141</v>
      </c>
      <c r="B619" s="24">
        <v>33</v>
      </c>
      <c r="C619" s="30" t="s">
        <v>7</v>
      </c>
      <c r="D619" s="1" t="s">
        <v>63</v>
      </c>
      <c r="E619" s="1" t="s">
        <v>60</v>
      </c>
      <c r="F619" s="1">
        <v>1</v>
      </c>
      <c r="G619" s="33" t="e">
        <f>VLOOKUP(E619,ACTIVIDADES!A620:D632,2)</f>
        <v>#N/A</v>
      </c>
    </row>
    <row r="620" spans="1:7" x14ac:dyDescent="0.3">
      <c r="A620" s="28">
        <v>46141</v>
      </c>
      <c r="B620" s="24">
        <v>34</v>
      </c>
      <c r="C620" s="30" t="s">
        <v>39</v>
      </c>
      <c r="D620" s="1" t="s">
        <v>63</v>
      </c>
      <c r="E620" s="1" t="s">
        <v>60</v>
      </c>
      <c r="F620" s="1">
        <v>1</v>
      </c>
      <c r="G620" s="33" t="e">
        <f>VLOOKUP(E620,ACTIVIDADES!A621:D633,2)</f>
        <v>#N/A</v>
      </c>
    </row>
    <row r="621" spans="1:7" x14ac:dyDescent="0.3">
      <c r="A621" s="28">
        <v>46141</v>
      </c>
      <c r="B621" s="24">
        <v>35</v>
      </c>
      <c r="C621" s="29" t="s">
        <v>40</v>
      </c>
      <c r="D621" s="1" t="s">
        <v>63</v>
      </c>
      <c r="E621" s="1" t="s">
        <v>60</v>
      </c>
      <c r="F621" s="1">
        <v>1</v>
      </c>
      <c r="G621" s="33" t="e">
        <f>VLOOKUP(E621,ACTIVIDADES!A622:D634,2)</f>
        <v>#N/A</v>
      </c>
    </row>
    <row r="622" spans="1:7" x14ac:dyDescent="0.3">
      <c r="A622" s="28">
        <v>46141</v>
      </c>
      <c r="B622" s="24">
        <v>36</v>
      </c>
      <c r="C622" s="29" t="s">
        <v>41</v>
      </c>
      <c r="D622" s="1" t="s">
        <v>63</v>
      </c>
      <c r="E622" s="1" t="s">
        <v>60</v>
      </c>
      <c r="F622" s="1">
        <v>1</v>
      </c>
      <c r="G622" s="33" t="e">
        <f>VLOOKUP(E622,ACTIVIDADES!A623:D635,2)</f>
        <v>#N/A</v>
      </c>
    </row>
    <row r="623" spans="1:7" x14ac:dyDescent="0.3">
      <c r="A623" s="28">
        <v>46141</v>
      </c>
      <c r="B623" s="24">
        <v>37</v>
      </c>
      <c r="C623" s="30" t="s">
        <v>42</v>
      </c>
      <c r="D623" s="1" t="s">
        <v>63</v>
      </c>
      <c r="E623" s="1" t="s">
        <v>60</v>
      </c>
      <c r="F623" s="1">
        <v>1</v>
      </c>
      <c r="G623" s="33" t="e">
        <f>VLOOKUP(E623,ACTIVIDADES!A624:D636,2)</f>
        <v>#N/A</v>
      </c>
    </row>
    <row r="624" spans="1:7" x14ac:dyDescent="0.3">
      <c r="A624" s="28">
        <v>46141</v>
      </c>
      <c r="B624" s="24">
        <v>38</v>
      </c>
      <c r="C624" s="30" t="s">
        <v>43</v>
      </c>
      <c r="D624" s="1" t="s">
        <v>63</v>
      </c>
      <c r="E624" s="1" t="s">
        <v>60</v>
      </c>
      <c r="F624" s="1">
        <v>1</v>
      </c>
      <c r="G624" s="33" t="e">
        <f>VLOOKUP(E624,ACTIVIDADES!A625:D637,2)</f>
        <v>#N/A</v>
      </c>
    </row>
    <row r="625" spans="1:7" x14ac:dyDescent="0.3">
      <c r="A625" s="28">
        <v>46141</v>
      </c>
      <c r="B625" s="24">
        <v>39</v>
      </c>
      <c r="C625" s="29" t="s">
        <v>44</v>
      </c>
      <c r="D625" s="1" t="s">
        <v>63</v>
      </c>
      <c r="E625" s="1" t="s">
        <v>60</v>
      </c>
      <c r="F625" s="1">
        <v>1</v>
      </c>
      <c r="G625" s="33" t="e">
        <f>VLOOKUP(E625,ACTIVIDADES!A626:D638,2)</f>
        <v>#N/A</v>
      </c>
    </row>
    <row r="626" spans="1:7" x14ac:dyDescent="0.3">
      <c r="A626" s="28">
        <v>46142</v>
      </c>
      <c r="B626" s="24">
        <v>1</v>
      </c>
      <c r="C626" s="29" t="s">
        <v>6</v>
      </c>
      <c r="D626" s="1" t="s">
        <v>49</v>
      </c>
      <c r="E626" s="1" t="s">
        <v>49</v>
      </c>
      <c r="F626" s="1">
        <v>1</v>
      </c>
      <c r="G626" s="33" t="e">
        <f>VLOOKUP(E626,ACTIVIDADES!A627:D639,2)</f>
        <v>#N/A</v>
      </c>
    </row>
    <row r="627" spans="1:7" x14ac:dyDescent="0.3">
      <c r="A627" s="28">
        <v>46142</v>
      </c>
      <c r="B627" s="24">
        <v>2</v>
      </c>
      <c r="C627" s="29" t="s">
        <v>10</v>
      </c>
      <c r="D627" s="1" t="s">
        <v>49</v>
      </c>
      <c r="E627" s="1" t="s">
        <v>49</v>
      </c>
      <c r="F627" s="1">
        <v>1</v>
      </c>
      <c r="G627" s="33" t="e">
        <f>VLOOKUP(E627,ACTIVIDADES!A628:D640,2)</f>
        <v>#N/A</v>
      </c>
    </row>
    <row r="628" spans="1:7" x14ac:dyDescent="0.3">
      <c r="A628" s="28">
        <v>46142</v>
      </c>
      <c r="B628" s="24">
        <v>3</v>
      </c>
      <c r="C628" s="29" t="s">
        <v>22</v>
      </c>
      <c r="D628" s="1" t="s">
        <v>48</v>
      </c>
      <c r="E628" s="1" t="s">
        <v>48</v>
      </c>
      <c r="F628" s="1">
        <v>1</v>
      </c>
      <c r="G628" s="33" t="e">
        <f>VLOOKUP(E628,ACTIVIDADES!A629:D641,2)</f>
        <v>#N/A</v>
      </c>
    </row>
    <row r="629" spans="1:7" x14ac:dyDescent="0.3">
      <c r="A629" s="28">
        <v>46142</v>
      </c>
      <c r="B629" s="24">
        <v>4</v>
      </c>
      <c r="C629" s="29" t="s">
        <v>36</v>
      </c>
      <c r="D629" s="1" t="s">
        <v>51</v>
      </c>
      <c r="E629" s="1" t="s">
        <v>50</v>
      </c>
      <c r="F629" s="1">
        <v>1</v>
      </c>
      <c r="G629" s="33" t="e">
        <f>VLOOKUP(E629,ACTIVIDADES!A630:D642,2)</f>
        <v>#N/A</v>
      </c>
    </row>
    <row r="630" spans="1:7" x14ac:dyDescent="0.3">
      <c r="A630" s="28">
        <v>46142</v>
      </c>
      <c r="B630" s="24">
        <v>5</v>
      </c>
      <c r="C630" s="29" t="s">
        <v>38</v>
      </c>
      <c r="D630" s="1" t="s">
        <v>51</v>
      </c>
      <c r="E630" s="1" t="s">
        <v>50</v>
      </c>
      <c r="F630" s="1">
        <v>1</v>
      </c>
      <c r="G630" s="33" t="e">
        <f>VLOOKUP(E630,ACTIVIDADES!A631:D643,2)</f>
        <v>#N/A</v>
      </c>
    </row>
    <row r="631" spans="1:7" x14ac:dyDescent="0.3">
      <c r="A631" s="28">
        <v>46142</v>
      </c>
      <c r="B631" s="24">
        <v>6</v>
      </c>
      <c r="C631" s="30" t="s">
        <v>11</v>
      </c>
      <c r="D631" s="1" t="s">
        <v>67</v>
      </c>
      <c r="E631" s="1" t="s">
        <v>61</v>
      </c>
      <c r="F631" s="1">
        <v>1</v>
      </c>
      <c r="G631" s="33" t="e">
        <f>VLOOKUP(E631,ACTIVIDADES!A632:D644,2)</f>
        <v>#N/A</v>
      </c>
    </row>
    <row r="632" spans="1:7" x14ac:dyDescent="0.3">
      <c r="A632" s="28">
        <v>46142</v>
      </c>
      <c r="B632" s="24">
        <v>7</v>
      </c>
      <c r="C632" s="29" t="s">
        <v>12</v>
      </c>
      <c r="D632" s="1" t="s">
        <v>67</v>
      </c>
      <c r="E632" s="1" t="s">
        <v>61</v>
      </c>
      <c r="F632" s="1">
        <v>1</v>
      </c>
      <c r="G632" s="33" t="e">
        <f>VLOOKUP(E632,ACTIVIDADES!A633:D645,2)</f>
        <v>#N/A</v>
      </c>
    </row>
    <row r="633" spans="1:7" x14ac:dyDescent="0.3">
      <c r="A633" s="28">
        <v>46142</v>
      </c>
      <c r="B633" s="24">
        <v>8</v>
      </c>
      <c r="C633" s="30" t="s">
        <v>13</v>
      </c>
      <c r="D633" s="1" t="s">
        <v>67</v>
      </c>
      <c r="E633" s="1" t="s">
        <v>61</v>
      </c>
      <c r="F633" s="1">
        <v>1</v>
      </c>
      <c r="G633" s="33" t="e">
        <f>VLOOKUP(E633,ACTIVIDADES!A634:D646,2)</f>
        <v>#N/A</v>
      </c>
    </row>
    <row r="634" spans="1:7" x14ac:dyDescent="0.3">
      <c r="A634" s="28">
        <v>46142</v>
      </c>
      <c r="B634" s="24">
        <v>9</v>
      </c>
      <c r="C634" s="29" t="s">
        <v>14</v>
      </c>
      <c r="D634" s="1" t="s">
        <v>67</v>
      </c>
      <c r="E634" s="1" t="s">
        <v>61</v>
      </c>
      <c r="F634" s="1">
        <v>1</v>
      </c>
      <c r="G634" s="33" t="e">
        <f>VLOOKUP(E634,ACTIVIDADES!A635:D647,2)</f>
        <v>#N/A</v>
      </c>
    </row>
    <row r="635" spans="1:7" x14ac:dyDescent="0.3">
      <c r="A635" s="28">
        <v>46142</v>
      </c>
      <c r="B635" s="24">
        <v>10</v>
      </c>
      <c r="C635" s="30" t="s">
        <v>15</v>
      </c>
      <c r="D635" s="1" t="s">
        <v>67</v>
      </c>
      <c r="E635" s="1" t="s">
        <v>61</v>
      </c>
      <c r="F635" s="1">
        <v>1</v>
      </c>
      <c r="G635" s="33" t="e">
        <f>VLOOKUP(E635,ACTIVIDADES!A636:D648,2)</f>
        <v>#N/A</v>
      </c>
    </row>
    <row r="636" spans="1:7" x14ac:dyDescent="0.3">
      <c r="A636" s="28">
        <v>46142</v>
      </c>
      <c r="B636" s="24">
        <v>11</v>
      </c>
      <c r="C636" s="29" t="s">
        <v>16</v>
      </c>
      <c r="D636" s="1" t="s">
        <v>67</v>
      </c>
      <c r="E636" s="1" t="s">
        <v>61</v>
      </c>
      <c r="F636" s="1">
        <v>1</v>
      </c>
      <c r="G636" s="33" t="e">
        <f>VLOOKUP(E636,ACTIVIDADES!A637:D649,2)</f>
        <v>#N/A</v>
      </c>
    </row>
    <row r="637" spans="1:7" x14ac:dyDescent="0.3">
      <c r="A637" s="28">
        <v>46142</v>
      </c>
      <c r="B637" s="24">
        <v>12</v>
      </c>
      <c r="C637" s="30" t="s">
        <v>17</v>
      </c>
      <c r="D637" s="1" t="s">
        <v>67</v>
      </c>
      <c r="E637" s="1" t="s">
        <v>61</v>
      </c>
      <c r="F637" s="1">
        <v>1</v>
      </c>
      <c r="G637" s="33" t="e">
        <f>VLOOKUP(E637,ACTIVIDADES!A638:D650,2)</f>
        <v>#N/A</v>
      </c>
    </row>
    <row r="638" spans="1:7" x14ac:dyDescent="0.3">
      <c r="A638" s="28">
        <v>46142</v>
      </c>
      <c r="B638" s="24">
        <v>13</v>
      </c>
      <c r="C638" s="29" t="s">
        <v>18</v>
      </c>
      <c r="D638" s="1" t="s">
        <v>66</v>
      </c>
      <c r="E638" s="1" t="s">
        <v>68</v>
      </c>
      <c r="F638" s="1">
        <v>1</v>
      </c>
      <c r="G638" s="33" t="e">
        <f>VLOOKUP(E638,ACTIVIDADES!A639:D651,2)</f>
        <v>#N/A</v>
      </c>
    </row>
    <row r="639" spans="1:7" x14ac:dyDescent="0.3">
      <c r="A639" s="28">
        <v>46142</v>
      </c>
      <c r="B639" s="24">
        <v>14</v>
      </c>
      <c r="C639" s="30" t="s">
        <v>19</v>
      </c>
      <c r="D639" s="1" t="s">
        <v>67</v>
      </c>
      <c r="E639" s="1" t="s">
        <v>61</v>
      </c>
      <c r="F639" s="1">
        <v>1</v>
      </c>
      <c r="G639" s="33" t="e">
        <f>VLOOKUP(E639,ACTIVIDADES!A640:D652,2)</f>
        <v>#N/A</v>
      </c>
    </row>
    <row r="640" spans="1:7" x14ac:dyDescent="0.3">
      <c r="A640" s="28">
        <v>46142</v>
      </c>
      <c r="B640" s="24">
        <v>15</v>
      </c>
      <c r="C640" s="29" t="s">
        <v>20</v>
      </c>
      <c r="D640" s="1" t="s">
        <v>67</v>
      </c>
      <c r="E640" s="1" t="s">
        <v>61</v>
      </c>
      <c r="F640" s="1">
        <v>1</v>
      </c>
      <c r="G640" s="33" t="e">
        <f>VLOOKUP(E640,ACTIVIDADES!A641:D653,2)</f>
        <v>#N/A</v>
      </c>
    </row>
    <row r="641" spans="1:7" x14ac:dyDescent="0.3">
      <c r="A641" s="28">
        <v>46142</v>
      </c>
      <c r="B641" s="24">
        <v>16</v>
      </c>
      <c r="C641" s="30" t="s">
        <v>21</v>
      </c>
      <c r="D641" s="1" t="s">
        <v>67</v>
      </c>
      <c r="E641" s="1" t="s">
        <v>61</v>
      </c>
      <c r="F641" s="1">
        <v>1</v>
      </c>
      <c r="G641" s="33" t="e">
        <f>VLOOKUP(E641,ACTIVIDADES!A642:D654,2)</f>
        <v>#N/A</v>
      </c>
    </row>
    <row r="642" spans="1:7" x14ac:dyDescent="0.3">
      <c r="A642" s="28">
        <v>46142</v>
      </c>
      <c r="B642" s="24">
        <v>17</v>
      </c>
      <c r="C642" s="29" t="s">
        <v>8</v>
      </c>
      <c r="D642" s="1" t="s">
        <v>67</v>
      </c>
      <c r="E642" s="1" t="s">
        <v>61</v>
      </c>
      <c r="F642" s="1">
        <v>1</v>
      </c>
      <c r="G642" s="33" t="e">
        <f>VLOOKUP(E642,ACTIVIDADES!A643:D655,2)</f>
        <v>#N/A</v>
      </c>
    </row>
    <row r="643" spans="1:7" x14ac:dyDescent="0.3">
      <c r="A643" s="28">
        <v>46142</v>
      </c>
      <c r="B643" s="24">
        <v>18</v>
      </c>
      <c r="C643" s="30" t="s">
        <v>23</v>
      </c>
      <c r="D643" s="1" t="s">
        <v>67</v>
      </c>
      <c r="E643" s="1" t="s">
        <v>61</v>
      </c>
      <c r="F643" s="1">
        <v>1</v>
      </c>
      <c r="G643" s="33" t="e">
        <f>VLOOKUP(E643,ACTIVIDADES!A644:D656,2)</f>
        <v>#N/A</v>
      </c>
    </row>
    <row r="644" spans="1:7" x14ac:dyDescent="0.3">
      <c r="A644" s="28">
        <v>46142</v>
      </c>
      <c r="B644" s="24">
        <v>19</v>
      </c>
      <c r="C644" s="29" t="s">
        <v>24</v>
      </c>
      <c r="D644" s="1" t="s">
        <v>67</v>
      </c>
      <c r="E644" s="1" t="s">
        <v>61</v>
      </c>
      <c r="F644" s="1">
        <v>1</v>
      </c>
      <c r="G644" s="33" t="e">
        <f>VLOOKUP(E644,ACTIVIDADES!A645:D657,2)</f>
        <v>#N/A</v>
      </c>
    </row>
    <row r="645" spans="1:7" x14ac:dyDescent="0.3">
      <c r="A645" s="28">
        <v>46142</v>
      </c>
      <c r="B645" s="24">
        <v>20</v>
      </c>
      <c r="C645" s="30" t="s">
        <v>25</v>
      </c>
      <c r="D645" s="1" t="s">
        <v>67</v>
      </c>
      <c r="E645" s="1" t="s">
        <v>61</v>
      </c>
      <c r="F645" s="1">
        <v>1</v>
      </c>
      <c r="G645" s="33" t="e">
        <f>VLOOKUP(E645,ACTIVIDADES!A646:D658,2)</f>
        <v>#N/A</v>
      </c>
    </row>
    <row r="646" spans="1:7" x14ac:dyDescent="0.3">
      <c r="A646" s="28">
        <v>46142</v>
      </c>
      <c r="B646" s="24">
        <v>21</v>
      </c>
      <c r="C646" s="29" t="s">
        <v>26</v>
      </c>
      <c r="D646" s="1" t="s">
        <v>67</v>
      </c>
      <c r="E646" s="1" t="s">
        <v>61</v>
      </c>
      <c r="F646" s="1">
        <v>1</v>
      </c>
      <c r="G646" s="33" t="e">
        <f>VLOOKUP(E646,ACTIVIDADES!A647:D659,2)</f>
        <v>#N/A</v>
      </c>
    </row>
    <row r="647" spans="1:7" x14ac:dyDescent="0.3">
      <c r="A647" s="28">
        <v>46142</v>
      </c>
      <c r="B647" s="24">
        <v>22</v>
      </c>
      <c r="C647" s="30" t="s">
        <v>27</v>
      </c>
      <c r="D647" s="1" t="s">
        <v>67</v>
      </c>
      <c r="E647" s="1" t="s">
        <v>61</v>
      </c>
      <c r="F647" s="1">
        <v>1</v>
      </c>
      <c r="G647" s="33" t="e">
        <f>VLOOKUP(E647,ACTIVIDADES!A648:D660,2)</f>
        <v>#N/A</v>
      </c>
    </row>
    <row r="648" spans="1:7" x14ac:dyDescent="0.3">
      <c r="A648" s="28">
        <v>46142</v>
      </c>
      <c r="B648" s="24">
        <v>23</v>
      </c>
      <c r="C648" s="29" t="s">
        <v>28</v>
      </c>
      <c r="D648" s="1" t="s">
        <v>67</v>
      </c>
      <c r="E648" s="1" t="s">
        <v>61</v>
      </c>
      <c r="F648" s="1">
        <v>1</v>
      </c>
      <c r="G648" s="33" t="e">
        <f>VLOOKUP(E648,ACTIVIDADES!A649:D661,2)</f>
        <v>#N/A</v>
      </c>
    </row>
    <row r="649" spans="1:7" x14ac:dyDescent="0.3">
      <c r="A649" s="28">
        <v>46142</v>
      </c>
      <c r="B649" s="24">
        <v>24</v>
      </c>
      <c r="C649" s="30" t="s">
        <v>29</v>
      </c>
      <c r="D649" s="1" t="s">
        <v>67</v>
      </c>
      <c r="E649" s="1" t="s">
        <v>61</v>
      </c>
      <c r="F649" s="1">
        <v>1</v>
      </c>
      <c r="G649" s="33" t="e">
        <f>VLOOKUP(E649,ACTIVIDADES!A650:D662,2)</f>
        <v>#N/A</v>
      </c>
    </row>
    <row r="650" spans="1:7" x14ac:dyDescent="0.3">
      <c r="A650" s="28">
        <v>46142</v>
      </c>
      <c r="B650" s="24">
        <v>25</v>
      </c>
      <c r="C650" s="29" t="s">
        <v>30</v>
      </c>
      <c r="D650" s="1" t="s">
        <v>67</v>
      </c>
      <c r="E650" s="1" t="s">
        <v>61</v>
      </c>
      <c r="F650" s="1">
        <v>1</v>
      </c>
      <c r="G650" s="33" t="e">
        <f>VLOOKUP(E650,ACTIVIDADES!A651:D663,2)</f>
        <v>#N/A</v>
      </c>
    </row>
    <row r="651" spans="1:7" x14ac:dyDescent="0.3">
      <c r="A651" s="28">
        <v>46142</v>
      </c>
      <c r="B651" s="24">
        <v>26</v>
      </c>
      <c r="C651" s="30" t="s">
        <v>31</v>
      </c>
      <c r="D651" s="1" t="s">
        <v>67</v>
      </c>
      <c r="E651" s="1" t="s">
        <v>61</v>
      </c>
      <c r="F651" s="1">
        <v>1</v>
      </c>
      <c r="G651" s="33" t="e">
        <f>VLOOKUP(E651,ACTIVIDADES!A652:D664,2)</f>
        <v>#N/A</v>
      </c>
    </row>
    <row r="652" spans="1:7" x14ac:dyDescent="0.3">
      <c r="A652" s="28">
        <v>46142</v>
      </c>
      <c r="B652" s="24">
        <v>27</v>
      </c>
      <c r="C652" s="29" t="s">
        <v>32</v>
      </c>
      <c r="D652" s="1" t="s">
        <v>66</v>
      </c>
      <c r="E652" s="1" t="s">
        <v>68</v>
      </c>
      <c r="F652" s="1">
        <v>1</v>
      </c>
      <c r="G652" s="33" t="e">
        <f>VLOOKUP(E652,ACTIVIDADES!A653:D665,2)</f>
        <v>#N/A</v>
      </c>
    </row>
    <row r="653" spans="1:7" x14ac:dyDescent="0.3">
      <c r="A653" s="28">
        <v>46142</v>
      </c>
      <c r="B653" s="24">
        <v>28</v>
      </c>
      <c r="C653" s="30" t="s">
        <v>33</v>
      </c>
      <c r="D653" s="1" t="s">
        <v>67</v>
      </c>
      <c r="E653" s="1" t="s">
        <v>61</v>
      </c>
      <c r="F653" s="1">
        <v>1</v>
      </c>
      <c r="G653" s="33" t="e">
        <f>VLOOKUP(E653,ACTIVIDADES!A654:D666,2)</f>
        <v>#N/A</v>
      </c>
    </row>
    <row r="654" spans="1:7" x14ac:dyDescent="0.3">
      <c r="A654" s="28">
        <v>46142</v>
      </c>
      <c r="B654" s="24">
        <v>29</v>
      </c>
      <c r="C654" s="29" t="s">
        <v>34</v>
      </c>
      <c r="D654" s="1" t="s">
        <v>67</v>
      </c>
      <c r="E654" s="1" t="s">
        <v>61</v>
      </c>
      <c r="F654" s="1">
        <v>1</v>
      </c>
      <c r="G654" s="33" t="e">
        <f>VLOOKUP(E654,ACTIVIDADES!A655:D667,2)</f>
        <v>#N/A</v>
      </c>
    </row>
    <row r="655" spans="1:7" x14ac:dyDescent="0.3">
      <c r="A655" s="28">
        <v>46142</v>
      </c>
      <c r="B655" s="24">
        <v>30</v>
      </c>
      <c r="C655" s="30" t="s">
        <v>35</v>
      </c>
      <c r="D655" s="1" t="s">
        <v>67</v>
      </c>
      <c r="E655" s="1" t="s">
        <v>61</v>
      </c>
      <c r="F655" s="1">
        <v>1</v>
      </c>
      <c r="G655" s="33" t="e">
        <f>VLOOKUP(E655,ACTIVIDADES!A656:D668,2)</f>
        <v>#N/A</v>
      </c>
    </row>
    <row r="656" spans="1:7" x14ac:dyDescent="0.3">
      <c r="A656" s="28">
        <v>46142</v>
      </c>
      <c r="B656" s="24">
        <v>31</v>
      </c>
      <c r="C656" s="30" t="s">
        <v>9</v>
      </c>
      <c r="D656" s="1" t="s">
        <v>67</v>
      </c>
      <c r="E656" s="1" t="s">
        <v>61</v>
      </c>
      <c r="F656" s="1">
        <v>1</v>
      </c>
      <c r="G656" s="33" t="e">
        <f>VLOOKUP(E656,ACTIVIDADES!A657:D669,2)</f>
        <v>#N/A</v>
      </c>
    </row>
    <row r="657" spans="1:7" x14ac:dyDescent="0.3">
      <c r="A657" s="28">
        <v>46142</v>
      </c>
      <c r="B657" s="24">
        <v>32</v>
      </c>
      <c r="C657" s="30" t="s">
        <v>37</v>
      </c>
      <c r="D657" s="1" t="s">
        <v>67</v>
      </c>
      <c r="E657" s="1" t="s">
        <v>61</v>
      </c>
      <c r="F657" s="1">
        <v>1</v>
      </c>
      <c r="G657" s="33" t="e">
        <f>VLOOKUP(E657,ACTIVIDADES!A658:D670,2)</f>
        <v>#N/A</v>
      </c>
    </row>
    <row r="658" spans="1:7" x14ac:dyDescent="0.3">
      <c r="A658" s="28">
        <v>46142</v>
      </c>
      <c r="B658" s="24">
        <v>33</v>
      </c>
      <c r="C658" s="30" t="s">
        <v>7</v>
      </c>
      <c r="D658" s="1" t="s">
        <v>67</v>
      </c>
      <c r="E658" s="1" t="s">
        <v>61</v>
      </c>
      <c r="F658" s="1">
        <v>1</v>
      </c>
      <c r="G658" s="33" t="e">
        <f>VLOOKUP(E658,ACTIVIDADES!A659:D671,2)</f>
        <v>#N/A</v>
      </c>
    </row>
    <row r="659" spans="1:7" x14ac:dyDescent="0.3">
      <c r="A659" s="28">
        <v>46142</v>
      </c>
      <c r="B659" s="24">
        <v>34</v>
      </c>
      <c r="C659" s="30" t="s">
        <v>39</v>
      </c>
      <c r="D659" s="1" t="s">
        <v>67</v>
      </c>
      <c r="E659" s="1" t="s">
        <v>61</v>
      </c>
      <c r="F659" s="1">
        <v>1</v>
      </c>
      <c r="G659" s="33" t="e">
        <f>VLOOKUP(E659,ACTIVIDADES!A660:D672,2)</f>
        <v>#N/A</v>
      </c>
    </row>
    <row r="660" spans="1:7" x14ac:dyDescent="0.3">
      <c r="A660" s="28">
        <v>46142</v>
      </c>
      <c r="B660" s="24">
        <v>35</v>
      </c>
      <c r="C660" s="29" t="s">
        <v>40</v>
      </c>
      <c r="D660" s="1" t="s">
        <v>67</v>
      </c>
      <c r="E660" s="1" t="s">
        <v>61</v>
      </c>
      <c r="F660" s="1">
        <v>1</v>
      </c>
      <c r="G660" s="33" t="e">
        <f>VLOOKUP(E660,ACTIVIDADES!A661:D673,2)</f>
        <v>#N/A</v>
      </c>
    </row>
    <row r="661" spans="1:7" x14ac:dyDescent="0.3">
      <c r="A661" s="28">
        <v>46142</v>
      </c>
      <c r="B661" s="24">
        <v>36</v>
      </c>
      <c r="C661" s="29" t="s">
        <v>41</v>
      </c>
      <c r="D661" s="1" t="s">
        <v>67</v>
      </c>
      <c r="E661" s="1" t="s">
        <v>61</v>
      </c>
      <c r="F661" s="1">
        <v>1</v>
      </c>
      <c r="G661" s="33" t="e">
        <f>VLOOKUP(E661,ACTIVIDADES!A662:D674,2)</f>
        <v>#N/A</v>
      </c>
    </row>
    <row r="662" spans="1:7" x14ac:dyDescent="0.3">
      <c r="A662" s="28">
        <v>46142</v>
      </c>
      <c r="B662" s="24">
        <v>37</v>
      </c>
      <c r="C662" s="30" t="s">
        <v>42</v>
      </c>
      <c r="D662" s="1" t="s">
        <v>67</v>
      </c>
      <c r="E662" s="1" t="s">
        <v>61</v>
      </c>
      <c r="F662" s="1">
        <v>1</v>
      </c>
      <c r="G662" s="33" t="e">
        <f>VLOOKUP(E662,ACTIVIDADES!A663:D675,2)</f>
        <v>#N/A</v>
      </c>
    </row>
    <row r="663" spans="1:7" x14ac:dyDescent="0.3">
      <c r="A663" s="28">
        <v>46142</v>
      </c>
      <c r="B663" s="24">
        <v>38</v>
      </c>
      <c r="C663" s="30" t="s">
        <v>43</v>
      </c>
      <c r="D663" s="1" t="s">
        <v>66</v>
      </c>
      <c r="E663" s="1" t="s">
        <v>68</v>
      </c>
      <c r="F663" s="1">
        <v>1</v>
      </c>
      <c r="G663" s="33" t="e">
        <f>VLOOKUP(E663,ACTIVIDADES!A664:D676,2)</f>
        <v>#N/A</v>
      </c>
    </row>
    <row r="664" spans="1:7" x14ac:dyDescent="0.3">
      <c r="A664" s="28">
        <v>46142</v>
      </c>
      <c r="B664" s="24">
        <v>39</v>
      </c>
      <c r="C664" s="29" t="s">
        <v>44</v>
      </c>
      <c r="D664" s="1" t="s">
        <v>67</v>
      </c>
      <c r="E664" s="1" t="s">
        <v>61</v>
      </c>
      <c r="F664" s="1">
        <v>1</v>
      </c>
      <c r="G664" s="33" t="e">
        <f>VLOOKUP(E664,ACTIVIDADES!A665:D677,2)</f>
        <v>#N/A</v>
      </c>
    </row>
    <row r="665" spans="1:7" x14ac:dyDescent="0.3">
      <c r="A665" s="28">
        <v>46143</v>
      </c>
      <c r="B665" s="24">
        <v>1</v>
      </c>
      <c r="C665" s="29" t="s">
        <v>6</v>
      </c>
      <c r="D665" s="1" t="s">
        <v>49</v>
      </c>
      <c r="E665" s="1" t="s">
        <v>49</v>
      </c>
      <c r="F665" s="1">
        <v>1</v>
      </c>
      <c r="G665" s="33" t="e">
        <f>VLOOKUP(E665,ACTIVIDADES!A666:D678,2)</f>
        <v>#N/A</v>
      </c>
    </row>
    <row r="666" spans="1:7" x14ac:dyDescent="0.3">
      <c r="A666" s="28">
        <v>46143</v>
      </c>
      <c r="B666" s="24">
        <v>2</v>
      </c>
      <c r="C666" s="29" t="s">
        <v>10</v>
      </c>
      <c r="D666" s="1" t="s">
        <v>49</v>
      </c>
      <c r="E666" s="1" t="s">
        <v>49</v>
      </c>
      <c r="F666" s="1">
        <v>1</v>
      </c>
      <c r="G666" s="33" t="e">
        <f>VLOOKUP(E666,ACTIVIDADES!A667:D679,2)</f>
        <v>#N/A</v>
      </c>
    </row>
    <row r="667" spans="1:7" x14ac:dyDescent="0.3">
      <c r="A667" s="28">
        <v>46143</v>
      </c>
      <c r="B667" s="24">
        <v>3</v>
      </c>
      <c r="C667" s="29" t="s">
        <v>22</v>
      </c>
      <c r="D667" s="1" t="s">
        <v>49</v>
      </c>
      <c r="E667" s="1" t="s">
        <v>49</v>
      </c>
      <c r="F667" s="1">
        <v>1</v>
      </c>
      <c r="G667" s="33" t="e">
        <f>VLOOKUP(E667,ACTIVIDADES!A668:D680,2)</f>
        <v>#N/A</v>
      </c>
    </row>
    <row r="668" spans="1:7" x14ac:dyDescent="0.3">
      <c r="A668" s="28">
        <v>46143</v>
      </c>
      <c r="B668" s="24">
        <v>4</v>
      </c>
      <c r="C668" s="29" t="s">
        <v>36</v>
      </c>
      <c r="D668" s="1" t="s">
        <v>51</v>
      </c>
      <c r="E668" s="1" t="s">
        <v>50</v>
      </c>
      <c r="F668" s="1">
        <v>1</v>
      </c>
      <c r="G668" s="33" t="e">
        <f>VLOOKUP(E668,ACTIVIDADES!A669:D681,2)</f>
        <v>#N/A</v>
      </c>
    </row>
    <row r="669" spans="1:7" x14ac:dyDescent="0.3">
      <c r="A669" s="28">
        <v>46143</v>
      </c>
      <c r="B669" s="24">
        <v>5</v>
      </c>
      <c r="C669" s="29" t="s">
        <v>38</v>
      </c>
      <c r="D669" s="1" t="s">
        <v>51</v>
      </c>
      <c r="E669" s="1" t="s">
        <v>50</v>
      </c>
      <c r="F669" s="1">
        <v>1</v>
      </c>
      <c r="G669" s="33" t="e">
        <f>VLOOKUP(E669,ACTIVIDADES!A670:D682,2)</f>
        <v>#N/A</v>
      </c>
    </row>
    <row r="670" spans="1:7" x14ac:dyDescent="0.3">
      <c r="A670" s="28">
        <v>46143</v>
      </c>
      <c r="B670" s="24">
        <v>6</v>
      </c>
      <c r="C670" s="30" t="s">
        <v>11</v>
      </c>
      <c r="D670" s="1" t="s">
        <v>69</v>
      </c>
      <c r="E670" s="1" t="s">
        <v>60</v>
      </c>
      <c r="F670" s="1">
        <v>1</v>
      </c>
      <c r="G670" s="33" t="e">
        <f>VLOOKUP(E670,ACTIVIDADES!A671:D683,2)</f>
        <v>#N/A</v>
      </c>
    </row>
    <row r="671" spans="1:7" x14ac:dyDescent="0.3">
      <c r="A671" s="28">
        <v>46143</v>
      </c>
      <c r="B671" s="24">
        <v>7</v>
      </c>
      <c r="C671" s="29" t="s">
        <v>12</v>
      </c>
      <c r="D671" s="1" t="s">
        <v>69</v>
      </c>
      <c r="E671" s="1" t="s">
        <v>60</v>
      </c>
      <c r="F671" s="1">
        <v>1</v>
      </c>
      <c r="G671" s="33" t="e">
        <f>VLOOKUP(E671,ACTIVIDADES!A672:D684,2)</f>
        <v>#N/A</v>
      </c>
    </row>
    <row r="672" spans="1:7" x14ac:dyDescent="0.3">
      <c r="A672" s="28">
        <v>46143</v>
      </c>
      <c r="B672" s="24">
        <v>8</v>
      </c>
      <c r="C672" s="30" t="s">
        <v>13</v>
      </c>
      <c r="D672" s="1" t="s">
        <v>69</v>
      </c>
      <c r="E672" s="1" t="s">
        <v>60</v>
      </c>
      <c r="F672" s="1">
        <v>1</v>
      </c>
      <c r="G672" s="33" t="e">
        <f>VLOOKUP(E672,ACTIVIDADES!A673:D685,2)</f>
        <v>#N/A</v>
      </c>
    </row>
    <row r="673" spans="1:7" x14ac:dyDescent="0.3">
      <c r="A673" s="28">
        <v>46143</v>
      </c>
      <c r="B673" s="24">
        <v>9</v>
      </c>
      <c r="C673" s="29" t="s">
        <v>14</v>
      </c>
      <c r="D673" s="1" t="s">
        <v>69</v>
      </c>
      <c r="E673" s="1" t="s">
        <v>60</v>
      </c>
      <c r="F673" s="1">
        <v>1</v>
      </c>
      <c r="G673" s="33" t="e">
        <f>VLOOKUP(E673,ACTIVIDADES!A674:D686,2)</f>
        <v>#N/A</v>
      </c>
    </row>
    <row r="674" spans="1:7" x14ac:dyDescent="0.3">
      <c r="A674" s="28">
        <v>46143</v>
      </c>
      <c r="B674" s="24">
        <v>10</v>
      </c>
      <c r="C674" s="30" t="s">
        <v>15</v>
      </c>
      <c r="D674" s="1" t="s">
        <v>69</v>
      </c>
      <c r="E674" s="1" t="s">
        <v>60</v>
      </c>
      <c r="F674" s="1">
        <v>1</v>
      </c>
      <c r="G674" s="33" t="e">
        <f>VLOOKUP(E674,ACTIVIDADES!A675:D687,2)</f>
        <v>#N/A</v>
      </c>
    </row>
    <row r="675" spans="1:7" x14ac:dyDescent="0.3">
      <c r="A675" s="28">
        <v>46143</v>
      </c>
      <c r="B675" s="24">
        <v>11</v>
      </c>
      <c r="C675" s="29" t="s">
        <v>16</v>
      </c>
      <c r="D675" s="1" t="s">
        <v>69</v>
      </c>
      <c r="E675" s="1" t="s">
        <v>60</v>
      </c>
      <c r="F675" s="1">
        <v>1</v>
      </c>
      <c r="G675" s="33" t="e">
        <f>VLOOKUP(E675,ACTIVIDADES!A676:D688,2)</f>
        <v>#N/A</v>
      </c>
    </row>
    <row r="676" spans="1:7" x14ac:dyDescent="0.3">
      <c r="A676" s="28">
        <v>46143</v>
      </c>
      <c r="B676" s="24">
        <v>12</v>
      </c>
      <c r="C676" s="30" t="s">
        <v>17</v>
      </c>
      <c r="D676" s="1" t="s">
        <v>69</v>
      </c>
      <c r="E676" s="1" t="s">
        <v>60</v>
      </c>
      <c r="F676" s="1">
        <v>1</v>
      </c>
      <c r="G676" s="33" t="e">
        <f>VLOOKUP(E676,ACTIVIDADES!A677:D689,2)</f>
        <v>#N/A</v>
      </c>
    </row>
    <row r="677" spans="1:7" x14ac:dyDescent="0.3">
      <c r="A677" s="28">
        <v>46143</v>
      </c>
      <c r="B677" s="24">
        <v>13</v>
      </c>
      <c r="C677" s="29" t="s">
        <v>18</v>
      </c>
      <c r="D677" s="1" t="s">
        <v>69</v>
      </c>
      <c r="E677" s="1" t="s">
        <v>60</v>
      </c>
      <c r="F677" s="1">
        <v>1</v>
      </c>
      <c r="G677" s="33" t="e">
        <f>VLOOKUP(E677,ACTIVIDADES!A678:D690,2)</f>
        <v>#N/A</v>
      </c>
    </row>
    <row r="678" spans="1:7" x14ac:dyDescent="0.3">
      <c r="A678" s="28">
        <v>46143</v>
      </c>
      <c r="B678" s="24">
        <v>14</v>
      </c>
      <c r="C678" s="30" t="s">
        <v>19</v>
      </c>
      <c r="D678" s="1" t="s">
        <v>69</v>
      </c>
      <c r="E678" s="1" t="s">
        <v>60</v>
      </c>
      <c r="F678" s="1">
        <v>1</v>
      </c>
      <c r="G678" s="33" t="e">
        <f>VLOOKUP(E678,ACTIVIDADES!A679:D691,2)</f>
        <v>#N/A</v>
      </c>
    </row>
    <row r="679" spans="1:7" x14ac:dyDescent="0.3">
      <c r="A679" s="28">
        <v>46143</v>
      </c>
      <c r="B679" s="24">
        <v>15</v>
      </c>
      <c r="C679" s="29" t="s">
        <v>20</v>
      </c>
      <c r="D679" s="1" t="s">
        <v>69</v>
      </c>
      <c r="E679" s="1" t="s">
        <v>60</v>
      </c>
      <c r="F679" s="1">
        <v>1</v>
      </c>
      <c r="G679" s="33" t="e">
        <f>VLOOKUP(E679,ACTIVIDADES!A680:D692,2)</f>
        <v>#N/A</v>
      </c>
    </row>
    <row r="680" spans="1:7" x14ac:dyDescent="0.3">
      <c r="A680" s="28">
        <v>46143</v>
      </c>
      <c r="B680" s="24">
        <v>16</v>
      </c>
      <c r="C680" s="30" t="s">
        <v>21</v>
      </c>
      <c r="D680" s="1" t="s">
        <v>69</v>
      </c>
      <c r="E680" s="1" t="s">
        <v>60</v>
      </c>
      <c r="F680" s="1">
        <v>1</v>
      </c>
      <c r="G680" s="33" t="e">
        <f>VLOOKUP(E680,ACTIVIDADES!A681:D693,2)</f>
        <v>#N/A</v>
      </c>
    </row>
    <row r="681" spans="1:7" x14ac:dyDescent="0.3">
      <c r="A681" s="28">
        <v>46143</v>
      </c>
      <c r="B681" s="24">
        <v>17</v>
      </c>
      <c r="C681" s="29" t="s">
        <v>8</v>
      </c>
      <c r="D681" s="1" t="s">
        <v>69</v>
      </c>
      <c r="E681" s="1" t="s">
        <v>60</v>
      </c>
      <c r="F681" s="1">
        <v>1</v>
      </c>
      <c r="G681" s="33" t="e">
        <f>VLOOKUP(E681,ACTIVIDADES!A682:D694,2)</f>
        <v>#N/A</v>
      </c>
    </row>
    <row r="682" spans="1:7" x14ac:dyDescent="0.3">
      <c r="A682" s="28">
        <v>46143</v>
      </c>
      <c r="B682" s="24">
        <v>18</v>
      </c>
      <c r="C682" s="30" t="s">
        <v>23</v>
      </c>
      <c r="D682" s="1" t="s">
        <v>69</v>
      </c>
      <c r="E682" s="1" t="s">
        <v>60</v>
      </c>
      <c r="F682" s="1">
        <v>1</v>
      </c>
      <c r="G682" s="33" t="e">
        <f>VLOOKUP(E682,ACTIVIDADES!A683:D695,2)</f>
        <v>#N/A</v>
      </c>
    </row>
    <row r="683" spans="1:7" x14ac:dyDescent="0.3">
      <c r="A683" s="28">
        <v>46143</v>
      </c>
      <c r="B683" s="24">
        <v>19</v>
      </c>
      <c r="C683" s="29" t="s">
        <v>24</v>
      </c>
      <c r="D683" s="1" t="s">
        <v>69</v>
      </c>
      <c r="E683" s="1" t="s">
        <v>60</v>
      </c>
      <c r="F683" s="1">
        <v>1</v>
      </c>
      <c r="G683" s="33" t="e">
        <f>VLOOKUP(E683,ACTIVIDADES!A684:D696,2)</f>
        <v>#N/A</v>
      </c>
    </row>
    <row r="684" spans="1:7" x14ac:dyDescent="0.3">
      <c r="A684" s="28">
        <v>46143</v>
      </c>
      <c r="B684" s="24">
        <v>20</v>
      </c>
      <c r="C684" s="30" t="s">
        <v>25</v>
      </c>
      <c r="D684" s="1" t="s">
        <v>69</v>
      </c>
      <c r="E684" s="1" t="s">
        <v>60</v>
      </c>
      <c r="F684" s="1">
        <v>1</v>
      </c>
      <c r="G684" s="33" t="e">
        <f>VLOOKUP(E684,ACTIVIDADES!A685:D697,2)</f>
        <v>#N/A</v>
      </c>
    </row>
    <row r="685" spans="1:7" x14ac:dyDescent="0.3">
      <c r="A685" s="28">
        <v>46143</v>
      </c>
      <c r="B685" s="24">
        <v>21</v>
      </c>
      <c r="C685" s="29" t="s">
        <v>26</v>
      </c>
      <c r="D685" s="1" t="s">
        <v>69</v>
      </c>
      <c r="E685" s="1" t="s">
        <v>60</v>
      </c>
      <c r="F685" s="1">
        <v>1</v>
      </c>
      <c r="G685" s="33" t="e">
        <f>VLOOKUP(E685,ACTIVIDADES!A686:D698,2)</f>
        <v>#N/A</v>
      </c>
    </row>
    <row r="686" spans="1:7" x14ac:dyDescent="0.3">
      <c r="A686" s="28">
        <v>46143</v>
      </c>
      <c r="B686" s="24">
        <v>22</v>
      </c>
      <c r="C686" s="30" t="s">
        <v>27</v>
      </c>
      <c r="D686" s="1" t="s">
        <v>69</v>
      </c>
      <c r="E686" s="1" t="s">
        <v>60</v>
      </c>
      <c r="F686" s="1">
        <v>1</v>
      </c>
      <c r="G686" s="33" t="e">
        <f>VLOOKUP(E686,ACTIVIDADES!A687:D699,2)</f>
        <v>#N/A</v>
      </c>
    </row>
    <row r="687" spans="1:7" x14ac:dyDescent="0.3">
      <c r="A687" s="28">
        <v>46143</v>
      </c>
      <c r="B687" s="24">
        <v>23</v>
      </c>
      <c r="C687" s="29" t="s">
        <v>28</v>
      </c>
      <c r="D687" s="1" t="s">
        <v>69</v>
      </c>
      <c r="E687" s="1" t="s">
        <v>60</v>
      </c>
      <c r="F687" s="1">
        <v>1</v>
      </c>
      <c r="G687" s="33" t="e">
        <f>VLOOKUP(E687,ACTIVIDADES!A688:D700,2)</f>
        <v>#N/A</v>
      </c>
    </row>
    <row r="688" spans="1:7" x14ac:dyDescent="0.3">
      <c r="A688" s="28">
        <v>46143</v>
      </c>
      <c r="B688" s="24">
        <v>24</v>
      </c>
      <c r="C688" s="30" t="s">
        <v>29</v>
      </c>
      <c r="D688" s="1" t="s">
        <v>69</v>
      </c>
      <c r="E688" s="1" t="s">
        <v>60</v>
      </c>
      <c r="F688" s="1">
        <v>1</v>
      </c>
      <c r="G688" s="33" t="e">
        <f>VLOOKUP(E688,ACTIVIDADES!A689:D701,2)</f>
        <v>#N/A</v>
      </c>
    </row>
    <row r="689" spans="1:7" x14ac:dyDescent="0.3">
      <c r="A689" s="28">
        <v>46143</v>
      </c>
      <c r="B689" s="24">
        <v>25</v>
      </c>
      <c r="C689" s="29" t="s">
        <v>30</v>
      </c>
      <c r="D689" s="1" t="s">
        <v>69</v>
      </c>
      <c r="E689" s="1" t="s">
        <v>60</v>
      </c>
      <c r="F689" s="1">
        <v>1</v>
      </c>
      <c r="G689" s="33" t="e">
        <f>VLOOKUP(E689,ACTIVIDADES!A690:D702,2)</f>
        <v>#N/A</v>
      </c>
    </row>
    <row r="690" spans="1:7" x14ac:dyDescent="0.3">
      <c r="A690" s="28">
        <v>46143</v>
      </c>
      <c r="B690" s="24">
        <v>26</v>
      </c>
      <c r="C690" s="30" t="s">
        <v>31</v>
      </c>
      <c r="D690" s="1" t="s">
        <v>69</v>
      </c>
      <c r="E690" s="1" t="s">
        <v>60</v>
      </c>
      <c r="F690" s="1">
        <v>1</v>
      </c>
      <c r="G690" s="33" t="e">
        <f>VLOOKUP(E690,ACTIVIDADES!A691:D703,2)</f>
        <v>#N/A</v>
      </c>
    </row>
    <row r="691" spans="1:7" x14ac:dyDescent="0.3">
      <c r="A691" s="28">
        <v>46143</v>
      </c>
      <c r="B691" s="24">
        <v>27</v>
      </c>
      <c r="C691" s="29" t="s">
        <v>32</v>
      </c>
      <c r="D691" s="1" t="s">
        <v>69</v>
      </c>
      <c r="E691" s="1" t="s">
        <v>60</v>
      </c>
      <c r="F691" s="1">
        <v>1</v>
      </c>
      <c r="G691" s="33" t="e">
        <f>VLOOKUP(E691,ACTIVIDADES!A692:D704,2)</f>
        <v>#N/A</v>
      </c>
    </row>
    <row r="692" spans="1:7" x14ac:dyDescent="0.3">
      <c r="A692" s="28">
        <v>46143</v>
      </c>
      <c r="B692" s="24">
        <v>28</v>
      </c>
      <c r="C692" s="30" t="s">
        <v>33</v>
      </c>
      <c r="D692" s="1" t="s">
        <v>69</v>
      </c>
      <c r="E692" s="1" t="s">
        <v>60</v>
      </c>
      <c r="F692" s="1">
        <v>1</v>
      </c>
      <c r="G692" s="33" t="e">
        <f>VLOOKUP(E692,ACTIVIDADES!A693:D705,2)</f>
        <v>#N/A</v>
      </c>
    </row>
    <row r="693" spans="1:7" x14ac:dyDescent="0.3">
      <c r="A693" s="28">
        <v>46143</v>
      </c>
      <c r="B693" s="24">
        <v>29</v>
      </c>
      <c r="C693" s="29" t="s">
        <v>34</v>
      </c>
      <c r="D693" s="1" t="s">
        <v>69</v>
      </c>
      <c r="E693" s="1" t="s">
        <v>60</v>
      </c>
      <c r="F693" s="1">
        <v>1</v>
      </c>
      <c r="G693" s="33" t="e">
        <f>VLOOKUP(E693,ACTIVIDADES!A694:D706,2)</f>
        <v>#N/A</v>
      </c>
    </row>
    <row r="694" spans="1:7" x14ac:dyDescent="0.3">
      <c r="A694" s="28">
        <v>46143</v>
      </c>
      <c r="B694" s="24">
        <v>30</v>
      </c>
      <c r="C694" s="30" t="s">
        <v>35</v>
      </c>
      <c r="D694" s="1" t="s">
        <v>69</v>
      </c>
      <c r="E694" s="1" t="s">
        <v>60</v>
      </c>
      <c r="F694" s="1">
        <v>1</v>
      </c>
      <c r="G694" s="33" t="e">
        <f>VLOOKUP(E694,ACTIVIDADES!A695:D707,2)</f>
        <v>#N/A</v>
      </c>
    </row>
    <row r="695" spans="1:7" x14ac:dyDescent="0.3">
      <c r="A695" s="28">
        <v>46143</v>
      </c>
      <c r="B695" s="24">
        <v>31</v>
      </c>
      <c r="C695" s="30" t="s">
        <v>9</v>
      </c>
      <c r="D695" s="1" t="s">
        <v>69</v>
      </c>
      <c r="E695" s="1" t="s">
        <v>60</v>
      </c>
      <c r="F695" s="1">
        <v>1</v>
      </c>
      <c r="G695" s="33" t="e">
        <f>VLOOKUP(E695,ACTIVIDADES!A696:D708,2)</f>
        <v>#N/A</v>
      </c>
    </row>
    <row r="696" spans="1:7" x14ac:dyDescent="0.3">
      <c r="A696" s="28">
        <v>46143</v>
      </c>
      <c r="B696" s="24">
        <v>32</v>
      </c>
      <c r="C696" s="30" t="s">
        <v>37</v>
      </c>
      <c r="D696" s="1" t="s">
        <v>69</v>
      </c>
      <c r="E696" s="1" t="s">
        <v>60</v>
      </c>
      <c r="F696" s="1">
        <v>1</v>
      </c>
      <c r="G696" s="33" t="e">
        <f>VLOOKUP(E696,ACTIVIDADES!A697:D709,2)</f>
        <v>#N/A</v>
      </c>
    </row>
    <row r="697" spans="1:7" x14ac:dyDescent="0.3">
      <c r="A697" s="28">
        <v>46143</v>
      </c>
      <c r="B697" s="24">
        <v>33</v>
      </c>
      <c r="C697" s="30" t="s">
        <v>7</v>
      </c>
      <c r="D697" s="1" t="s">
        <v>69</v>
      </c>
      <c r="E697" s="1" t="s">
        <v>60</v>
      </c>
      <c r="F697" s="1">
        <v>1</v>
      </c>
      <c r="G697" s="33" t="e">
        <f>VLOOKUP(E697,ACTIVIDADES!A698:D710,2)</f>
        <v>#N/A</v>
      </c>
    </row>
    <row r="698" spans="1:7" x14ac:dyDescent="0.3">
      <c r="A698" s="28">
        <v>46143</v>
      </c>
      <c r="B698" s="24">
        <v>34</v>
      </c>
      <c r="C698" s="30" t="s">
        <v>39</v>
      </c>
      <c r="D698" s="1" t="s">
        <v>69</v>
      </c>
      <c r="E698" s="1" t="s">
        <v>60</v>
      </c>
      <c r="F698" s="1">
        <v>1</v>
      </c>
      <c r="G698" s="33" t="e">
        <f>VLOOKUP(E698,ACTIVIDADES!A699:D711,2)</f>
        <v>#N/A</v>
      </c>
    </row>
    <row r="699" spans="1:7" x14ac:dyDescent="0.3">
      <c r="A699" s="28">
        <v>46143</v>
      </c>
      <c r="B699" s="24">
        <v>35</v>
      </c>
      <c r="C699" s="29" t="s">
        <v>40</v>
      </c>
      <c r="D699" s="1" t="s">
        <v>69</v>
      </c>
      <c r="E699" s="1" t="s">
        <v>60</v>
      </c>
      <c r="F699" s="1">
        <v>1</v>
      </c>
      <c r="G699" s="33" t="e">
        <f>VLOOKUP(E699,ACTIVIDADES!A700:D712,2)</f>
        <v>#N/A</v>
      </c>
    </row>
    <row r="700" spans="1:7" x14ac:dyDescent="0.3">
      <c r="A700" s="28">
        <v>46143</v>
      </c>
      <c r="B700" s="24">
        <v>36</v>
      </c>
      <c r="C700" s="29" t="s">
        <v>41</v>
      </c>
      <c r="D700" s="1" t="s">
        <v>69</v>
      </c>
      <c r="E700" s="1" t="s">
        <v>60</v>
      </c>
      <c r="F700" s="1">
        <v>1</v>
      </c>
      <c r="G700" s="33" t="e">
        <f>VLOOKUP(E700,ACTIVIDADES!A701:D713,2)</f>
        <v>#N/A</v>
      </c>
    </row>
    <row r="701" spans="1:7" x14ac:dyDescent="0.3">
      <c r="A701" s="28">
        <v>46143</v>
      </c>
      <c r="B701" s="24">
        <v>37</v>
      </c>
      <c r="C701" s="30" t="s">
        <v>42</v>
      </c>
      <c r="D701" s="1" t="s">
        <v>69</v>
      </c>
      <c r="E701" s="1" t="s">
        <v>60</v>
      </c>
      <c r="F701" s="1">
        <v>1</v>
      </c>
      <c r="G701" s="33" t="e">
        <f>VLOOKUP(E701,ACTIVIDADES!A702:D714,2)</f>
        <v>#N/A</v>
      </c>
    </row>
    <row r="702" spans="1:7" x14ac:dyDescent="0.3">
      <c r="A702" s="28">
        <v>46143</v>
      </c>
      <c r="B702" s="24">
        <v>38</v>
      </c>
      <c r="C702" s="30" t="s">
        <v>43</v>
      </c>
      <c r="D702" s="1" t="s">
        <v>69</v>
      </c>
      <c r="E702" s="1" t="s">
        <v>60</v>
      </c>
      <c r="F702" s="1">
        <v>1</v>
      </c>
      <c r="G702" s="33" t="e">
        <f>VLOOKUP(E702,ACTIVIDADES!A703:D715,2)</f>
        <v>#N/A</v>
      </c>
    </row>
    <row r="703" spans="1:7" x14ac:dyDescent="0.3">
      <c r="A703" s="28">
        <v>46143</v>
      </c>
      <c r="B703" s="24">
        <v>39</v>
      </c>
      <c r="C703" s="29" t="s">
        <v>44</v>
      </c>
      <c r="D703" s="1" t="s">
        <v>69</v>
      </c>
      <c r="E703" s="1" t="s">
        <v>60</v>
      </c>
      <c r="F703" s="1">
        <v>1</v>
      </c>
      <c r="G703" s="33" t="e">
        <f>VLOOKUP(E703,ACTIVIDADES!A704:D716,2)</f>
        <v>#N/A</v>
      </c>
    </row>
    <row r="704" spans="1:7" x14ac:dyDescent="0.3">
      <c r="A704" s="28">
        <v>46144</v>
      </c>
      <c r="B704" s="24">
        <v>1</v>
      </c>
      <c r="C704" s="29" t="s">
        <v>6</v>
      </c>
      <c r="D704" s="1" t="s">
        <v>49</v>
      </c>
      <c r="E704" s="1" t="s">
        <v>49</v>
      </c>
      <c r="F704" s="1">
        <v>1</v>
      </c>
      <c r="G704" s="33" t="e">
        <f>VLOOKUP(E704,ACTIVIDADES!A705:D717,2)</f>
        <v>#N/A</v>
      </c>
    </row>
    <row r="705" spans="1:7" x14ac:dyDescent="0.3">
      <c r="A705" s="28">
        <v>46144</v>
      </c>
      <c r="B705" s="24">
        <v>2</v>
      </c>
      <c r="C705" s="29" t="s">
        <v>10</v>
      </c>
      <c r="D705" s="1" t="s">
        <v>49</v>
      </c>
      <c r="E705" s="1" t="s">
        <v>49</v>
      </c>
      <c r="F705" s="1">
        <v>1</v>
      </c>
      <c r="G705" s="33" t="e">
        <f>VLOOKUP(E705,ACTIVIDADES!A706:D718,2)</f>
        <v>#N/A</v>
      </c>
    </row>
    <row r="706" spans="1:7" x14ac:dyDescent="0.3">
      <c r="A706" s="28">
        <v>46144</v>
      </c>
      <c r="B706" s="24">
        <v>3</v>
      </c>
      <c r="C706" s="29" t="s">
        <v>22</v>
      </c>
      <c r="D706" s="1" t="s">
        <v>48</v>
      </c>
      <c r="E706" s="1" t="s">
        <v>48</v>
      </c>
      <c r="F706" s="1">
        <v>1</v>
      </c>
      <c r="G706" s="33" t="e">
        <f>VLOOKUP(E706,ACTIVIDADES!A707:D719,2)</f>
        <v>#N/A</v>
      </c>
    </row>
    <row r="707" spans="1:7" x14ac:dyDescent="0.3">
      <c r="A707" s="28">
        <v>46144</v>
      </c>
      <c r="B707" s="24">
        <v>4</v>
      </c>
      <c r="C707" s="29" t="s">
        <v>36</v>
      </c>
      <c r="D707" s="1" t="s">
        <v>51</v>
      </c>
      <c r="E707" s="1" t="s">
        <v>50</v>
      </c>
      <c r="F707" s="1">
        <v>1</v>
      </c>
      <c r="G707" s="33" t="e">
        <f>VLOOKUP(E707,ACTIVIDADES!A708:D720,2)</f>
        <v>#N/A</v>
      </c>
    </row>
    <row r="708" spans="1:7" x14ac:dyDescent="0.3">
      <c r="A708" s="28">
        <v>46144</v>
      </c>
      <c r="B708" s="24">
        <v>5</v>
      </c>
      <c r="C708" s="29" t="s">
        <v>38</v>
      </c>
      <c r="D708" s="1" t="s">
        <v>51</v>
      </c>
      <c r="E708" s="1" t="s">
        <v>50</v>
      </c>
      <c r="F708" s="1">
        <v>1</v>
      </c>
      <c r="G708" s="33" t="e">
        <f>VLOOKUP(E708,ACTIVIDADES!A709:D721,2)</f>
        <v>#N/A</v>
      </c>
    </row>
    <row r="709" spans="1:7" x14ac:dyDescent="0.3">
      <c r="A709" s="28">
        <v>46144</v>
      </c>
      <c r="B709" s="24">
        <v>6</v>
      </c>
      <c r="C709" s="30" t="s">
        <v>11</v>
      </c>
      <c r="D709" s="1" t="s">
        <v>70</v>
      </c>
      <c r="E709" s="1" t="s">
        <v>71</v>
      </c>
      <c r="F709" s="1">
        <v>1</v>
      </c>
      <c r="G709" s="33" t="e">
        <f>VLOOKUP(E709,ACTIVIDADES!A710:D722,2)</f>
        <v>#N/A</v>
      </c>
    </row>
    <row r="710" spans="1:7" x14ac:dyDescent="0.3">
      <c r="A710" s="28">
        <v>46144</v>
      </c>
      <c r="B710" s="24">
        <v>7</v>
      </c>
      <c r="C710" s="29" t="s">
        <v>12</v>
      </c>
      <c r="D710" s="1" t="s">
        <v>70</v>
      </c>
      <c r="E710" s="1" t="s">
        <v>71</v>
      </c>
      <c r="F710" s="1">
        <v>1</v>
      </c>
      <c r="G710" s="33" t="e">
        <f>VLOOKUP(E710,ACTIVIDADES!A711:D723,2)</f>
        <v>#N/A</v>
      </c>
    </row>
    <row r="711" spans="1:7" x14ac:dyDescent="0.3">
      <c r="A711" s="28">
        <v>46144</v>
      </c>
      <c r="B711" s="24">
        <v>8</v>
      </c>
      <c r="C711" s="30" t="s">
        <v>13</v>
      </c>
      <c r="D711" s="1" t="s">
        <v>70</v>
      </c>
      <c r="E711" s="1" t="s">
        <v>71</v>
      </c>
      <c r="F711" s="1">
        <v>1</v>
      </c>
      <c r="G711" s="33" t="e">
        <f>VLOOKUP(E711,ACTIVIDADES!A712:D724,2)</f>
        <v>#N/A</v>
      </c>
    </row>
    <row r="712" spans="1:7" x14ac:dyDescent="0.3">
      <c r="A712" s="28">
        <v>46144</v>
      </c>
      <c r="B712" s="24">
        <v>9</v>
      </c>
      <c r="C712" s="29" t="s">
        <v>14</v>
      </c>
      <c r="D712" s="1" t="s">
        <v>70</v>
      </c>
      <c r="E712" s="1" t="s">
        <v>71</v>
      </c>
      <c r="F712" s="1">
        <v>1</v>
      </c>
      <c r="G712" s="33" t="e">
        <f>VLOOKUP(E712,ACTIVIDADES!A713:D725,2)</f>
        <v>#N/A</v>
      </c>
    </row>
    <row r="713" spans="1:7" x14ac:dyDescent="0.3">
      <c r="A713" s="28">
        <v>46144</v>
      </c>
      <c r="B713" s="24">
        <v>10</v>
      </c>
      <c r="C713" s="30" t="s">
        <v>15</v>
      </c>
      <c r="D713" s="1" t="s">
        <v>70</v>
      </c>
      <c r="E713" s="1" t="s">
        <v>71</v>
      </c>
      <c r="F713" s="1">
        <v>1</v>
      </c>
      <c r="G713" s="33" t="e">
        <f>VLOOKUP(E713,ACTIVIDADES!A714:D726,2)</f>
        <v>#N/A</v>
      </c>
    </row>
    <row r="714" spans="1:7" x14ac:dyDescent="0.3">
      <c r="A714" s="28">
        <v>46144</v>
      </c>
      <c r="B714" s="24">
        <v>11</v>
      </c>
      <c r="C714" s="29" t="s">
        <v>16</v>
      </c>
      <c r="D714" s="1" t="s">
        <v>70</v>
      </c>
      <c r="E714" s="1" t="s">
        <v>71</v>
      </c>
      <c r="F714" s="1">
        <v>1</v>
      </c>
      <c r="G714" s="33" t="e">
        <f>VLOOKUP(E714,ACTIVIDADES!A715:D727,2)</f>
        <v>#N/A</v>
      </c>
    </row>
    <row r="715" spans="1:7" x14ac:dyDescent="0.3">
      <c r="A715" s="28">
        <v>46144</v>
      </c>
      <c r="B715" s="24">
        <v>12</v>
      </c>
      <c r="C715" s="30" t="s">
        <v>17</v>
      </c>
      <c r="D715" s="1" t="s">
        <v>70</v>
      </c>
      <c r="E715" s="1" t="s">
        <v>71</v>
      </c>
      <c r="F715" s="1">
        <v>1</v>
      </c>
      <c r="G715" s="33" t="e">
        <f>VLOOKUP(E715,ACTIVIDADES!A716:D728,2)</f>
        <v>#N/A</v>
      </c>
    </row>
    <row r="716" spans="1:7" x14ac:dyDescent="0.3">
      <c r="A716" s="28">
        <v>46144</v>
      </c>
      <c r="B716" s="24">
        <v>13</v>
      </c>
      <c r="C716" s="29" t="s">
        <v>18</v>
      </c>
      <c r="D716" s="1" t="s">
        <v>70</v>
      </c>
      <c r="E716" s="1" t="s">
        <v>71</v>
      </c>
      <c r="F716" s="1">
        <v>1</v>
      </c>
      <c r="G716" s="33" t="e">
        <f>VLOOKUP(E716,ACTIVIDADES!A717:D729,2)</f>
        <v>#N/A</v>
      </c>
    </row>
    <row r="717" spans="1:7" x14ac:dyDescent="0.3">
      <c r="A717" s="28">
        <v>46144</v>
      </c>
      <c r="B717" s="24">
        <v>14</v>
      </c>
      <c r="C717" s="30" t="s">
        <v>19</v>
      </c>
      <c r="D717" s="1" t="s">
        <v>70</v>
      </c>
      <c r="E717" s="1" t="s">
        <v>71</v>
      </c>
      <c r="F717" s="1">
        <v>1</v>
      </c>
      <c r="G717" s="33" t="e">
        <f>VLOOKUP(E717,ACTIVIDADES!A718:D730,2)</f>
        <v>#N/A</v>
      </c>
    </row>
    <row r="718" spans="1:7" x14ac:dyDescent="0.3">
      <c r="A718" s="28">
        <v>46144</v>
      </c>
      <c r="B718" s="24">
        <v>15</v>
      </c>
      <c r="C718" s="29" t="s">
        <v>20</v>
      </c>
      <c r="D718" s="1" t="s">
        <v>70</v>
      </c>
      <c r="E718" s="1" t="s">
        <v>71</v>
      </c>
      <c r="F718" s="1">
        <v>1</v>
      </c>
      <c r="G718" s="33" t="e">
        <f>VLOOKUP(E718,ACTIVIDADES!A719:D731,2)</f>
        <v>#N/A</v>
      </c>
    </row>
    <row r="719" spans="1:7" x14ac:dyDescent="0.3">
      <c r="A719" s="28">
        <v>46144</v>
      </c>
      <c r="B719" s="24">
        <v>16</v>
      </c>
      <c r="C719" s="30" t="s">
        <v>21</v>
      </c>
      <c r="D719" s="1" t="s">
        <v>70</v>
      </c>
      <c r="E719" s="1" t="s">
        <v>71</v>
      </c>
      <c r="F719" s="1">
        <v>1</v>
      </c>
      <c r="G719" s="33" t="e">
        <f>VLOOKUP(E719,ACTIVIDADES!A720:D732,2)</f>
        <v>#N/A</v>
      </c>
    </row>
    <row r="720" spans="1:7" x14ac:dyDescent="0.3">
      <c r="A720" s="28">
        <v>46144</v>
      </c>
      <c r="B720" s="24">
        <v>17</v>
      </c>
      <c r="C720" s="29" t="s">
        <v>8</v>
      </c>
      <c r="D720" s="1" t="s">
        <v>70</v>
      </c>
      <c r="E720" s="1" t="s">
        <v>71</v>
      </c>
      <c r="F720" s="1">
        <v>1</v>
      </c>
      <c r="G720" s="33" t="e">
        <f>VLOOKUP(E720,ACTIVIDADES!A721:D733,2)</f>
        <v>#N/A</v>
      </c>
    </row>
    <row r="721" spans="1:7" x14ac:dyDescent="0.3">
      <c r="A721" s="28">
        <v>46144</v>
      </c>
      <c r="B721" s="24">
        <v>18</v>
      </c>
      <c r="C721" s="30" t="s">
        <v>23</v>
      </c>
      <c r="D721" s="1" t="s">
        <v>70</v>
      </c>
      <c r="E721" s="1" t="s">
        <v>71</v>
      </c>
      <c r="F721" s="1">
        <v>1</v>
      </c>
      <c r="G721" s="33" t="e">
        <f>VLOOKUP(E721,ACTIVIDADES!A722:D734,2)</f>
        <v>#N/A</v>
      </c>
    </row>
    <row r="722" spans="1:7" x14ac:dyDescent="0.3">
      <c r="A722" s="28">
        <v>46144</v>
      </c>
      <c r="B722" s="24">
        <v>19</v>
      </c>
      <c r="C722" s="29" t="s">
        <v>24</v>
      </c>
      <c r="D722" s="1" t="s">
        <v>70</v>
      </c>
      <c r="E722" s="1" t="s">
        <v>71</v>
      </c>
      <c r="F722" s="1">
        <v>1</v>
      </c>
      <c r="G722" s="33" t="e">
        <f>VLOOKUP(E722,ACTIVIDADES!A723:D735,2)</f>
        <v>#N/A</v>
      </c>
    </row>
    <row r="723" spans="1:7" x14ac:dyDescent="0.3">
      <c r="A723" s="28">
        <v>46144</v>
      </c>
      <c r="B723" s="24">
        <v>20</v>
      </c>
      <c r="C723" s="30" t="s">
        <v>25</v>
      </c>
      <c r="D723" s="1" t="s">
        <v>70</v>
      </c>
      <c r="E723" s="1" t="s">
        <v>71</v>
      </c>
      <c r="F723" s="1">
        <v>1</v>
      </c>
      <c r="G723" s="33" t="e">
        <f>VLOOKUP(E723,ACTIVIDADES!A724:D736,2)</f>
        <v>#N/A</v>
      </c>
    </row>
    <row r="724" spans="1:7" x14ac:dyDescent="0.3">
      <c r="A724" s="28">
        <v>46144</v>
      </c>
      <c r="B724" s="24">
        <v>21</v>
      </c>
      <c r="C724" s="29" t="s">
        <v>26</v>
      </c>
      <c r="D724" s="1" t="s">
        <v>70</v>
      </c>
      <c r="E724" s="1" t="s">
        <v>71</v>
      </c>
      <c r="F724" s="1">
        <v>1</v>
      </c>
      <c r="G724" s="33" t="e">
        <f>VLOOKUP(E724,ACTIVIDADES!A725:D737,2)</f>
        <v>#N/A</v>
      </c>
    </row>
    <row r="725" spans="1:7" x14ac:dyDescent="0.3">
      <c r="A725" s="28">
        <v>46144</v>
      </c>
      <c r="B725" s="24">
        <v>22</v>
      </c>
      <c r="C725" s="30" t="s">
        <v>27</v>
      </c>
      <c r="D725" s="1" t="s">
        <v>70</v>
      </c>
      <c r="E725" s="1" t="s">
        <v>71</v>
      </c>
      <c r="F725" s="1">
        <v>1</v>
      </c>
      <c r="G725" s="33" t="e">
        <f>VLOOKUP(E725,ACTIVIDADES!A726:D738,2)</f>
        <v>#N/A</v>
      </c>
    </row>
    <row r="726" spans="1:7" x14ac:dyDescent="0.3">
      <c r="A726" s="28">
        <v>46144</v>
      </c>
      <c r="B726" s="24">
        <v>23</v>
      </c>
      <c r="C726" s="29" t="s">
        <v>28</v>
      </c>
      <c r="D726" s="1" t="s">
        <v>70</v>
      </c>
      <c r="E726" s="1" t="s">
        <v>71</v>
      </c>
      <c r="F726" s="1">
        <v>1</v>
      </c>
      <c r="G726" s="33" t="e">
        <f>VLOOKUP(E726,ACTIVIDADES!A727:D739,2)</f>
        <v>#N/A</v>
      </c>
    </row>
    <row r="727" spans="1:7" x14ac:dyDescent="0.3">
      <c r="A727" s="28">
        <v>46144</v>
      </c>
      <c r="B727" s="24">
        <v>24</v>
      </c>
      <c r="C727" s="30" t="s">
        <v>29</v>
      </c>
      <c r="D727" s="1" t="s">
        <v>70</v>
      </c>
      <c r="E727" s="1" t="s">
        <v>71</v>
      </c>
      <c r="F727" s="1">
        <v>1</v>
      </c>
      <c r="G727" s="33" t="e">
        <f>VLOOKUP(E727,ACTIVIDADES!A728:D740,2)</f>
        <v>#N/A</v>
      </c>
    </row>
    <row r="728" spans="1:7" x14ac:dyDescent="0.3">
      <c r="A728" s="28">
        <v>46144</v>
      </c>
      <c r="B728" s="24">
        <v>25</v>
      </c>
      <c r="C728" s="29" t="s">
        <v>30</v>
      </c>
      <c r="D728" s="1" t="s">
        <v>70</v>
      </c>
      <c r="E728" s="1" t="s">
        <v>71</v>
      </c>
      <c r="F728" s="1">
        <v>1</v>
      </c>
      <c r="G728" s="33" t="e">
        <f>VLOOKUP(E728,ACTIVIDADES!A729:D741,2)</f>
        <v>#N/A</v>
      </c>
    </row>
    <row r="729" spans="1:7" x14ac:dyDescent="0.3">
      <c r="A729" s="28">
        <v>46144</v>
      </c>
      <c r="B729" s="24">
        <v>26</v>
      </c>
      <c r="C729" s="30" t="s">
        <v>31</v>
      </c>
      <c r="D729" s="1" t="s">
        <v>70</v>
      </c>
      <c r="E729" s="1" t="s">
        <v>71</v>
      </c>
      <c r="F729" s="1">
        <v>1</v>
      </c>
      <c r="G729" s="33" t="e">
        <f>VLOOKUP(E729,ACTIVIDADES!A730:D742,2)</f>
        <v>#N/A</v>
      </c>
    </row>
    <row r="730" spans="1:7" x14ac:dyDescent="0.3">
      <c r="A730" s="28">
        <v>46144</v>
      </c>
      <c r="B730" s="24">
        <v>27</v>
      </c>
      <c r="C730" s="29" t="s">
        <v>32</v>
      </c>
      <c r="D730" s="1" t="s">
        <v>70</v>
      </c>
      <c r="E730" s="1" t="s">
        <v>71</v>
      </c>
      <c r="F730" s="1">
        <v>1</v>
      </c>
      <c r="G730" s="33" t="e">
        <f>VLOOKUP(E730,ACTIVIDADES!A731:D743,2)</f>
        <v>#N/A</v>
      </c>
    </row>
    <row r="731" spans="1:7" x14ac:dyDescent="0.3">
      <c r="A731" s="28">
        <v>46144</v>
      </c>
      <c r="B731" s="24">
        <v>28</v>
      </c>
      <c r="C731" s="30" t="s">
        <v>33</v>
      </c>
      <c r="D731" s="1" t="s">
        <v>70</v>
      </c>
      <c r="E731" s="1" t="s">
        <v>71</v>
      </c>
      <c r="F731" s="1">
        <v>1</v>
      </c>
      <c r="G731" s="33" t="e">
        <f>VLOOKUP(E731,ACTIVIDADES!A732:D744,2)</f>
        <v>#N/A</v>
      </c>
    </row>
    <row r="732" spans="1:7" x14ac:dyDescent="0.3">
      <c r="A732" s="28">
        <v>46144</v>
      </c>
      <c r="B732" s="24">
        <v>29</v>
      </c>
      <c r="C732" s="29" t="s">
        <v>34</v>
      </c>
      <c r="D732" s="1" t="s">
        <v>70</v>
      </c>
      <c r="E732" s="1" t="s">
        <v>71</v>
      </c>
      <c r="F732" s="1">
        <v>1</v>
      </c>
      <c r="G732" s="33" t="e">
        <f>VLOOKUP(E732,ACTIVIDADES!A733:D745,2)</f>
        <v>#N/A</v>
      </c>
    </row>
    <row r="733" spans="1:7" x14ac:dyDescent="0.3">
      <c r="A733" s="28">
        <v>46144</v>
      </c>
      <c r="B733" s="24">
        <v>30</v>
      </c>
      <c r="C733" s="30" t="s">
        <v>35</v>
      </c>
      <c r="D733" s="1" t="s">
        <v>70</v>
      </c>
      <c r="E733" s="1" t="s">
        <v>71</v>
      </c>
      <c r="F733" s="1">
        <v>1</v>
      </c>
      <c r="G733" s="33" t="e">
        <f>VLOOKUP(E733,ACTIVIDADES!A734:D746,2)</f>
        <v>#N/A</v>
      </c>
    </row>
    <row r="734" spans="1:7" x14ac:dyDescent="0.3">
      <c r="A734" s="28">
        <v>46144</v>
      </c>
      <c r="B734" s="24">
        <v>31</v>
      </c>
      <c r="C734" s="30" t="s">
        <v>9</v>
      </c>
      <c r="D734" s="1" t="s">
        <v>70</v>
      </c>
      <c r="E734" s="1" t="s">
        <v>71</v>
      </c>
      <c r="F734" s="1">
        <v>1</v>
      </c>
      <c r="G734" s="33" t="e">
        <f>VLOOKUP(E734,ACTIVIDADES!A735:D747,2)</f>
        <v>#N/A</v>
      </c>
    </row>
    <row r="735" spans="1:7" x14ac:dyDescent="0.3">
      <c r="A735" s="28">
        <v>46144</v>
      </c>
      <c r="B735" s="24">
        <v>32</v>
      </c>
      <c r="C735" s="30" t="s">
        <v>37</v>
      </c>
      <c r="D735" s="1" t="s">
        <v>70</v>
      </c>
      <c r="E735" s="1" t="s">
        <v>71</v>
      </c>
      <c r="F735" s="1">
        <v>1</v>
      </c>
      <c r="G735" s="33" t="e">
        <f>VLOOKUP(E735,ACTIVIDADES!A736:D748,2)</f>
        <v>#N/A</v>
      </c>
    </row>
    <row r="736" spans="1:7" x14ac:dyDescent="0.3">
      <c r="A736" s="28">
        <v>46144</v>
      </c>
      <c r="B736" s="24">
        <v>33</v>
      </c>
      <c r="C736" s="30" t="s">
        <v>7</v>
      </c>
      <c r="D736" s="1" t="s">
        <v>70</v>
      </c>
      <c r="E736" s="1" t="s">
        <v>71</v>
      </c>
      <c r="F736" s="1">
        <v>1</v>
      </c>
      <c r="G736" s="33" t="e">
        <f>VLOOKUP(E736,ACTIVIDADES!A737:D749,2)</f>
        <v>#N/A</v>
      </c>
    </row>
    <row r="737" spans="1:7" x14ac:dyDescent="0.3">
      <c r="A737" s="28">
        <v>46144</v>
      </c>
      <c r="B737" s="24">
        <v>34</v>
      </c>
      <c r="C737" s="30" t="s">
        <v>39</v>
      </c>
      <c r="D737" s="1" t="s">
        <v>70</v>
      </c>
      <c r="E737" s="1" t="s">
        <v>71</v>
      </c>
      <c r="F737" s="1">
        <v>1</v>
      </c>
      <c r="G737" s="33" t="e">
        <f>VLOOKUP(E737,ACTIVIDADES!A738:D750,2)</f>
        <v>#N/A</v>
      </c>
    </row>
    <row r="738" spans="1:7" x14ac:dyDescent="0.3">
      <c r="A738" s="28">
        <v>46144</v>
      </c>
      <c r="B738" s="24">
        <v>35</v>
      </c>
      <c r="C738" s="29" t="s">
        <v>40</v>
      </c>
      <c r="D738" s="1" t="s">
        <v>70</v>
      </c>
      <c r="E738" s="1" t="s">
        <v>71</v>
      </c>
      <c r="F738" s="1">
        <v>1</v>
      </c>
      <c r="G738" s="33" t="e">
        <f>VLOOKUP(E738,ACTIVIDADES!A739:D751,2)</f>
        <v>#N/A</v>
      </c>
    </row>
    <row r="739" spans="1:7" x14ac:dyDescent="0.3">
      <c r="A739" s="28">
        <v>46144</v>
      </c>
      <c r="B739" s="24">
        <v>36</v>
      </c>
      <c r="C739" s="29" t="s">
        <v>41</v>
      </c>
      <c r="D739" s="1" t="s">
        <v>70</v>
      </c>
      <c r="E739" s="1" t="s">
        <v>71</v>
      </c>
      <c r="F739" s="1">
        <v>1</v>
      </c>
      <c r="G739" s="33" t="e">
        <f>VLOOKUP(E739,ACTIVIDADES!A740:D752,2)</f>
        <v>#N/A</v>
      </c>
    </row>
    <row r="740" spans="1:7" x14ac:dyDescent="0.3">
      <c r="A740" s="28">
        <v>46144</v>
      </c>
      <c r="B740" s="24">
        <v>37</v>
      </c>
      <c r="C740" s="30" t="s">
        <v>42</v>
      </c>
      <c r="D740" s="1" t="s">
        <v>70</v>
      </c>
      <c r="E740" s="1" t="s">
        <v>71</v>
      </c>
      <c r="F740" s="1">
        <v>1</v>
      </c>
      <c r="G740" s="33" t="e">
        <f>VLOOKUP(E740,ACTIVIDADES!A741:D753,2)</f>
        <v>#N/A</v>
      </c>
    </row>
    <row r="741" spans="1:7" x14ac:dyDescent="0.3">
      <c r="A741" s="28">
        <v>46144</v>
      </c>
      <c r="B741" s="24">
        <v>38</v>
      </c>
      <c r="C741" s="30" t="s">
        <v>43</v>
      </c>
      <c r="D741" s="1" t="s">
        <v>70</v>
      </c>
      <c r="E741" s="1" t="s">
        <v>71</v>
      </c>
      <c r="F741" s="1">
        <v>1</v>
      </c>
      <c r="G741" s="33" t="e">
        <f>VLOOKUP(E741,ACTIVIDADES!A742:D754,2)</f>
        <v>#N/A</v>
      </c>
    </row>
    <row r="742" spans="1:7" x14ac:dyDescent="0.3">
      <c r="A742" s="28">
        <v>46144</v>
      </c>
      <c r="B742" s="24">
        <v>39</v>
      </c>
      <c r="C742" s="29" t="s">
        <v>44</v>
      </c>
      <c r="D742" s="1" t="s">
        <v>70</v>
      </c>
      <c r="E742" s="1" t="s">
        <v>71</v>
      </c>
      <c r="F742" s="1">
        <v>1</v>
      </c>
      <c r="G742" s="33" t="e">
        <f>VLOOKUP(E742,ACTIVIDADES!A743:D755,2)</f>
        <v>#N/A</v>
      </c>
    </row>
    <row r="743" spans="1:7" x14ac:dyDescent="0.3">
      <c r="A743" s="28">
        <v>46146</v>
      </c>
      <c r="B743" s="24">
        <v>1</v>
      </c>
      <c r="C743" t="s">
        <v>6</v>
      </c>
      <c r="D743" s="1" t="s">
        <v>49</v>
      </c>
      <c r="E743" s="1" t="s">
        <v>49</v>
      </c>
      <c r="F743" s="1">
        <v>1</v>
      </c>
      <c r="G743" s="33" t="e">
        <f>VLOOKUP(E743,ACTIVIDADES!A744:D756,2)</f>
        <v>#N/A</v>
      </c>
    </row>
    <row r="744" spans="1:7" x14ac:dyDescent="0.3">
      <c r="A744" s="28">
        <v>46146</v>
      </c>
      <c r="B744" s="24">
        <v>2</v>
      </c>
      <c r="C744" t="s">
        <v>10</v>
      </c>
      <c r="D744" s="1" t="s">
        <v>49</v>
      </c>
      <c r="E744" s="1" t="s">
        <v>49</v>
      </c>
      <c r="F744" s="1">
        <v>1</v>
      </c>
      <c r="G744" s="33" t="e">
        <f>VLOOKUP(E744,ACTIVIDADES!A745:D757,2)</f>
        <v>#N/A</v>
      </c>
    </row>
    <row r="745" spans="1:7" x14ac:dyDescent="0.3">
      <c r="A745" s="28">
        <v>46146</v>
      </c>
      <c r="B745" s="24">
        <v>3</v>
      </c>
      <c r="C745" t="s">
        <v>22</v>
      </c>
      <c r="D745" s="1" t="s">
        <v>48</v>
      </c>
      <c r="E745" s="1" t="s">
        <v>48</v>
      </c>
      <c r="F745" s="1">
        <v>1</v>
      </c>
      <c r="G745" s="33" t="e">
        <f>VLOOKUP(E745,ACTIVIDADES!A746:D758,2)</f>
        <v>#N/A</v>
      </c>
    </row>
    <row r="746" spans="1:7" x14ac:dyDescent="0.3">
      <c r="A746" s="28">
        <v>46146</v>
      </c>
      <c r="B746" s="24">
        <v>4</v>
      </c>
      <c r="C746" t="s">
        <v>36</v>
      </c>
      <c r="D746" s="1" t="s">
        <v>51</v>
      </c>
      <c r="E746" s="1" t="s">
        <v>50</v>
      </c>
      <c r="F746" s="1">
        <v>1</v>
      </c>
      <c r="G746" s="33" t="e">
        <f>VLOOKUP(E746,ACTIVIDADES!A747:D759,2)</f>
        <v>#N/A</v>
      </c>
    </row>
    <row r="747" spans="1:7" x14ac:dyDescent="0.3">
      <c r="A747" s="28">
        <v>46146</v>
      </c>
      <c r="B747" s="24">
        <v>5</v>
      </c>
      <c r="C747" t="s">
        <v>38</v>
      </c>
      <c r="D747" s="1" t="s">
        <v>51</v>
      </c>
      <c r="E747" s="1" t="s">
        <v>50</v>
      </c>
      <c r="F747" s="1">
        <v>1</v>
      </c>
      <c r="G747" s="33" t="e">
        <f>VLOOKUP(E747,ACTIVIDADES!A748:D760,2)</f>
        <v>#N/A</v>
      </c>
    </row>
    <row r="748" spans="1:7" x14ac:dyDescent="0.3">
      <c r="A748" s="28">
        <v>46146</v>
      </c>
      <c r="B748" s="24">
        <v>6</v>
      </c>
      <c r="C748" t="s">
        <v>11</v>
      </c>
      <c r="D748" s="1" t="s">
        <v>72</v>
      </c>
      <c r="E748" s="1" t="s">
        <v>60</v>
      </c>
      <c r="F748" s="1">
        <v>1</v>
      </c>
      <c r="G748" s="33" t="e">
        <f>VLOOKUP(E748,ACTIVIDADES!A749:D761,2)</f>
        <v>#N/A</v>
      </c>
    </row>
    <row r="749" spans="1:7" x14ac:dyDescent="0.3">
      <c r="A749" s="28">
        <v>46146</v>
      </c>
      <c r="B749" s="24">
        <v>7</v>
      </c>
      <c r="C749" t="s">
        <v>12</v>
      </c>
      <c r="D749" s="1" t="s">
        <v>72</v>
      </c>
      <c r="E749" s="1" t="s">
        <v>60</v>
      </c>
      <c r="F749" s="1">
        <v>1</v>
      </c>
      <c r="G749" s="33" t="e">
        <f>VLOOKUP(E749,ACTIVIDADES!A750:D762,2)</f>
        <v>#N/A</v>
      </c>
    </row>
    <row r="750" spans="1:7" x14ac:dyDescent="0.3">
      <c r="A750" s="28">
        <v>46146</v>
      </c>
      <c r="B750" s="24">
        <v>8</v>
      </c>
      <c r="C750" t="s">
        <v>13</v>
      </c>
      <c r="D750" s="1" t="s">
        <v>72</v>
      </c>
      <c r="E750" s="1" t="s">
        <v>60</v>
      </c>
      <c r="F750" s="1">
        <v>1</v>
      </c>
      <c r="G750" s="33" t="e">
        <f>VLOOKUP(E750,ACTIVIDADES!A751:D763,2)</f>
        <v>#N/A</v>
      </c>
    </row>
    <row r="751" spans="1:7" x14ac:dyDescent="0.3">
      <c r="A751" s="28">
        <v>46146</v>
      </c>
      <c r="B751" s="24">
        <v>9</v>
      </c>
      <c r="C751" t="s">
        <v>14</v>
      </c>
      <c r="D751" s="1" t="s">
        <v>72</v>
      </c>
      <c r="E751" s="1" t="s">
        <v>60</v>
      </c>
      <c r="F751" s="1">
        <v>1</v>
      </c>
      <c r="G751" s="33" t="e">
        <f>VLOOKUP(E751,ACTIVIDADES!A752:D764,2)</f>
        <v>#N/A</v>
      </c>
    </row>
    <row r="752" spans="1:7" x14ac:dyDescent="0.3">
      <c r="A752" s="28">
        <v>46146</v>
      </c>
      <c r="B752" s="24">
        <v>10</v>
      </c>
      <c r="C752" t="s">
        <v>15</v>
      </c>
      <c r="D752" s="1" t="s">
        <v>72</v>
      </c>
      <c r="E752" s="1" t="s">
        <v>60</v>
      </c>
      <c r="F752" s="1">
        <v>1</v>
      </c>
      <c r="G752" s="33" t="e">
        <f>VLOOKUP(E752,ACTIVIDADES!A753:D765,2)</f>
        <v>#N/A</v>
      </c>
    </row>
    <row r="753" spans="1:7" x14ac:dyDescent="0.3">
      <c r="A753" s="28">
        <v>46146</v>
      </c>
      <c r="B753" s="24">
        <v>11</v>
      </c>
      <c r="C753" t="s">
        <v>16</v>
      </c>
      <c r="D753" s="1" t="s">
        <v>72</v>
      </c>
      <c r="E753" s="1" t="s">
        <v>60</v>
      </c>
      <c r="F753" s="1">
        <v>1</v>
      </c>
      <c r="G753" s="33" t="e">
        <f>VLOOKUP(E753,ACTIVIDADES!A754:D766,2)</f>
        <v>#N/A</v>
      </c>
    </row>
    <row r="754" spans="1:7" x14ac:dyDescent="0.3">
      <c r="A754" s="28">
        <v>46146</v>
      </c>
      <c r="B754" s="24">
        <v>12</v>
      </c>
      <c r="C754" t="s">
        <v>17</v>
      </c>
      <c r="D754" s="1" t="s">
        <v>72</v>
      </c>
      <c r="E754" s="1" t="s">
        <v>60</v>
      </c>
      <c r="F754" s="1">
        <v>1</v>
      </c>
      <c r="G754" s="33" t="e">
        <f>VLOOKUP(E754,ACTIVIDADES!A755:D767,2)</f>
        <v>#N/A</v>
      </c>
    </row>
    <row r="755" spans="1:7" x14ac:dyDescent="0.3">
      <c r="A755" s="28">
        <v>46146</v>
      </c>
      <c r="B755" s="24">
        <v>13</v>
      </c>
      <c r="C755" t="s">
        <v>18</v>
      </c>
      <c r="D755" s="1" t="s">
        <v>72</v>
      </c>
      <c r="E755" s="1" t="s">
        <v>60</v>
      </c>
      <c r="F755" s="1">
        <v>1</v>
      </c>
      <c r="G755" s="33" t="e">
        <f>VLOOKUP(E755,ACTIVIDADES!A756:D768,2)</f>
        <v>#N/A</v>
      </c>
    </row>
    <row r="756" spans="1:7" x14ac:dyDescent="0.3">
      <c r="A756" s="28">
        <v>46146</v>
      </c>
      <c r="B756" s="24">
        <v>14</v>
      </c>
      <c r="C756" t="s">
        <v>19</v>
      </c>
      <c r="D756" s="1" t="s">
        <v>72</v>
      </c>
      <c r="E756" s="1" t="s">
        <v>60</v>
      </c>
      <c r="F756" s="1">
        <v>1</v>
      </c>
      <c r="G756" s="33" t="e">
        <f>VLOOKUP(E756,ACTIVIDADES!A757:D769,2)</f>
        <v>#N/A</v>
      </c>
    </row>
    <row r="757" spans="1:7" x14ac:dyDescent="0.3">
      <c r="A757" s="28">
        <v>46146</v>
      </c>
      <c r="B757" s="24">
        <v>15</v>
      </c>
      <c r="C757" t="s">
        <v>20</v>
      </c>
      <c r="D757" s="1" t="s">
        <v>72</v>
      </c>
      <c r="E757" s="1" t="s">
        <v>60</v>
      </c>
      <c r="F757" s="1">
        <v>1</v>
      </c>
      <c r="G757" s="33" t="e">
        <f>VLOOKUP(E757,ACTIVIDADES!A758:D770,2)</f>
        <v>#N/A</v>
      </c>
    </row>
    <row r="758" spans="1:7" x14ac:dyDescent="0.3">
      <c r="A758" s="28">
        <v>46146</v>
      </c>
      <c r="B758" s="24">
        <v>16</v>
      </c>
      <c r="C758" t="s">
        <v>21</v>
      </c>
      <c r="D758" s="1" t="s">
        <v>72</v>
      </c>
      <c r="E758" s="1" t="s">
        <v>60</v>
      </c>
      <c r="F758" s="1">
        <v>1</v>
      </c>
      <c r="G758" s="33" t="e">
        <f>VLOOKUP(E758,ACTIVIDADES!A759:D771,2)</f>
        <v>#N/A</v>
      </c>
    </row>
    <row r="759" spans="1:7" x14ac:dyDescent="0.3">
      <c r="A759" s="28">
        <v>46146</v>
      </c>
      <c r="B759" s="24">
        <v>17</v>
      </c>
      <c r="C759" t="s">
        <v>8</v>
      </c>
      <c r="D759" s="1" t="s">
        <v>72</v>
      </c>
      <c r="E759" s="1" t="s">
        <v>60</v>
      </c>
      <c r="F759" s="1">
        <v>1</v>
      </c>
      <c r="G759" s="33" t="e">
        <f>VLOOKUP(E759,ACTIVIDADES!A760:D772,2)</f>
        <v>#N/A</v>
      </c>
    </row>
    <row r="760" spans="1:7" x14ac:dyDescent="0.3">
      <c r="A760" s="28">
        <v>46146</v>
      </c>
      <c r="B760" s="24">
        <v>18</v>
      </c>
      <c r="C760" t="s">
        <v>23</v>
      </c>
      <c r="D760" s="1" t="s">
        <v>72</v>
      </c>
      <c r="E760" s="1" t="s">
        <v>60</v>
      </c>
      <c r="F760" s="1">
        <v>1</v>
      </c>
      <c r="G760" s="33" t="e">
        <f>VLOOKUP(E760,ACTIVIDADES!A761:D773,2)</f>
        <v>#N/A</v>
      </c>
    </row>
    <row r="761" spans="1:7" x14ac:dyDescent="0.3">
      <c r="A761" s="28">
        <v>46146</v>
      </c>
      <c r="B761" s="24">
        <v>19</v>
      </c>
      <c r="C761" t="s">
        <v>24</v>
      </c>
      <c r="D761" s="1" t="s">
        <v>72</v>
      </c>
      <c r="E761" s="1" t="s">
        <v>60</v>
      </c>
      <c r="F761" s="1">
        <v>1</v>
      </c>
      <c r="G761" s="33" t="e">
        <f>VLOOKUP(E761,ACTIVIDADES!A762:D774,2)</f>
        <v>#N/A</v>
      </c>
    </row>
    <row r="762" spans="1:7" x14ac:dyDescent="0.3">
      <c r="A762" s="28">
        <v>46146</v>
      </c>
      <c r="B762" s="24">
        <v>20</v>
      </c>
      <c r="C762" t="s">
        <v>25</v>
      </c>
      <c r="D762" s="1" t="s">
        <v>72</v>
      </c>
      <c r="E762" s="1" t="s">
        <v>60</v>
      </c>
      <c r="F762" s="1">
        <v>1</v>
      </c>
      <c r="G762" s="33" t="e">
        <f>VLOOKUP(E762,ACTIVIDADES!A763:D775,2)</f>
        <v>#N/A</v>
      </c>
    </row>
    <row r="763" spans="1:7" x14ac:dyDescent="0.3">
      <c r="A763" s="28">
        <v>46146</v>
      </c>
      <c r="B763" s="24">
        <v>21</v>
      </c>
      <c r="C763" t="s">
        <v>26</v>
      </c>
      <c r="D763" s="1" t="s">
        <v>72</v>
      </c>
      <c r="E763" s="1" t="s">
        <v>60</v>
      </c>
      <c r="F763" s="1">
        <v>1</v>
      </c>
      <c r="G763" s="33" t="e">
        <f>VLOOKUP(E763,ACTIVIDADES!A764:D776,2)</f>
        <v>#N/A</v>
      </c>
    </row>
    <row r="764" spans="1:7" x14ac:dyDescent="0.3">
      <c r="A764" s="28">
        <v>46146</v>
      </c>
      <c r="B764" s="24">
        <v>22</v>
      </c>
      <c r="C764" t="s">
        <v>27</v>
      </c>
      <c r="D764" s="1" t="s">
        <v>72</v>
      </c>
      <c r="E764" s="1" t="s">
        <v>60</v>
      </c>
      <c r="F764" s="1">
        <v>1</v>
      </c>
      <c r="G764" s="33" t="e">
        <f>VLOOKUP(E764,ACTIVIDADES!A765:D777,2)</f>
        <v>#N/A</v>
      </c>
    </row>
    <row r="765" spans="1:7" x14ac:dyDescent="0.3">
      <c r="A765" s="28">
        <v>46146</v>
      </c>
      <c r="B765" s="24">
        <v>23</v>
      </c>
      <c r="C765" t="s">
        <v>28</v>
      </c>
      <c r="D765" s="1" t="s">
        <v>72</v>
      </c>
      <c r="E765" s="1" t="s">
        <v>60</v>
      </c>
      <c r="F765" s="1">
        <v>1</v>
      </c>
      <c r="G765" s="33" t="e">
        <f>VLOOKUP(E765,ACTIVIDADES!A766:D778,2)</f>
        <v>#N/A</v>
      </c>
    </row>
    <row r="766" spans="1:7" x14ac:dyDescent="0.3">
      <c r="A766" s="28">
        <v>46146</v>
      </c>
      <c r="B766" s="24">
        <v>24</v>
      </c>
      <c r="C766" t="s">
        <v>29</v>
      </c>
      <c r="D766" s="1" t="s">
        <v>72</v>
      </c>
      <c r="E766" s="1" t="s">
        <v>60</v>
      </c>
      <c r="F766" s="1">
        <v>1</v>
      </c>
      <c r="G766" s="33" t="e">
        <f>VLOOKUP(E766,ACTIVIDADES!A767:D779,2)</f>
        <v>#N/A</v>
      </c>
    </row>
    <row r="767" spans="1:7" x14ac:dyDescent="0.3">
      <c r="A767" s="28">
        <v>46146</v>
      </c>
      <c r="B767" s="24">
        <v>25</v>
      </c>
      <c r="C767" t="s">
        <v>30</v>
      </c>
      <c r="D767" s="1"/>
      <c r="E767" s="1"/>
      <c r="F767" s="1"/>
      <c r="G767" s="33" t="e">
        <f>VLOOKUP(E767,ACTIVIDADES!A768:D780,2)</f>
        <v>#N/A</v>
      </c>
    </row>
    <row r="768" spans="1:7" x14ac:dyDescent="0.3">
      <c r="A768" s="28">
        <v>46146</v>
      </c>
      <c r="B768" s="24">
        <v>26</v>
      </c>
      <c r="C768" t="s">
        <v>31</v>
      </c>
      <c r="D768" s="1" t="s">
        <v>72</v>
      </c>
      <c r="E768" s="1" t="s">
        <v>60</v>
      </c>
      <c r="F768" s="1">
        <v>1</v>
      </c>
      <c r="G768" s="33" t="e">
        <f>VLOOKUP(E768,ACTIVIDADES!A769:D781,2)</f>
        <v>#N/A</v>
      </c>
    </row>
    <row r="769" spans="1:7" x14ac:dyDescent="0.3">
      <c r="A769" s="28">
        <v>46146</v>
      </c>
      <c r="B769" s="24">
        <v>27</v>
      </c>
      <c r="C769" t="s">
        <v>32</v>
      </c>
      <c r="D769" s="1"/>
      <c r="E769" s="1"/>
      <c r="F769" s="1"/>
      <c r="G769" s="33" t="e">
        <f>VLOOKUP(E769,ACTIVIDADES!A770:D782,2)</f>
        <v>#N/A</v>
      </c>
    </row>
    <row r="770" spans="1:7" x14ac:dyDescent="0.3">
      <c r="A770" s="28">
        <v>46146</v>
      </c>
      <c r="B770" s="24">
        <v>28</v>
      </c>
      <c r="C770" t="s">
        <v>33</v>
      </c>
      <c r="D770" s="1" t="s">
        <v>72</v>
      </c>
      <c r="E770" s="1" t="s">
        <v>60</v>
      </c>
      <c r="F770" s="1">
        <v>1</v>
      </c>
      <c r="G770" s="33" t="e">
        <f>VLOOKUP(E770,ACTIVIDADES!A771:D783,2)</f>
        <v>#N/A</v>
      </c>
    </row>
    <row r="771" spans="1:7" x14ac:dyDescent="0.3">
      <c r="A771" s="28">
        <v>46146</v>
      </c>
      <c r="B771" s="24">
        <v>29</v>
      </c>
      <c r="C771" t="s">
        <v>34</v>
      </c>
      <c r="D771" s="1" t="s">
        <v>72</v>
      </c>
      <c r="E771" s="1" t="s">
        <v>60</v>
      </c>
      <c r="F771" s="1">
        <v>1</v>
      </c>
      <c r="G771" s="33" t="e">
        <f>VLOOKUP(E771,ACTIVIDADES!A772:D784,2)</f>
        <v>#N/A</v>
      </c>
    </row>
    <row r="772" spans="1:7" x14ac:dyDescent="0.3">
      <c r="A772" s="28">
        <v>46146</v>
      </c>
      <c r="B772" s="24">
        <v>30</v>
      </c>
      <c r="C772" t="s">
        <v>35</v>
      </c>
      <c r="D772" s="1" t="s">
        <v>72</v>
      </c>
      <c r="E772" s="1" t="s">
        <v>60</v>
      </c>
      <c r="F772" s="1">
        <v>1</v>
      </c>
      <c r="G772" s="33" t="e">
        <f>VLOOKUP(E772,ACTIVIDADES!A773:D785,2)</f>
        <v>#N/A</v>
      </c>
    </row>
    <row r="773" spans="1:7" x14ac:dyDescent="0.3">
      <c r="A773" s="28">
        <v>46146</v>
      </c>
      <c r="B773" s="24">
        <v>31</v>
      </c>
      <c r="C773" t="s">
        <v>9</v>
      </c>
      <c r="D773" s="1" t="s">
        <v>72</v>
      </c>
      <c r="E773" s="1" t="s">
        <v>60</v>
      </c>
      <c r="F773" s="1">
        <v>1</v>
      </c>
      <c r="G773" s="33" t="e">
        <f>VLOOKUP(E773,ACTIVIDADES!A774:D786,2)</f>
        <v>#N/A</v>
      </c>
    </row>
    <row r="774" spans="1:7" x14ac:dyDescent="0.3">
      <c r="A774" s="28">
        <v>46146</v>
      </c>
      <c r="B774" s="24">
        <v>32</v>
      </c>
      <c r="C774" t="s">
        <v>37</v>
      </c>
      <c r="D774" s="1" t="s">
        <v>72</v>
      </c>
      <c r="E774" s="1" t="s">
        <v>60</v>
      </c>
      <c r="F774" s="1">
        <v>1</v>
      </c>
      <c r="G774" s="33" t="e">
        <f>VLOOKUP(E774,ACTIVIDADES!A775:D787,2)</f>
        <v>#N/A</v>
      </c>
    </row>
    <row r="775" spans="1:7" x14ac:dyDescent="0.3">
      <c r="A775" s="28">
        <v>46146</v>
      </c>
      <c r="B775" s="24">
        <v>33</v>
      </c>
      <c r="C775" t="s">
        <v>7</v>
      </c>
      <c r="D775" s="1" t="s">
        <v>72</v>
      </c>
      <c r="E775" s="1" t="s">
        <v>60</v>
      </c>
      <c r="F775" s="1">
        <v>1</v>
      </c>
      <c r="G775" s="33" t="e">
        <f>VLOOKUP(E775,ACTIVIDADES!A776:D788,2)</f>
        <v>#N/A</v>
      </c>
    </row>
    <row r="776" spans="1:7" x14ac:dyDescent="0.3">
      <c r="A776" s="28">
        <v>46146</v>
      </c>
      <c r="B776" s="24">
        <v>34</v>
      </c>
      <c r="C776" t="s">
        <v>39</v>
      </c>
      <c r="D776" s="1" t="s">
        <v>72</v>
      </c>
      <c r="E776" s="1" t="s">
        <v>60</v>
      </c>
      <c r="F776" s="1">
        <v>1</v>
      </c>
      <c r="G776" s="33" t="e">
        <f>VLOOKUP(E776,ACTIVIDADES!A777:D789,2)</f>
        <v>#N/A</v>
      </c>
    </row>
    <row r="777" spans="1:7" x14ac:dyDescent="0.3">
      <c r="A777" s="28">
        <v>46146</v>
      </c>
      <c r="B777" s="24">
        <v>35</v>
      </c>
      <c r="C777" t="s">
        <v>40</v>
      </c>
      <c r="D777" s="1" t="s">
        <v>72</v>
      </c>
      <c r="E777" s="1" t="s">
        <v>60</v>
      </c>
      <c r="F777" s="1">
        <v>1</v>
      </c>
      <c r="G777" s="33" t="e">
        <f>VLOOKUP(E777,ACTIVIDADES!A778:D790,2)</f>
        <v>#N/A</v>
      </c>
    </row>
    <row r="778" spans="1:7" x14ac:dyDescent="0.3">
      <c r="A778" s="28">
        <v>46146</v>
      </c>
      <c r="B778" s="24">
        <v>36</v>
      </c>
      <c r="C778" t="s">
        <v>41</v>
      </c>
      <c r="D778" s="1" t="s">
        <v>72</v>
      </c>
      <c r="E778" s="1" t="s">
        <v>60</v>
      </c>
      <c r="F778" s="1">
        <v>1</v>
      </c>
      <c r="G778" s="33" t="e">
        <f>VLOOKUP(E778,ACTIVIDADES!A779:D791,2)</f>
        <v>#N/A</v>
      </c>
    </row>
    <row r="779" spans="1:7" x14ac:dyDescent="0.3">
      <c r="A779" s="28">
        <v>46146</v>
      </c>
      <c r="B779" s="24">
        <v>37</v>
      </c>
      <c r="C779" t="s">
        <v>42</v>
      </c>
      <c r="D779" s="1" t="s">
        <v>72</v>
      </c>
      <c r="E779" s="1" t="s">
        <v>60</v>
      </c>
      <c r="F779" s="1">
        <v>1</v>
      </c>
      <c r="G779" s="33" t="e">
        <f>VLOOKUP(E779,ACTIVIDADES!A780:D792,2)</f>
        <v>#N/A</v>
      </c>
    </row>
    <row r="780" spans="1:7" x14ac:dyDescent="0.3">
      <c r="A780" s="28">
        <v>46146</v>
      </c>
      <c r="B780" s="24">
        <v>38</v>
      </c>
      <c r="C780" t="s">
        <v>43</v>
      </c>
      <c r="D780" s="1" t="s">
        <v>72</v>
      </c>
      <c r="E780" s="1" t="s">
        <v>60</v>
      </c>
      <c r="F780" s="1">
        <v>1</v>
      </c>
      <c r="G780" s="33" t="e">
        <f>VLOOKUP(E780,ACTIVIDADES!A781:D793,2)</f>
        <v>#N/A</v>
      </c>
    </row>
    <row r="781" spans="1:7" x14ac:dyDescent="0.3">
      <c r="A781" s="28">
        <v>46146</v>
      </c>
      <c r="B781" s="24">
        <v>39</v>
      </c>
      <c r="C781" t="s">
        <v>44</v>
      </c>
      <c r="D781" s="1" t="s">
        <v>72</v>
      </c>
      <c r="E781" s="1" t="s">
        <v>60</v>
      </c>
      <c r="F781" s="1">
        <v>1</v>
      </c>
      <c r="G781" s="33" t="e">
        <f>VLOOKUP(E781,ACTIVIDADES!A782:D794,2)</f>
        <v>#N/A</v>
      </c>
    </row>
    <row r="782" spans="1:7" x14ac:dyDescent="0.3">
      <c r="A782" s="28">
        <v>46147</v>
      </c>
      <c r="B782" s="24">
        <v>1</v>
      </c>
      <c r="C782" t="s">
        <v>6</v>
      </c>
      <c r="D782" s="1" t="s">
        <v>49</v>
      </c>
      <c r="E782" s="1" t="s">
        <v>49</v>
      </c>
      <c r="F782" s="1">
        <v>1</v>
      </c>
      <c r="G782" s="33" t="e">
        <f>VLOOKUP(E782,ACTIVIDADES!A783:D795,2)</f>
        <v>#N/A</v>
      </c>
    </row>
    <row r="783" spans="1:7" x14ac:dyDescent="0.3">
      <c r="A783" s="28">
        <v>46147</v>
      </c>
      <c r="B783" s="24">
        <v>2</v>
      </c>
      <c r="C783" t="s">
        <v>10</v>
      </c>
      <c r="D783" s="1" t="s">
        <v>49</v>
      </c>
      <c r="E783" s="1" t="s">
        <v>49</v>
      </c>
      <c r="F783" s="1">
        <v>1</v>
      </c>
      <c r="G783" s="33" t="e">
        <f>VLOOKUP(E783,ACTIVIDADES!A784:D796,2)</f>
        <v>#N/A</v>
      </c>
    </row>
    <row r="784" spans="1:7" x14ac:dyDescent="0.3">
      <c r="A784" s="28">
        <v>46147</v>
      </c>
      <c r="B784" s="24">
        <v>3</v>
      </c>
      <c r="C784" t="s">
        <v>22</v>
      </c>
      <c r="D784" s="1" t="s">
        <v>48</v>
      </c>
      <c r="E784" s="1" t="s">
        <v>48</v>
      </c>
      <c r="F784" s="1">
        <v>1</v>
      </c>
      <c r="G784" s="33" t="e">
        <f>VLOOKUP(E784,ACTIVIDADES!A785:D797,2)</f>
        <v>#N/A</v>
      </c>
    </row>
    <row r="785" spans="1:7" x14ac:dyDescent="0.3">
      <c r="A785" s="28">
        <v>46147</v>
      </c>
      <c r="B785" s="24">
        <v>4</v>
      </c>
      <c r="C785" t="s">
        <v>36</v>
      </c>
      <c r="D785" s="1" t="s">
        <v>51</v>
      </c>
      <c r="E785" s="1" t="s">
        <v>50</v>
      </c>
      <c r="F785" s="1">
        <v>1</v>
      </c>
      <c r="G785" s="33" t="e">
        <f>VLOOKUP(E785,ACTIVIDADES!A786:D798,2)</f>
        <v>#N/A</v>
      </c>
    </row>
    <row r="786" spans="1:7" x14ac:dyDescent="0.3">
      <c r="A786" s="28">
        <v>46147</v>
      </c>
      <c r="B786" s="24">
        <v>5</v>
      </c>
      <c r="C786" t="s">
        <v>38</v>
      </c>
      <c r="D786" s="1" t="s">
        <v>51</v>
      </c>
      <c r="E786" s="1" t="s">
        <v>50</v>
      </c>
      <c r="F786" s="1">
        <v>1</v>
      </c>
      <c r="G786" s="33" t="e">
        <f>VLOOKUP(E786,ACTIVIDADES!A787:D799,2)</f>
        <v>#N/A</v>
      </c>
    </row>
    <row r="787" spans="1:7" x14ac:dyDescent="0.3">
      <c r="A787" s="28">
        <v>46147</v>
      </c>
      <c r="B787" s="24">
        <v>6</v>
      </c>
      <c r="C787" t="s">
        <v>11</v>
      </c>
      <c r="D787" s="1" t="s">
        <v>72</v>
      </c>
      <c r="E787" s="1" t="s">
        <v>60</v>
      </c>
      <c r="F787" s="1">
        <v>1</v>
      </c>
      <c r="G787" s="33" t="e">
        <f>VLOOKUP(E787,ACTIVIDADES!A788:D800,2)</f>
        <v>#N/A</v>
      </c>
    </row>
    <row r="788" spans="1:7" x14ac:dyDescent="0.3">
      <c r="A788" s="28">
        <v>46147</v>
      </c>
      <c r="B788" s="24">
        <v>7</v>
      </c>
      <c r="C788" t="s">
        <v>12</v>
      </c>
      <c r="D788" s="1" t="s">
        <v>72</v>
      </c>
      <c r="E788" s="1" t="s">
        <v>60</v>
      </c>
      <c r="F788" s="1">
        <v>1</v>
      </c>
      <c r="G788" s="33" t="e">
        <f>VLOOKUP(E788,ACTIVIDADES!A789:D801,2)</f>
        <v>#N/A</v>
      </c>
    </row>
    <row r="789" spans="1:7" x14ac:dyDescent="0.3">
      <c r="A789" s="28">
        <v>46147</v>
      </c>
      <c r="B789" s="24">
        <v>8</v>
      </c>
      <c r="C789" t="s">
        <v>13</v>
      </c>
      <c r="D789" s="1" t="s">
        <v>72</v>
      </c>
      <c r="E789" s="1" t="s">
        <v>60</v>
      </c>
      <c r="F789" s="1">
        <v>1</v>
      </c>
      <c r="G789" s="33" t="e">
        <f>VLOOKUP(E789,ACTIVIDADES!A790:D802,2)</f>
        <v>#N/A</v>
      </c>
    </row>
    <row r="790" spans="1:7" x14ac:dyDescent="0.3">
      <c r="A790" s="28">
        <v>46147</v>
      </c>
      <c r="B790" s="24">
        <v>9</v>
      </c>
      <c r="C790" t="s">
        <v>14</v>
      </c>
      <c r="D790" s="1" t="s">
        <v>69</v>
      </c>
      <c r="E790" s="1" t="s">
        <v>60</v>
      </c>
      <c r="F790" s="1">
        <v>1</v>
      </c>
      <c r="G790" s="33" t="e">
        <f>VLOOKUP(E790,ACTIVIDADES!A791:D803,2)</f>
        <v>#N/A</v>
      </c>
    </row>
    <row r="791" spans="1:7" x14ac:dyDescent="0.3">
      <c r="A791" s="28">
        <v>46147</v>
      </c>
      <c r="B791" s="24">
        <v>10</v>
      </c>
      <c r="C791" t="s">
        <v>15</v>
      </c>
      <c r="D791" s="1" t="s">
        <v>51</v>
      </c>
      <c r="E791" s="1" t="s">
        <v>50</v>
      </c>
      <c r="F791" s="1">
        <v>1</v>
      </c>
      <c r="G791" s="33" t="e">
        <f>VLOOKUP(E791,ACTIVIDADES!A792:D804,2)</f>
        <v>#N/A</v>
      </c>
    </row>
    <row r="792" spans="1:7" x14ac:dyDescent="0.3">
      <c r="A792" s="28">
        <v>46147</v>
      </c>
      <c r="B792" s="24">
        <v>11</v>
      </c>
      <c r="C792" t="s">
        <v>16</v>
      </c>
      <c r="D792" s="1" t="s">
        <v>72</v>
      </c>
      <c r="E792" s="1" t="s">
        <v>60</v>
      </c>
      <c r="F792" s="1">
        <v>1</v>
      </c>
      <c r="G792" s="33" t="e">
        <f>VLOOKUP(E792,ACTIVIDADES!A793:D805,2)</f>
        <v>#N/A</v>
      </c>
    </row>
    <row r="793" spans="1:7" x14ac:dyDescent="0.3">
      <c r="A793" s="28">
        <v>46147</v>
      </c>
      <c r="B793" s="24">
        <v>12</v>
      </c>
      <c r="C793" t="s">
        <v>17</v>
      </c>
      <c r="D793" s="1" t="s">
        <v>69</v>
      </c>
      <c r="E793" s="1" t="s">
        <v>60</v>
      </c>
      <c r="F793" s="1">
        <v>1</v>
      </c>
      <c r="G793" s="33" t="e">
        <f>VLOOKUP(E793,ACTIVIDADES!A794:D806,2)</f>
        <v>#N/A</v>
      </c>
    </row>
    <row r="794" spans="1:7" x14ac:dyDescent="0.3">
      <c r="A794" s="28">
        <v>46147</v>
      </c>
      <c r="B794" s="24">
        <v>13</v>
      </c>
      <c r="C794" t="s">
        <v>18</v>
      </c>
      <c r="D794" s="1" t="s">
        <v>72</v>
      </c>
      <c r="E794" s="1" t="s">
        <v>60</v>
      </c>
      <c r="F794" s="1">
        <v>1</v>
      </c>
      <c r="G794" s="33" t="e">
        <f>VLOOKUP(E794,ACTIVIDADES!A795:D807,2)</f>
        <v>#N/A</v>
      </c>
    </row>
    <row r="795" spans="1:7" x14ac:dyDescent="0.3">
      <c r="A795" s="28">
        <v>46147</v>
      </c>
      <c r="B795" s="24">
        <v>14</v>
      </c>
      <c r="C795" t="s">
        <v>19</v>
      </c>
      <c r="D795" s="1" t="s">
        <v>72</v>
      </c>
      <c r="E795" s="1" t="s">
        <v>60</v>
      </c>
      <c r="F795" s="1">
        <v>1</v>
      </c>
      <c r="G795" s="33" t="e">
        <f>VLOOKUP(E795,ACTIVIDADES!A796:D808,2)</f>
        <v>#N/A</v>
      </c>
    </row>
    <row r="796" spans="1:7" x14ac:dyDescent="0.3">
      <c r="A796" s="28">
        <v>46147</v>
      </c>
      <c r="B796" s="24">
        <v>15</v>
      </c>
      <c r="C796" t="s">
        <v>20</v>
      </c>
      <c r="D796" s="1" t="s">
        <v>72</v>
      </c>
      <c r="E796" s="1" t="s">
        <v>60</v>
      </c>
      <c r="F796" s="1">
        <v>1</v>
      </c>
      <c r="G796" s="33" t="e">
        <f>VLOOKUP(E796,ACTIVIDADES!A797:D809,2)</f>
        <v>#N/A</v>
      </c>
    </row>
    <row r="797" spans="1:7" x14ac:dyDescent="0.3">
      <c r="A797" s="28">
        <v>46147</v>
      </c>
      <c r="B797" s="24">
        <v>16</v>
      </c>
      <c r="C797" t="s">
        <v>21</v>
      </c>
      <c r="D797" s="1" t="s">
        <v>69</v>
      </c>
      <c r="E797" s="1" t="s">
        <v>60</v>
      </c>
      <c r="F797" s="1">
        <v>1</v>
      </c>
      <c r="G797" s="33" t="e">
        <f>VLOOKUP(E797,ACTIVIDADES!A798:D810,2)</f>
        <v>#N/A</v>
      </c>
    </row>
    <row r="798" spans="1:7" x14ac:dyDescent="0.3">
      <c r="A798" s="28">
        <v>46147</v>
      </c>
      <c r="B798" s="24">
        <v>17</v>
      </c>
      <c r="C798" t="s">
        <v>8</v>
      </c>
      <c r="D798" s="1" t="s">
        <v>69</v>
      </c>
      <c r="E798" s="1" t="s">
        <v>60</v>
      </c>
      <c r="F798" s="1">
        <v>1</v>
      </c>
      <c r="G798" s="33" t="e">
        <f>VLOOKUP(E798,ACTIVIDADES!A799:D811,2)</f>
        <v>#N/A</v>
      </c>
    </row>
    <row r="799" spans="1:7" x14ac:dyDescent="0.3">
      <c r="A799" s="28">
        <v>46147</v>
      </c>
      <c r="B799" s="24">
        <v>18</v>
      </c>
      <c r="C799" t="s">
        <v>23</v>
      </c>
      <c r="D799" s="1" t="s">
        <v>72</v>
      </c>
      <c r="E799" s="1" t="s">
        <v>60</v>
      </c>
      <c r="F799" s="1">
        <v>1</v>
      </c>
      <c r="G799" s="33" t="e">
        <f>VLOOKUP(E799,ACTIVIDADES!A800:D812,2)</f>
        <v>#N/A</v>
      </c>
    </row>
    <row r="800" spans="1:7" x14ac:dyDescent="0.3">
      <c r="A800" s="28">
        <v>46147</v>
      </c>
      <c r="B800" s="24">
        <v>19</v>
      </c>
      <c r="C800" t="s">
        <v>24</v>
      </c>
      <c r="D800" s="1" t="s">
        <v>69</v>
      </c>
      <c r="E800" s="1" t="s">
        <v>60</v>
      </c>
      <c r="F800" s="1">
        <v>1</v>
      </c>
      <c r="G800" s="33" t="e">
        <f>VLOOKUP(E800,ACTIVIDADES!A801:D813,2)</f>
        <v>#N/A</v>
      </c>
    </row>
    <row r="801" spans="1:7" x14ac:dyDescent="0.3">
      <c r="A801" s="28">
        <v>46147</v>
      </c>
      <c r="B801" s="24">
        <v>20</v>
      </c>
      <c r="C801" t="s">
        <v>25</v>
      </c>
      <c r="D801" s="1" t="s">
        <v>69</v>
      </c>
      <c r="E801" s="1" t="s">
        <v>60</v>
      </c>
      <c r="F801" s="1">
        <v>1</v>
      </c>
      <c r="G801" s="33" t="e">
        <f>VLOOKUP(E801,ACTIVIDADES!A802:D814,2)</f>
        <v>#N/A</v>
      </c>
    </row>
    <row r="802" spans="1:7" x14ac:dyDescent="0.3">
      <c r="A802" s="28">
        <v>46147</v>
      </c>
      <c r="B802" s="24">
        <v>21</v>
      </c>
      <c r="C802" t="s">
        <v>26</v>
      </c>
      <c r="D802" s="1" t="s">
        <v>72</v>
      </c>
      <c r="E802" s="1" t="s">
        <v>60</v>
      </c>
      <c r="F802" s="1">
        <v>1</v>
      </c>
      <c r="G802" s="33" t="e">
        <f>VLOOKUP(E802,ACTIVIDADES!A803:D815,2)</f>
        <v>#N/A</v>
      </c>
    </row>
    <row r="803" spans="1:7" x14ac:dyDescent="0.3">
      <c r="A803" s="28">
        <v>46147</v>
      </c>
      <c r="B803" s="24">
        <v>22</v>
      </c>
      <c r="C803" t="s">
        <v>27</v>
      </c>
      <c r="D803" s="1" t="s">
        <v>69</v>
      </c>
      <c r="E803" s="1" t="s">
        <v>60</v>
      </c>
      <c r="F803" s="1">
        <v>1</v>
      </c>
      <c r="G803" s="33" t="e">
        <f>VLOOKUP(E803,ACTIVIDADES!A804:D816,2)</f>
        <v>#N/A</v>
      </c>
    </row>
    <row r="804" spans="1:7" x14ac:dyDescent="0.3">
      <c r="A804" s="28">
        <v>46147</v>
      </c>
      <c r="B804" s="24">
        <v>23</v>
      </c>
      <c r="C804" t="s">
        <v>28</v>
      </c>
      <c r="D804" s="1" t="s">
        <v>72</v>
      </c>
      <c r="E804" s="1" t="s">
        <v>60</v>
      </c>
      <c r="F804" s="1">
        <v>1</v>
      </c>
      <c r="G804" s="33" t="e">
        <f>VLOOKUP(E804,ACTIVIDADES!A805:D817,2)</f>
        <v>#N/A</v>
      </c>
    </row>
    <row r="805" spans="1:7" x14ac:dyDescent="0.3">
      <c r="A805" s="28">
        <v>46147</v>
      </c>
      <c r="B805" s="24">
        <v>24</v>
      </c>
      <c r="C805" t="s">
        <v>29</v>
      </c>
      <c r="D805" s="1" t="s">
        <v>72</v>
      </c>
      <c r="E805" s="1" t="s">
        <v>60</v>
      </c>
      <c r="F805" s="1">
        <v>1</v>
      </c>
      <c r="G805" s="33" t="e">
        <f>VLOOKUP(E805,ACTIVIDADES!A806:D818,2)</f>
        <v>#N/A</v>
      </c>
    </row>
    <row r="806" spans="1:7" x14ac:dyDescent="0.3">
      <c r="A806" s="28">
        <v>46147</v>
      </c>
      <c r="B806" s="24">
        <v>25</v>
      </c>
      <c r="C806" t="s">
        <v>30</v>
      </c>
      <c r="D806" s="1" t="s">
        <v>73</v>
      </c>
      <c r="E806" s="1"/>
      <c r="F806" s="1">
        <v>1</v>
      </c>
      <c r="G806" s="33" t="e">
        <f>VLOOKUP(E806,ACTIVIDADES!A807:D819,2)</f>
        <v>#N/A</v>
      </c>
    </row>
    <row r="807" spans="1:7" x14ac:dyDescent="0.3">
      <c r="A807" s="28">
        <v>46147</v>
      </c>
      <c r="B807" s="24">
        <v>26</v>
      </c>
      <c r="C807" t="s">
        <v>31</v>
      </c>
      <c r="D807" s="1" t="s">
        <v>72</v>
      </c>
      <c r="E807" s="1" t="s">
        <v>60</v>
      </c>
      <c r="F807" s="1">
        <v>1</v>
      </c>
      <c r="G807" s="33" t="e">
        <f>VLOOKUP(E807,ACTIVIDADES!A808:D820,2)</f>
        <v>#N/A</v>
      </c>
    </row>
    <row r="808" spans="1:7" x14ac:dyDescent="0.3">
      <c r="A808" s="28">
        <v>46147</v>
      </c>
      <c r="B808" s="24">
        <v>27</v>
      </c>
      <c r="C808" t="s">
        <v>32</v>
      </c>
      <c r="D808" s="1" t="s">
        <v>72</v>
      </c>
      <c r="E808" s="1" t="s">
        <v>60</v>
      </c>
      <c r="F808" s="1">
        <v>1</v>
      </c>
      <c r="G808" s="33" t="e">
        <f>VLOOKUP(E808,ACTIVIDADES!A809:D821,2)</f>
        <v>#N/A</v>
      </c>
    </row>
    <row r="809" spans="1:7" x14ac:dyDescent="0.3">
      <c r="A809" s="28">
        <v>46147</v>
      </c>
      <c r="B809" s="24">
        <v>28</v>
      </c>
      <c r="C809" t="s">
        <v>33</v>
      </c>
      <c r="D809" s="1" t="s">
        <v>69</v>
      </c>
      <c r="E809" s="1" t="s">
        <v>60</v>
      </c>
      <c r="F809" s="1">
        <v>1</v>
      </c>
      <c r="G809" s="33" t="e">
        <f>VLOOKUP(E809,ACTIVIDADES!A810:D822,2)</f>
        <v>#N/A</v>
      </c>
    </row>
    <row r="810" spans="1:7" x14ac:dyDescent="0.3">
      <c r="A810" s="28">
        <v>46147</v>
      </c>
      <c r="B810" s="24">
        <v>29</v>
      </c>
      <c r="C810" t="s">
        <v>34</v>
      </c>
      <c r="D810" s="1" t="s">
        <v>69</v>
      </c>
      <c r="E810" s="1" t="s">
        <v>60</v>
      </c>
      <c r="F810" s="1">
        <v>1</v>
      </c>
      <c r="G810" s="33" t="e">
        <f>VLOOKUP(E810,ACTIVIDADES!A811:D823,2)</f>
        <v>#N/A</v>
      </c>
    </row>
    <row r="811" spans="1:7" x14ac:dyDescent="0.3">
      <c r="A811" s="28">
        <v>46147</v>
      </c>
      <c r="B811" s="24">
        <v>30</v>
      </c>
      <c r="C811" t="s">
        <v>35</v>
      </c>
      <c r="D811" s="1" t="s">
        <v>69</v>
      </c>
      <c r="E811" s="1" t="s">
        <v>60</v>
      </c>
      <c r="F811" s="1">
        <v>1</v>
      </c>
      <c r="G811" s="33" t="e">
        <f>VLOOKUP(E811,ACTIVIDADES!A812:D824,2)</f>
        <v>#N/A</v>
      </c>
    </row>
    <row r="812" spans="1:7" x14ac:dyDescent="0.3">
      <c r="A812" s="28">
        <v>46147</v>
      </c>
      <c r="B812" s="24">
        <v>31</v>
      </c>
      <c r="C812" t="s">
        <v>9</v>
      </c>
      <c r="D812" s="1" t="s">
        <v>72</v>
      </c>
      <c r="E812" s="1" t="s">
        <v>60</v>
      </c>
      <c r="F812" s="1">
        <v>1</v>
      </c>
      <c r="G812" s="33" t="e">
        <f>VLOOKUP(E812,ACTIVIDADES!A813:D825,2)</f>
        <v>#N/A</v>
      </c>
    </row>
    <row r="813" spans="1:7" x14ac:dyDescent="0.3">
      <c r="A813" s="28">
        <v>46147</v>
      </c>
      <c r="B813" s="24">
        <v>32</v>
      </c>
      <c r="C813" t="s">
        <v>37</v>
      </c>
      <c r="D813" s="1" t="s">
        <v>72</v>
      </c>
      <c r="E813" s="1" t="s">
        <v>60</v>
      </c>
      <c r="F813" s="1">
        <v>1</v>
      </c>
      <c r="G813" s="33" t="e">
        <f>VLOOKUP(E813,ACTIVIDADES!A814:D826,2)</f>
        <v>#N/A</v>
      </c>
    </row>
    <row r="814" spans="1:7" x14ac:dyDescent="0.3">
      <c r="A814" s="28">
        <v>46147</v>
      </c>
      <c r="B814" s="24">
        <v>33</v>
      </c>
      <c r="C814" t="s">
        <v>7</v>
      </c>
      <c r="D814" s="1" t="s">
        <v>69</v>
      </c>
      <c r="E814" s="1" t="s">
        <v>60</v>
      </c>
      <c r="F814" s="1">
        <v>1</v>
      </c>
      <c r="G814" s="33" t="e">
        <f>VLOOKUP(E814,ACTIVIDADES!A815:D827,2)</f>
        <v>#N/A</v>
      </c>
    </row>
    <row r="815" spans="1:7" x14ac:dyDescent="0.3">
      <c r="A815" s="28">
        <v>46147</v>
      </c>
      <c r="B815" s="24">
        <v>34</v>
      </c>
      <c r="C815" t="s">
        <v>39</v>
      </c>
      <c r="D815" s="1" t="s">
        <v>69</v>
      </c>
      <c r="E815" s="1" t="s">
        <v>60</v>
      </c>
      <c r="F815" s="1">
        <v>1</v>
      </c>
      <c r="G815" s="33" t="e">
        <f>VLOOKUP(E815,ACTIVIDADES!A816:D828,2)</f>
        <v>#N/A</v>
      </c>
    </row>
    <row r="816" spans="1:7" x14ac:dyDescent="0.3">
      <c r="A816" s="28">
        <v>46147</v>
      </c>
      <c r="B816" s="24">
        <v>35</v>
      </c>
      <c r="C816" t="s">
        <v>40</v>
      </c>
      <c r="D816" s="1" t="s">
        <v>72</v>
      </c>
      <c r="E816" s="1" t="s">
        <v>60</v>
      </c>
      <c r="F816" s="1">
        <v>1</v>
      </c>
      <c r="G816" s="33" t="e">
        <f>VLOOKUP(E816,ACTIVIDADES!A817:D829,2)</f>
        <v>#N/A</v>
      </c>
    </row>
    <row r="817" spans="1:7" x14ac:dyDescent="0.3">
      <c r="A817" s="28">
        <v>46147</v>
      </c>
      <c r="B817" s="24">
        <v>36</v>
      </c>
      <c r="C817" t="s">
        <v>41</v>
      </c>
      <c r="D817" s="1" t="s">
        <v>69</v>
      </c>
      <c r="E817" s="1" t="s">
        <v>60</v>
      </c>
      <c r="F817" s="1">
        <v>1</v>
      </c>
      <c r="G817" s="33" t="e">
        <f>VLOOKUP(E817,ACTIVIDADES!A818:D830,2)</f>
        <v>#N/A</v>
      </c>
    </row>
    <row r="818" spans="1:7" x14ac:dyDescent="0.3">
      <c r="A818" s="28">
        <v>46147</v>
      </c>
      <c r="B818" s="24">
        <v>37</v>
      </c>
      <c r="C818" t="s">
        <v>42</v>
      </c>
      <c r="D818" s="1" t="s">
        <v>69</v>
      </c>
      <c r="E818" s="1" t="s">
        <v>60</v>
      </c>
      <c r="F818" s="1">
        <v>1</v>
      </c>
      <c r="G818" s="33" t="e">
        <f>VLOOKUP(E818,ACTIVIDADES!A819:D831,2)</f>
        <v>#N/A</v>
      </c>
    </row>
    <row r="819" spans="1:7" x14ac:dyDescent="0.3">
      <c r="A819" s="28">
        <v>46147</v>
      </c>
      <c r="B819" s="24">
        <v>38</v>
      </c>
      <c r="C819" t="s">
        <v>43</v>
      </c>
      <c r="D819" s="1" t="s">
        <v>73</v>
      </c>
      <c r="E819" s="1"/>
      <c r="F819" s="1">
        <v>1</v>
      </c>
      <c r="G819" s="33" t="e">
        <f>VLOOKUP(E819,ACTIVIDADES!A820:D832,2)</f>
        <v>#N/A</v>
      </c>
    </row>
    <row r="820" spans="1:7" x14ac:dyDescent="0.3">
      <c r="A820" s="28">
        <v>46147</v>
      </c>
      <c r="B820" s="24">
        <v>39</v>
      </c>
      <c r="C820" t="s">
        <v>44</v>
      </c>
      <c r="D820" s="1" t="s">
        <v>69</v>
      </c>
      <c r="E820" s="1" t="s">
        <v>60</v>
      </c>
      <c r="F820" s="1">
        <v>1</v>
      </c>
      <c r="G820" s="33" t="e">
        <f>VLOOKUP(E820,ACTIVIDADES!A821:D833,2)</f>
        <v>#N/A</v>
      </c>
    </row>
    <row r="821" spans="1:7" x14ac:dyDescent="0.3">
      <c r="A821" s="28">
        <v>46148</v>
      </c>
      <c r="B821" s="24">
        <v>1</v>
      </c>
      <c r="C821" t="s">
        <v>6</v>
      </c>
      <c r="D821" s="1" t="s">
        <v>49</v>
      </c>
      <c r="E821" s="1" t="s">
        <v>49</v>
      </c>
      <c r="F821" s="1">
        <v>1</v>
      </c>
      <c r="G821" s="33" t="e">
        <f>VLOOKUP(E821,ACTIVIDADES!A822:D834,2)</f>
        <v>#N/A</v>
      </c>
    </row>
    <row r="822" spans="1:7" x14ac:dyDescent="0.3">
      <c r="A822" s="28">
        <v>46148</v>
      </c>
      <c r="B822" s="24">
        <v>2</v>
      </c>
      <c r="C822" t="s">
        <v>10</v>
      </c>
      <c r="D822" s="1" t="s">
        <v>49</v>
      </c>
      <c r="E822" s="1" t="s">
        <v>49</v>
      </c>
      <c r="F822" s="1">
        <v>1</v>
      </c>
      <c r="G822" s="33" t="e">
        <f>VLOOKUP(E822,ACTIVIDADES!A823:D835,2)</f>
        <v>#N/A</v>
      </c>
    </row>
    <row r="823" spans="1:7" x14ac:dyDescent="0.3">
      <c r="A823" s="28">
        <v>46148</v>
      </c>
      <c r="B823" s="24">
        <v>3</v>
      </c>
      <c r="C823" t="s">
        <v>22</v>
      </c>
      <c r="D823" s="1" t="s">
        <v>48</v>
      </c>
      <c r="E823" s="1" t="s">
        <v>48</v>
      </c>
      <c r="F823" s="1">
        <v>1</v>
      </c>
      <c r="G823" s="33" t="e">
        <f>VLOOKUP(E823,ACTIVIDADES!A824:D836,2)</f>
        <v>#N/A</v>
      </c>
    </row>
    <row r="824" spans="1:7" x14ac:dyDescent="0.3">
      <c r="A824" s="28">
        <v>46148</v>
      </c>
      <c r="B824" s="24">
        <v>4</v>
      </c>
      <c r="C824" t="s">
        <v>36</v>
      </c>
      <c r="D824" s="1" t="s">
        <v>51</v>
      </c>
      <c r="E824" s="1" t="s">
        <v>50</v>
      </c>
      <c r="F824" s="1">
        <v>1</v>
      </c>
      <c r="G824" s="33" t="e">
        <f>VLOOKUP(E824,ACTIVIDADES!A825:D837,2)</f>
        <v>#N/A</v>
      </c>
    </row>
    <row r="825" spans="1:7" x14ac:dyDescent="0.3">
      <c r="A825" s="28">
        <v>46148</v>
      </c>
      <c r="B825" s="24">
        <v>5</v>
      </c>
      <c r="C825" t="s">
        <v>38</v>
      </c>
      <c r="D825" s="1" t="s">
        <v>51</v>
      </c>
      <c r="E825" s="1" t="s">
        <v>50</v>
      </c>
      <c r="F825" s="1">
        <v>1</v>
      </c>
      <c r="G825" s="33" t="e">
        <f>VLOOKUP(E825,ACTIVIDADES!A826:D838,2)</f>
        <v>#N/A</v>
      </c>
    </row>
    <row r="826" spans="1:7" x14ac:dyDescent="0.3">
      <c r="A826" s="28">
        <v>46148</v>
      </c>
      <c r="B826" s="24">
        <v>6</v>
      </c>
      <c r="C826" t="s">
        <v>11</v>
      </c>
      <c r="D826" s="1" t="s">
        <v>63</v>
      </c>
      <c r="E826" s="31" t="s">
        <v>118</v>
      </c>
      <c r="F826" s="1">
        <v>5</v>
      </c>
      <c r="G826" s="33" t="e">
        <f>VLOOKUP(E826,ACTIVIDADES!A827:D839,2)</f>
        <v>#N/A</v>
      </c>
    </row>
    <row r="827" spans="1:7" x14ac:dyDescent="0.3">
      <c r="A827" s="28">
        <v>46148</v>
      </c>
      <c r="B827" s="24">
        <v>7</v>
      </c>
      <c r="C827" t="s">
        <v>12</v>
      </c>
      <c r="D827" s="1" t="s">
        <v>64</v>
      </c>
      <c r="E827" s="1" t="s">
        <v>50</v>
      </c>
      <c r="F827" s="1">
        <v>1</v>
      </c>
      <c r="G827" s="33" t="e">
        <f>VLOOKUP(E827,ACTIVIDADES!A828:D840,2)</f>
        <v>#N/A</v>
      </c>
    </row>
    <row r="828" spans="1:7" x14ac:dyDescent="0.3">
      <c r="A828" s="28">
        <v>46148</v>
      </c>
      <c r="B828" s="24">
        <v>8</v>
      </c>
      <c r="C828" t="s">
        <v>13</v>
      </c>
      <c r="D828" s="1" t="s">
        <v>72</v>
      </c>
      <c r="E828" s="1" t="s">
        <v>60</v>
      </c>
      <c r="F828" s="1">
        <v>1</v>
      </c>
      <c r="G828" s="33" t="e">
        <f>VLOOKUP(E828,ACTIVIDADES!A829:D841,2)</f>
        <v>#N/A</v>
      </c>
    </row>
    <row r="829" spans="1:7" x14ac:dyDescent="0.3">
      <c r="A829" s="28">
        <v>46148</v>
      </c>
      <c r="B829" s="24">
        <v>9</v>
      </c>
      <c r="C829" t="s">
        <v>14</v>
      </c>
      <c r="D829" s="1" t="s">
        <v>72</v>
      </c>
      <c r="E829" s="1" t="s">
        <v>60</v>
      </c>
      <c r="F829" s="1">
        <v>1</v>
      </c>
      <c r="G829" s="33" t="e">
        <f>VLOOKUP(E829,ACTIVIDADES!A830:D842,2)</f>
        <v>#N/A</v>
      </c>
    </row>
    <row r="830" spans="1:7" x14ac:dyDescent="0.3">
      <c r="A830" s="28">
        <v>46148</v>
      </c>
      <c r="B830" s="24">
        <v>10</v>
      </c>
      <c r="C830" t="s">
        <v>15</v>
      </c>
      <c r="D830" s="1" t="s">
        <v>74</v>
      </c>
      <c r="E830" s="1" t="s">
        <v>50</v>
      </c>
      <c r="F830" s="1">
        <v>1</v>
      </c>
      <c r="G830" s="33" t="e">
        <f>VLOOKUP(E830,ACTIVIDADES!A831:D843,2)</f>
        <v>#N/A</v>
      </c>
    </row>
    <row r="831" spans="1:7" x14ac:dyDescent="0.3">
      <c r="A831" s="28">
        <v>46148</v>
      </c>
      <c r="B831" s="24">
        <v>11</v>
      </c>
      <c r="C831" t="s">
        <v>16</v>
      </c>
      <c r="D831" s="1" t="s">
        <v>63</v>
      </c>
      <c r="E831" s="31" t="s">
        <v>118</v>
      </c>
      <c r="F831" s="1">
        <v>4</v>
      </c>
      <c r="G831" s="33" t="e">
        <f>VLOOKUP(E831,ACTIVIDADES!A832:D844,2)</f>
        <v>#N/A</v>
      </c>
    </row>
    <row r="832" spans="1:7" x14ac:dyDescent="0.3">
      <c r="A832" s="28">
        <v>46148</v>
      </c>
      <c r="B832" s="24">
        <v>12</v>
      </c>
      <c r="C832" t="s">
        <v>17</v>
      </c>
      <c r="D832" s="1" t="s">
        <v>72</v>
      </c>
      <c r="E832" s="1" t="s">
        <v>60</v>
      </c>
      <c r="F832" s="1">
        <v>1</v>
      </c>
      <c r="G832" s="33" t="e">
        <f>VLOOKUP(E832,ACTIVIDADES!A833:D845,2)</f>
        <v>#N/A</v>
      </c>
    </row>
    <row r="833" spans="1:7" x14ac:dyDescent="0.3">
      <c r="A833" s="28">
        <v>46148</v>
      </c>
      <c r="B833" s="24">
        <v>13</v>
      </c>
      <c r="C833" t="s">
        <v>18</v>
      </c>
      <c r="D833" s="1" t="s">
        <v>72</v>
      </c>
      <c r="E833" s="1" t="s">
        <v>60</v>
      </c>
      <c r="F833" s="1">
        <v>1</v>
      </c>
      <c r="G833" s="33" t="e">
        <f>VLOOKUP(E833,ACTIVIDADES!A834:D846,2)</f>
        <v>#N/A</v>
      </c>
    </row>
    <row r="834" spans="1:7" x14ac:dyDescent="0.3">
      <c r="A834" s="28">
        <v>46148</v>
      </c>
      <c r="B834" s="24">
        <v>14</v>
      </c>
      <c r="C834" t="s">
        <v>19</v>
      </c>
      <c r="D834" s="1" t="s">
        <v>63</v>
      </c>
      <c r="E834" s="31" t="s">
        <v>118</v>
      </c>
      <c r="F834" s="1">
        <v>4</v>
      </c>
      <c r="G834" s="33" t="e">
        <f>VLOOKUP(E834,ACTIVIDADES!A835:D847,2)</f>
        <v>#N/A</v>
      </c>
    </row>
    <row r="835" spans="1:7" x14ac:dyDescent="0.3">
      <c r="A835" s="28">
        <v>46148</v>
      </c>
      <c r="B835" s="24">
        <v>15</v>
      </c>
      <c r="C835" t="s">
        <v>20</v>
      </c>
      <c r="D835" s="1" t="s">
        <v>64</v>
      </c>
      <c r="E835" s="1" t="s">
        <v>50</v>
      </c>
      <c r="F835" s="1">
        <v>1</v>
      </c>
      <c r="G835" s="33" t="e">
        <f>VLOOKUP(E835,ACTIVIDADES!A836:D848,2)</f>
        <v>#N/A</v>
      </c>
    </row>
    <row r="836" spans="1:7" x14ac:dyDescent="0.3">
      <c r="A836" s="28">
        <v>46148</v>
      </c>
      <c r="B836" s="24">
        <v>16</v>
      </c>
      <c r="C836" t="s">
        <v>21</v>
      </c>
      <c r="D836" s="1" t="s">
        <v>72</v>
      </c>
      <c r="E836" s="1" t="s">
        <v>60</v>
      </c>
      <c r="F836" s="1">
        <v>1</v>
      </c>
      <c r="G836" s="33" t="e">
        <f>VLOOKUP(E836,ACTIVIDADES!A837:D849,2)</f>
        <v>#N/A</v>
      </c>
    </row>
    <row r="837" spans="1:7" x14ac:dyDescent="0.3">
      <c r="A837" s="28">
        <v>46148</v>
      </c>
      <c r="B837" s="24">
        <v>17</v>
      </c>
      <c r="C837" t="s">
        <v>8</v>
      </c>
      <c r="D837" s="1" t="s">
        <v>74</v>
      </c>
      <c r="E837" s="1" t="s">
        <v>50</v>
      </c>
      <c r="F837" s="1">
        <v>1</v>
      </c>
      <c r="G837" s="33" t="e">
        <f>VLOOKUP(E837,ACTIVIDADES!A838:D850,2)</f>
        <v>#N/A</v>
      </c>
    </row>
    <row r="838" spans="1:7" x14ac:dyDescent="0.3">
      <c r="A838" s="28">
        <v>46148</v>
      </c>
      <c r="B838" s="24">
        <v>18</v>
      </c>
      <c r="C838" t="s">
        <v>23</v>
      </c>
      <c r="D838" s="1" t="s">
        <v>72</v>
      </c>
      <c r="E838" s="1" t="s">
        <v>60</v>
      </c>
      <c r="F838" s="1">
        <v>1</v>
      </c>
      <c r="G838" s="33" t="e">
        <f>VLOOKUP(E838,ACTIVIDADES!A839:D851,2)</f>
        <v>#N/A</v>
      </c>
    </row>
    <row r="839" spans="1:7" x14ac:dyDescent="0.3">
      <c r="A839" s="28">
        <v>46148</v>
      </c>
      <c r="B839" s="24">
        <v>19</v>
      </c>
      <c r="C839" t="s">
        <v>24</v>
      </c>
      <c r="D839" s="1" t="s">
        <v>64</v>
      </c>
      <c r="E839" s="1" t="s">
        <v>50</v>
      </c>
      <c r="F839" s="1">
        <v>1</v>
      </c>
      <c r="G839" s="33" t="e">
        <f>VLOOKUP(E839,ACTIVIDADES!A840:D852,2)</f>
        <v>#N/A</v>
      </c>
    </row>
    <row r="840" spans="1:7" x14ac:dyDescent="0.3">
      <c r="A840" s="28">
        <v>46148</v>
      </c>
      <c r="B840" s="24">
        <v>20</v>
      </c>
      <c r="C840" t="s">
        <v>25</v>
      </c>
      <c r="D840" s="1" t="s">
        <v>72</v>
      </c>
      <c r="E840" s="1" t="s">
        <v>60</v>
      </c>
      <c r="F840" s="1">
        <v>1</v>
      </c>
      <c r="G840" s="33" t="e">
        <f>VLOOKUP(E840,ACTIVIDADES!A841:D853,2)</f>
        <v>#N/A</v>
      </c>
    </row>
    <row r="841" spans="1:7" x14ac:dyDescent="0.3">
      <c r="A841" s="28">
        <v>46148</v>
      </c>
      <c r="B841" s="24">
        <v>21</v>
      </c>
      <c r="C841" t="s">
        <v>26</v>
      </c>
      <c r="D841" s="1" t="s">
        <v>63</v>
      </c>
      <c r="E841" s="31" t="s">
        <v>118</v>
      </c>
      <c r="F841" s="1">
        <v>4</v>
      </c>
      <c r="G841" s="33" t="e">
        <f>VLOOKUP(E841,ACTIVIDADES!A842:D854,2)</f>
        <v>#N/A</v>
      </c>
    </row>
    <row r="842" spans="1:7" x14ac:dyDescent="0.3">
      <c r="A842" s="28">
        <v>46148</v>
      </c>
      <c r="B842" s="24">
        <v>22</v>
      </c>
      <c r="C842" t="s">
        <v>27</v>
      </c>
      <c r="D842" s="1" t="s">
        <v>72</v>
      </c>
      <c r="E842" s="1" t="s">
        <v>60</v>
      </c>
      <c r="F842" s="1">
        <v>1</v>
      </c>
      <c r="G842" s="33" t="e">
        <f>VLOOKUP(E842,ACTIVIDADES!A843:D855,2)</f>
        <v>#N/A</v>
      </c>
    </row>
    <row r="843" spans="1:7" x14ac:dyDescent="0.3">
      <c r="A843" s="28">
        <v>46148</v>
      </c>
      <c r="B843" s="24">
        <v>23</v>
      </c>
      <c r="C843" t="s">
        <v>28</v>
      </c>
      <c r="D843" s="1" t="s">
        <v>63</v>
      </c>
      <c r="E843" s="31" t="s">
        <v>118</v>
      </c>
      <c r="F843" s="1">
        <v>4</v>
      </c>
      <c r="G843" s="33" t="e">
        <f>VLOOKUP(E843,ACTIVIDADES!A844:D856,2)</f>
        <v>#N/A</v>
      </c>
    </row>
    <row r="844" spans="1:7" x14ac:dyDescent="0.3">
      <c r="A844" s="28">
        <v>46148</v>
      </c>
      <c r="B844" s="24">
        <v>24</v>
      </c>
      <c r="C844" t="s">
        <v>29</v>
      </c>
      <c r="D844" s="1" t="s">
        <v>64</v>
      </c>
      <c r="E844" s="1" t="s">
        <v>50</v>
      </c>
      <c r="F844" s="1">
        <v>1</v>
      </c>
      <c r="G844" s="33" t="e">
        <f>VLOOKUP(E844,ACTIVIDADES!A845:D857,2)</f>
        <v>#N/A</v>
      </c>
    </row>
    <row r="845" spans="1:7" x14ac:dyDescent="0.3">
      <c r="A845" s="28">
        <v>46148</v>
      </c>
      <c r="B845" s="24">
        <v>25</v>
      </c>
      <c r="C845" t="s">
        <v>30</v>
      </c>
      <c r="D845" s="1" t="s">
        <v>73</v>
      </c>
      <c r="E845" s="1"/>
      <c r="F845" s="1">
        <v>1</v>
      </c>
      <c r="G845" s="33" t="e">
        <f>VLOOKUP(E845,ACTIVIDADES!A846:D858,2)</f>
        <v>#N/A</v>
      </c>
    </row>
    <row r="846" spans="1:7" x14ac:dyDescent="0.3">
      <c r="A846" s="28">
        <v>46148</v>
      </c>
      <c r="B846" s="24">
        <v>26</v>
      </c>
      <c r="C846" t="s">
        <v>31</v>
      </c>
      <c r="D846" s="1" t="s">
        <v>72</v>
      </c>
      <c r="E846" s="1" t="s">
        <v>60</v>
      </c>
      <c r="F846" s="1">
        <v>1</v>
      </c>
      <c r="G846" s="33" t="e">
        <f>VLOOKUP(E846,ACTIVIDADES!A847:D859,2)</f>
        <v>#N/A</v>
      </c>
    </row>
    <row r="847" spans="1:7" x14ac:dyDescent="0.3">
      <c r="A847" s="28">
        <v>46148</v>
      </c>
      <c r="B847" s="24">
        <v>27</v>
      </c>
      <c r="C847" t="s">
        <v>32</v>
      </c>
      <c r="D847" s="1" t="s">
        <v>64</v>
      </c>
      <c r="E847" s="1" t="s">
        <v>50</v>
      </c>
      <c r="F847" s="1">
        <v>1</v>
      </c>
      <c r="G847" s="33" t="e">
        <f>VLOOKUP(E847,ACTIVIDADES!A848:D860,2)</f>
        <v>#N/A</v>
      </c>
    </row>
    <row r="848" spans="1:7" x14ac:dyDescent="0.3">
      <c r="A848" s="28">
        <v>46148</v>
      </c>
      <c r="B848" s="24">
        <v>28</v>
      </c>
      <c r="C848" t="s">
        <v>33</v>
      </c>
      <c r="D848" s="1" t="s">
        <v>72</v>
      </c>
      <c r="E848" s="1" t="s">
        <v>60</v>
      </c>
      <c r="F848" s="1">
        <v>1</v>
      </c>
      <c r="G848" s="33" t="e">
        <f>VLOOKUP(E848,ACTIVIDADES!A849:D861,2)</f>
        <v>#N/A</v>
      </c>
    </row>
    <row r="849" spans="1:7" x14ac:dyDescent="0.3">
      <c r="A849" s="28">
        <v>46148</v>
      </c>
      <c r="B849" s="24">
        <v>29</v>
      </c>
      <c r="C849" t="s">
        <v>34</v>
      </c>
      <c r="D849" s="1" t="s">
        <v>63</v>
      </c>
      <c r="E849" s="31" t="s">
        <v>118</v>
      </c>
      <c r="F849" s="1">
        <v>4</v>
      </c>
      <c r="G849" s="33" t="e">
        <f>VLOOKUP(E849,ACTIVIDADES!A850:D862,2)</f>
        <v>#N/A</v>
      </c>
    </row>
    <row r="850" spans="1:7" x14ac:dyDescent="0.3">
      <c r="A850" s="28">
        <v>46148</v>
      </c>
      <c r="B850" s="24">
        <v>30</v>
      </c>
      <c r="C850" t="s">
        <v>35</v>
      </c>
      <c r="D850" s="1" t="s">
        <v>72</v>
      </c>
      <c r="E850" s="1" t="s">
        <v>60</v>
      </c>
      <c r="F850" s="1">
        <v>1</v>
      </c>
      <c r="G850" s="33" t="e">
        <f>VLOOKUP(E850,ACTIVIDADES!A851:D863,2)</f>
        <v>#N/A</v>
      </c>
    </row>
    <row r="851" spans="1:7" x14ac:dyDescent="0.3">
      <c r="A851" s="28">
        <v>46148</v>
      </c>
      <c r="B851" s="24">
        <v>31</v>
      </c>
      <c r="C851" t="s">
        <v>9</v>
      </c>
      <c r="D851" s="1" t="s">
        <v>63</v>
      </c>
      <c r="E851" s="31" t="s">
        <v>118</v>
      </c>
      <c r="F851" s="1">
        <v>4</v>
      </c>
      <c r="G851" s="33" t="e">
        <f>VLOOKUP(E851,ACTIVIDADES!A852:D864,2)</f>
        <v>#N/A</v>
      </c>
    </row>
    <row r="852" spans="1:7" x14ac:dyDescent="0.3">
      <c r="A852" s="28">
        <v>46148</v>
      </c>
      <c r="B852" s="24">
        <v>32</v>
      </c>
      <c r="C852" t="s">
        <v>37</v>
      </c>
      <c r="D852" s="1" t="s">
        <v>64</v>
      </c>
      <c r="E852" s="1" t="s">
        <v>50</v>
      </c>
      <c r="F852" s="1">
        <v>1</v>
      </c>
      <c r="G852" s="33" t="e">
        <f>VLOOKUP(E852,ACTIVIDADES!A853:D865,2)</f>
        <v>#N/A</v>
      </c>
    </row>
    <row r="853" spans="1:7" x14ac:dyDescent="0.3">
      <c r="A853" s="28">
        <v>46148</v>
      </c>
      <c r="B853" s="24">
        <v>33</v>
      </c>
      <c r="C853" t="s">
        <v>7</v>
      </c>
      <c r="D853" s="1" t="s">
        <v>63</v>
      </c>
      <c r="E853" s="31" t="s">
        <v>118</v>
      </c>
      <c r="F853" s="1">
        <v>4</v>
      </c>
      <c r="G853" s="33" t="e">
        <f>VLOOKUP(E853,ACTIVIDADES!A854:D866,2)</f>
        <v>#N/A</v>
      </c>
    </row>
    <row r="854" spans="1:7" x14ac:dyDescent="0.3">
      <c r="A854" s="28">
        <v>46148</v>
      </c>
      <c r="B854" s="24">
        <v>34</v>
      </c>
      <c r="C854" t="s">
        <v>39</v>
      </c>
      <c r="D854" s="1" t="s">
        <v>63</v>
      </c>
      <c r="E854" s="31" t="s">
        <v>118</v>
      </c>
      <c r="F854" s="1">
        <v>4</v>
      </c>
      <c r="G854" s="33" t="e">
        <f>VLOOKUP(E854,ACTIVIDADES!A855:D867,2)</f>
        <v>#N/A</v>
      </c>
    </row>
    <row r="855" spans="1:7" x14ac:dyDescent="0.3">
      <c r="A855" s="28">
        <v>46148</v>
      </c>
      <c r="B855" s="24">
        <v>35</v>
      </c>
      <c r="C855" t="s">
        <v>40</v>
      </c>
      <c r="D855" s="1" t="s">
        <v>72</v>
      </c>
      <c r="E855" s="1" t="s">
        <v>60</v>
      </c>
      <c r="F855" s="1">
        <v>1</v>
      </c>
      <c r="G855" s="33" t="e">
        <f>VLOOKUP(E855,ACTIVIDADES!A856:D868,2)</f>
        <v>#N/A</v>
      </c>
    </row>
    <row r="856" spans="1:7" x14ac:dyDescent="0.3">
      <c r="A856" s="28">
        <v>46148</v>
      </c>
      <c r="B856" s="24">
        <v>36</v>
      </c>
      <c r="C856" t="s">
        <v>41</v>
      </c>
      <c r="D856" s="1" t="s">
        <v>64</v>
      </c>
      <c r="E856" s="1" t="s">
        <v>50</v>
      </c>
      <c r="F856" s="1">
        <v>1</v>
      </c>
      <c r="G856" s="33" t="e">
        <f>VLOOKUP(E856,ACTIVIDADES!A857:D869,2)</f>
        <v>#N/A</v>
      </c>
    </row>
    <row r="857" spans="1:7" x14ac:dyDescent="0.3">
      <c r="A857" s="28">
        <v>46148</v>
      </c>
      <c r="B857" s="24">
        <v>37</v>
      </c>
      <c r="C857" t="s">
        <v>42</v>
      </c>
      <c r="D857" s="1" t="s">
        <v>72</v>
      </c>
      <c r="E857" s="1" t="s">
        <v>60</v>
      </c>
      <c r="F857" s="1">
        <v>1</v>
      </c>
      <c r="G857" s="33" t="e">
        <f>VLOOKUP(E857,ACTIVIDADES!A858:D870,2)</f>
        <v>#N/A</v>
      </c>
    </row>
    <row r="858" spans="1:7" x14ac:dyDescent="0.3">
      <c r="A858" s="28">
        <v>46148</v>
      </c>
      <c r="B858" s="24">
        <v>38</v>
      </c>
      <c r="C858" t="s">
        <v>43</v>
      </c>
      <c r="D858" s="1" t="s">
        <v>73</v>
      </c>
      <c r="E858" s="1"/>
      <c r="F858" s="1"/>
      <c r="G858" s="33" t="e">
        <f>VLOOKUP(E858,ACTIVIDADES!A859:D871,2)</f>
        <v>#N/A</v>
      </c>
    </row>
    <row r="859" spans="1:7" x14ac:dyDescent="0.3">
      <c r="A859" s="28">
        <v>46148</v>
      </c>
      <c r="B859" s="24">
        <v>39</v>
      </c>
      <c r="C859" t="s">
        <v>44</v>
      </c>
      <c r="D859" s="1" t="s">
        <v>72</v>
      </c>
      <c r="E859" s="1" t="s">
        <v>60</v>
      </c>
      <c r="F859" s="1">
        <v>1</v>
      </c>
      <c r="G859" s="33" t="e">
        <f>VLOOKUP(E859,ACTIVIDADES!A860:D872,2)</f>
        <v>#N/A</v>
      </c>
    </row>
    <row r="860" spans="1:7" x14ac:dyDescent="0.3">
      <c r="A860" s="28">
        <v>46149</v>
      </c>
      <c r="B860" s="24">
        <v>1</v>
      </c>
      <c r="C860" t="s">
        <v>6</v>
      </c>
      <c r="D860" s="1" t="s">
        <v>49</v>
      </c>
      <c r="E860" s="1" t="s">
        <v>49</v>
      </c>
      <c r="F860" s="1">
        <v>1</v>
      </c>
      <c r="G860" s="33" t="e">
        <f>VLOOKUP(E860,ACTIVIDADES!A861:D873,2)</f>
        <v>#N/A</v>
      </c>
    </row>
    <row r="861" spans="1:7" x14ac:dyDescent="0.3">
      <c r="A861" s="28">
        <v>46149</v>
      </c>
      <c r="B861" s="24">
        <v>2</v>
      </c>
      <c r="C861" t="s">
        <v>10</v>
      </c>
      <c r="D861" s="1" t="s">
        <v>49</v>
      </c>
      <c r="E861" s="1" t="s">
        <v>49</v>
      </c>
      <c r="F861" s="1">
        <v>1</v>
      </c>
      <c r="G861" s="33" t="e">
        <f>VLOOKUP(E861,ACTIVIDADES!A862:D874,2)</f>
        <v>#N/A</v>
      </c>
    </row>
    <row r="862" spans="1:7" x14ac:dyDescent="0.3">
      <c r="A862" s="28">
        <v>46149</v>
      </c>
      <c r="B862" s="24">
        <v>3</v>
      </c>
      <c r="C862" t="s">
        <v>22</v>
      </c>
      <c r="D862" s="1" t="s">
        <v>48</v>
      </c>
      <c r="E862" s="1" t="s">
        <v>48</v>
      </c>
      <c r="F862" s="1">
        <v>1</v>
      </c>
      <c r="G862" s="33" t="e">
        <f>VLOOKUP(E862,ACTIVIDADES!A863:D875,2)</f>
        <v>#N/A</v>
      </c>
    </row>
    <row r="863" spans="1:7" x14ac:dyDescent="0.3">
      <c r="A863" s="28">
        <v>46149</v>
      </c>
      <c r="B863" s="24">
        <v>4</v>
      </c>
      <c r="C863" t="s">
        <v>36</v>
      </c>
      <c r="D863" s="1" t="s">
        <v>51</v>
      </c>
      <c r="E863" s="1" t="s">
        <v>50</v>
      </c>
      <c r="F863" s="1">
        <v>1</v>
      </c>
      <c r="G863" s="33" t="e">
        <f>VLOOKUP(E863,ACTIVIDADES!A864:D876,2)</f>
        <v>#N/A</v>
      </c>
    </row>
    <row r="864" spans="1:7" x14ac:dyDescent="0.3">
      <c r="A864" s="28">
        <v>46149</v>
      </c>
      <c r="B864" s="24">
        <v>5</v>
      </c>
      <c r="C864" t="s">
        <v>38</v>
      </c>
      <c r="D864" s="1" t="s">
        <v>51</v>
      </c>
      <c r="E864" s="1" t="s">
        <v>50</v>
      </c>
      <c r="F864" s="1">
        <v>1</v>
      </c>
      <c r="G864" s="33" t="e">
        <f>VLOOKUP(E864,ACTIVIDADES!A865:D877,2)</f>
        <v>#N/A</v>
      </c>
    </row>
    <row r="865" spans="1:7" x14ac:dyDescent="0.3">
      <c r="A865" s="28">
        <v>46149</v>
      </c>
      <c r="B865" s="24">
        <v>6</v>
      </c>
      <c r="C865" t="s">
        <v>11</v>
      </c>
      <c r="D865" s="1" t="s">
        <v>72</v>
      </c>
      <c r="E865" s="31" t="s">
        <v>117</v>
      </c>
      <c r="F865" s="1">
        <v>5</v>
      </c>
      <c r="G865" s="33" t="e">
        <f>VLOOKUP(E865,ACTIVIDADES!A866:D878,2)</f>
        <v>#N/A</v>
      </c>
    </row>
    <row r="866" spans="1:7" x14ac:dyDescent="0.3">
      <c r="A866" s="28">
        <v>46149</v>
      </c>
      <c r="B866" s="24">
        <v>7</v>
      </c>
      <c r="C866" t="s">
        <v>12</v>
      </c>
      <c r="D866" s="1" t="s">
        <v>64</v>
      </c>
      <c r="E866" s="1" t="s">
        <v>50</v>
      </c>
      <c r="F866" s="1">
        <v>1</v>
      </c>
      <c r="G866" s="33" t="e">
        <f>VLOOKUP(E866,ACTIVIDADES!A867:D879,2)</f>
        <v>#N/A</v>
      </c>
    </row>
    <row r="867" spans="1:7" x14ac:dyDescent="0.3">
      <c r="A867" s="28">
        <v>46149</v>
      </c>
      <c r="B867" s="24">
        <v>8</v>
      </c>
      <c r="C867" t="s">
        <v>13</v>
      </c>
      <c r="D867" s="1" t="s">
        <v>72</v>
      </c>
      <c r="E867" s="1" t="s">
        <v>60</v>
      </c>
      <c r="F867" s="1">
        <v>1</v>
      </c>
      <c r="G867" s="33" t="e">
        <f>VLOOKUP(E867,ACTIVIDADES!A868:D880,2)</f>
        <v>#N/A</v>
      </c>
    </row>
    <row r="868" spans="1:7" x14ac:dyDescent="0.3">
      <c r="A868" s="28">
        <v>46149</v>
      </c>
      <c r="B868" s="24">
        <v>9</v>
      </c>
      <c r="C868" t="s">
        <v>14</v>
      </c>
      <c r="D868" s="1" t="s">
        <v>72</v>
      </c>
      <c r="E868" s="1" t="s">
        <v>60</v>
      </c>
      <c r="F868" s="1">
        <v>1</v>
      </c>
      <c r="G868" s="33" t="e">
        <f>VLOOKUP(E868,ACTIVIDADES!A869:D881,2)</f>
        <v>#N/A</v>
      </c>
    </row>
    <row r="869" spans="1:7" x14ac:dyDescent="0.3">
      <c r="A869" s="28">
        <v>46149</v>
      </c>
      <c r="B869" s="24">
        <v>10</v>
      </c>
      <c r="C869" t="s">
        <v>15</v>
      </c>
      <c r="D869" s="1" t="s">
        <v>46</v>
      </c>
      <c r="E869" s="1" t="s">
        <v>75</v>
      </c>
      <c r="F869" s="1">
        <v>1</v>
      </c>
      <c r="G869" s="33" t="e">
        <f>VLOOKUP(E869,ACTIVIDADES!A870:D882,2)</f>
        <v>#N/A</v>
      </c>
    </row>
    <row r="870" spans="1:7" x14ac:dyDescent="0.3">
      <c r="A870" s="28">
        <v>46149</v>
      </c>
      <c r="B870" s="24">
        <v>11</v>
      </c>
      <c r="C870" t="s">
        <v>16</v>
      </c>
      <c r="D870" s="1" t="s">
        <v>72</v>
      </c>
      <c r="E870" s="31" t="s">
        <v>117</v>
      </c>
      <c r="F870" s="1">
        <v>5</v>
      </c>
      <c r="G870" s="33" t="e">
        <f>VLOOKUP(E870,ACTIVIDADES!A871:D883,2)</f>
        <v>#N/A</v>
      </c>
    </row>
    <row r="871" spans="1:7" x14ac:dyDescent="0.3">
      <c r="A871" s="28">
        <v>46149</v>
      </c>
      <c r="B871" s="24">
        <v>12</v>
      </c>
      <c r="C871" t="s">
        <v>17</v>
      </c>
      <c r="D871" s="1" t="s">
        <v>72</v>
      </c>
      <c r="E871" s="1" t="s">
        <v>60</v>
      </c>
      <c r="F871" s="1">
        <v>1</v>
      </c>
      <c r="G871" s="33" t="e">
        <f>VLOOKUP(E871,ACTIVIDADES!A872:D884,2)</f>
        <v>#N/A</v>
      </c>
    </row>
    <row r="872" spans="1:7" x14ac:dyDescent="0.3">
      <c r="A872" s="28">
        <v>46149</v>
      </c>
      <c r="B872" s="24">
        <v>13</v>
      </c>
      <c r="C872" t="s">
        <v>18</v>
      </c>
      <c r="D872" s="1" t="s">
        <v>46</v>
      </c>
      <c r="E872" s="1" t="s">
        <v>75</v>
      </c>
      <c r="F872" s="1">
        <v>1</v>
      </c>
      <c r="G872" s="33" t="e">
        <f>VLOOKUP(E872,ACTIVIDADES!A873:D885,2)</f>
        <v>#N/A</v>
      </c>
    </row>
    <row r="873" spans="1:7" x14ac:dyDescent="0.3">
      <c r="A873" s="28">
        <v>46149</v>
      </c>
      <c r="B873" s="24">
        <v>14</v>
      </c>
      <c r="C873" t="s">
        <v>19</v>
      </c>
      <c r="D873" s="1" t="s">
        <v>72</v>
      </c>
      <c r="E873" s="31" t="s">
        <v>117</v>
      </c>
      <c r="F873" s="1">
        <v>5</v>
      </c>
      <c r="G873" s="33" t="e">
        <f>VLOOKUP(E873,ACTIVIDADES!A874:D886,2)</f>
        <v>#N/A</v>
      </c>
    </row>
    <row r="874" spans="1:7" x14ac:dyDescent="0.3">
      <c r="A874" s="28">
        <v>46149</v>
      </c>
      <c r="B874" s="24">
        <v>15</v>
      </c>
      <c r="C874" t="s">
        <v>20</v>
      </c>
      <c r="D874" s="1" t="s">
        <v>64</v>
      </c>
      <c r="E874" s="1" t="s">
        <v>50</v>
      </c>
      <c r="F874" s="1">
        <v>1</v>
      </c>
      <c r="G874" s="33" t="e">
        <f>VLOOKUP(E874,ACTIVIDADES!A875:D887,2)</f>
        <v>#N/A</v>
      </c>
    </row>
    <row r="875" spans="1:7" x14ac:dyDescent="0.3">
      <c r="A875" s="28">
        <v>46149</v>
      </c>
      <c r="B875" s="24">
        <v>16</v>
      </c>
      <c r="C875" t="s">
        <v>21</v>
      </c>
      <c r="D875" s="1" t="s">
        <v>56</v>
      </c>
      <c r="E875" s="1" t="s">
        <v>50</v>
      </c>
      <c r="F875" s="1">
        <v>1</v>
      </c>
      <c r="G875" s="33" t="e">
        <f>VLOOKUP(E875,ACTIVIDADES!A876:D888,2)</f>
        <v>#N/A</v>
      </c>
    </row>
    <row r="876" spans="1:7" x14ac:dyDescent="0.3">
      <c r="A876" s="28">
        <v>46149</v>
      </c>
      <c r="B876" s="24">
        <v>17</v>
      </c>
      <c r="C876" t="s">
        <v>8</v>
      </c>
      <c r="D876" s="1" t="s">
        <v>72</v>
      </c>
      <c r="E876" s="1" t="s">
        <v>60</v>
      </c>
      <c r="F876" s="1">
        <v>1</v>
      </c>
      <c r="G876" s="33" t="e">
        <f>VLOOKUP(E876,ACTIVIDADES!A877:D889,2)</f>
        <v>#N/A</v>
      </c>
    </row>
    <row r="877" spans="1:7" x14ac:dyDescent="0.3">
      <c r="A877" s="28">
        <v>46149</v>
      </c>
      <c r="B877" s="24">
        <v>18</v>
      </c>
      <c r="C877" t="s">
        <v>23</v>
      </c>
      <c r="D877" s="1" t="s">
        <v>56</v>
      </c>
      <c r="E877" s="1" t="s">
        <v>50</v>
      </c>
      <c r="F877" s="1">
        <v>1</v>
      </c>
      <c r="G877" s="33" t="e">
        <f>VLOOKUP(E877,ACTIVIDADES!A878:D890,2)</f>
        <v>#N/A</v>
      </c>
    </row>
    <row r="878" spans="1:7" x14ac:dyDescent="0.3">
      <c r="A878" s="28">
        <v>46149</v>
      </c>
      <c r="B878" s="24">
        <v>19</v>
      </c>
      <c r="C878" t="s">
        <v>24</v>
      </c>
      <c r="D878" s="1" t="s">
        <v>56</v>
      </c>
      <c r="E878" s="1" t="s">
        <v>50</v>
      </c>
      <c r="F878" s="1">
        <v>1</v>
      </c>
      <c r="G878" s="33" t="e">
        <f>VLOOKUP(E878,ACTIVIDADES!A879:D891,2)</f>
        <v>#N/A</v>
      </c>
    </row>
    <row r="879" spans="1:7" x14ac:dyDescent="0.3">
      <c r="A879" s="28">
        <v>46149</v>
      </c>
      <c r="B879" s="24">
        <v>20</v>
      </c>
      <c r="C879" t="s">
        <v>25</v>
      </c>
      <c r="D879" s="1" t="s">
        <v>72</v>
      </c>
      <c r="E879" s="1" t="s">
        <v>60</v>
      </c>
      <c r="F879" s="1">
        <v>1</v>
      </c>
      <c r="G879" s="33" t="e">
        <f>VLOOKUP(E879,ACTIVIDADES!A880:D892,2)</f>
        <v>#N/A</v>
      </c>
    </row>
    <row r="880" spans="1:7" x14ac:dyDescent="0.3">
      <c r="A880" s="28">
        <v>46149</v>
      </c>
      <c r="B880" s="24">
        <v>21</v>
      </c>
      <c r="C880" t="s">
        <v>26</v>
      </c>
      <c r="D880" s="1" t="s">
        <v>72</v>
      </c>
      <c r="E880" s="31" t="s">
        <v>117</v>
      </c>
      <c r="F880" s="1">
        <v>5</v>
      </c>
      <c r="G880" s="33" t="e">
        <f>VLOOKUP(E880,ACTIVIDADES!A881:D893,2)</f>
        <v>#N/A</v>
      </c>
    </row>
    <row r="881" spans="1:7" x14ac:dyDescent="0.3">
      <c r="A881" s="28">
        <v>46149</v>
      </c>
      <c r="B881" s="24">
        <v>22</v>
      </c>
      <c r="C881" t="s">
        <v>27</v>
      </c>
      <c r="D881" s="1" t="s">
        <v>72</v>
      </c>
      <c r="E881" s="1" t="s">
        <v>60</v>
      </c>
      <c r="F881" s="1">
        <v>1</v>
      </c>
      <c r="G881" s="33" t="e">
        <f>VLOOKUP(E881,ACTIVIDADES!A882:D894,2)</f>
        <v>#N/A</v>
      </c>
    </row>
    <row r="882" spans="1:7" x14ac:dyDescent="0.3">
      <c r="A882" s="28">
        <v>46149</v>
      </c>
      <c r="B882" s="24">
        <v>23</v>
      </c>
      <c r="C882" t="s">
        <v>28</v>
      </c>
      <c r="D882" s="1" t="s">
        <v>72</v>
      </c>
      <c r="E882" s="31" t="s">
        <v>117</v>
      </c>
      <c r="F882" s="1">
        <v>5</v>
      </c>
      <c r="G882" s="33" t="e">
        <f>VLOOKUP(E882,ACTIVIDADES!A883:D895,2)</f>
        <v>#N/A</v>
      </c>
    </row>
    <row r="883" spans="1:7" x14ac:dyDescent="0.3">
      <c r="A883" s="28">
        <v>46149</v>
      </c>
      <c r="B883" s="24">
        <v>24</v>
      </c>
      <c r="C883" t="s">
        <v>29</v>
      </c>
      <c r="D883" s="1" t="s">
        <v>72</v>
      </c>
      <c r="E883" s="1" t="s">
        <v>60</v>
      </c>
      <c r="F883" s="1">
        <v>1</v>
      </c>
      <c r="G883" s="33" t="e">
        <f>VLOOKUP(E883,ACTIVIDADES!A884:D896,2)</f>
        <v>#N/A</v>
      </c>
    </row>
    <row r="884" spans="1:7" x14ac:dyDescent="0.3">
      <c r="A884" s="28">
        <v>46149</v>
      </c>
      <c r="B884" s="24">
        <v>25</v>
      </c>
      <c r="C884" t="s">
        <v>30</v>
      </c>
      <c r="D884" s="1" t="s">
        <v>64</v>
      </c>
      <c r="E884" s="1" t="s">
        <v>50</v>
      </c>
      <c r="F884" s="1">
        <v>1</v>
      </c>
      <c r="G884" s="33" t="e">
        <f>VLOOKUP(E884,ACTIVIDADES!A885:D897,2)</f>
        <v>#N/A</v>
      </c>
    </row>
    <row r="885" spans="1:7" x14ac:dyDescent="0.3">
      <c r="A885" s="28">
        <v>46149</v>
      </c>
      <c r="B885" s="24">
        <v>26</v>
      </c>
      <c r="C885" t="s">
        <v>31</v>
      </c>
      <c r="D885" s="1" t="s">
        <v>46</v>
      </c>
      <c r="E885" s="1" t="s">
        <v>75</v>
      </c>
      <c r="F885" s="1">
        <v>1</v>
      </c>
      <c r="G885" s="33" t="e">
        <f>VLOOKUP(E885,ACTIVIDADES!A886:D898,2)</f>
        <v>#N/A</v>
      </c>
    </row>
    <row r="886" spans="1:7" x14ac:dyDescent="0.3">
      <c r="A886" s="28">
        <v>46149</v>
      </c>
      <c r="B886" s="24">
        <v>27</v>
      </c>
      <c r="C886" t="s">
        <v>32</v>
      </c>
      <c r="D886" s="1" t="s">
        <v>72</v>
      </c>
      <c r="E886" s="1" t="s">
        <v>60</v>
      </c>
      <c r="F886" s="1">
        <v>1</v>
      </c>
      <c r="G886" s="33" t="e">
        <f>VLOOKUP(E886,ACTIVIDADES!A887:D899,2)</f>
        <v>#N/A</v>
      </c>
    </row>
    <row r="887" spans="1:7" x14ac:dyDescent="0.3">
      <c r="A887" s="28">
        <v>46149</v>
      </c>
      <c r="B887" s="24">
        <v>28</v>
      </c>
      <c r="C887" t="s">
        <v>33</v>
      </c>
      <c r="D887" s="1" t="s">
        <v>46</v>
      </c>
      <c r="E887" s="1" t="s">
        <v>75</v>
      </c>
      <c r="F887" s="1">
        <v>1</v>
      </c>
      <c r="G887" s="33" t="e">
        <f>VLOOKUP(E887,ACTIVIDADES!A888:D900,2)</f>
        <v>#N/A</v>
      </c>
    </row>
    <row r="888" spans="1:7" x14ac:dyDescent="0.3">
      <c r="A888" s="28">
        <v>46149</v>
      </c>
      <c r="B888" s="24">
        <v>29</v>
      </c>
      <c r="C888" t="s">
        <v>34</v>
      </c>
      <c r="D888" s="1" t="s">
        <v>72</v>
      </c>
      <c r="E888" s="31" t="s">
        <v>117</v>
      </c>
      <c r="F888" s="1">
        <v>5</v>
      </c>
      <c r="G888" s="33" t="e">
        <f>VLOOKUP(E888,ACTIVIDADES!A889:D901,2)</f>
        <v>#N/A</v>
      </c>
    </row>
    <row r="889" spans="1:7" x14ac:dyDescent="0.3">
      <c r="A889" s="28">
        <v>46149</v>
      </c>
      <c r="B889" s="24">
        <v>30</v>
      </c>
      <c r="C889" t="s">
        <v>35</v>
      </c>
      <c r="D889" s="1" t="s">
        <v>46</v>
      </c>
      <c r="E889" s="1" t="s">
        <v>75</v>
      </c>
      <c r="F889" s="1">
        <v>1</v>
      </c>
      <c r="G889" s="33" t="e">
        <f>VLOOKUP(E889,ACTIVIDADES!A890:D902,2)</f>
        <v>#N/A</v>
      </c>
    </row>
    <row r="890" spans="1:7" x14ac:dyDescent="0.3">
      <c r="A890" s="28">
        <v>46149</v>
      </c>
      <c r="B890" s="24">
        <v>31</v>
      </c>
      <c r="C890" t="s">
        <v>9</v>
      </c>
      <c r="D890" s="1" t="s">
        <v>72</v>
      </c>
      <c r="E890" s="1" t="s">
        <v>60</v>
      </c>
      <c r="F890" s="1">
        <v>1</v>
      </c>
      <c r="G890" s="33" t="e">
        <f>VLOOKUP(E890,ACTIVIDADES!A891:D903,2)</f>
        <v>#N/A</v>
      </c>
    </row>
    <row r="891" spans="1:7" x14ac:dyDescent="0.3">
      <c r="A891" s="28">
        <v>46149</v>
      </c>
      <c r="B891" s="24">
        <v>32</v>
      </c>
      <c r="C891" t="s">
        <v>37</v>
      </c>
      <c r="D891" s="1" t="s">
        <v>72</v>
      </c>
      <c r="E891" s="1" t="s">
        <v>60</v>
      </c>
      <c r="F891" s="1">
        <v>1</v>
      </c>
      <c r="G891" s="33" t="e">
        <f>VLOOKUP(E891,ACTIVIDADES!A892:D904,2)</f>
        <v>#N/A</v>
      </c>
    </row>
    <row r="892" spans="1:7" x14ac:dyDescent="0.3">
      <c r="A892" s="28">
        <v>46149</v>
      </c>
      <c r="B892" s="24">
        <v>33</v>
      </c>
      <c r="C892" t="s">
        <v>7</v>
      </c>
      <c r="D892" s="1" t="s">
        <v>72</v>
      </c>
      <c r="E892" s="1" t="s">
        <v>60</v>
      </c>
      <c r="F892" s="1">
        <v>1</v>
      </c>
      <c r="G892" s="33" t="e">
        <f>VLOOKUP(E892,ACTIVIDADES!A893:D905,2)</f>
        <v>#N/A</v>
      </c>
    </row>
    <row r="893" spans="1:7" x14ac:dyDescent="0.3">
      <c r="A893" s="28">
        <v>46149</v>
      </c>
      <c r="B893" s="24">
        <v>34</v>
      </c>
      <c r="C893" t="s">
        <v>39</v>
      </c>
      <c r="D893" s="1" t="s">
        <v>72</v>
      </c>
      <c r="E893" s="31" t="s">
        <v>117</v>
      </c>
      <c r="F893" s="1">
        <v>5</v>
      </c>
      <c r="G893" s="33" t="e">
        <f>VLOOKUP(E893,ACTIVIDADES!A894:D906,2)</f>
        <v>#N/A</v>
      </c>
    </row>
    <row r="894" spans="1:7" x14ac:dyDescent="0.3">
      <c r="A894" s="28">
        <v>46149</v>
      </c>
      <c r="B894" s="24">
        <v>35</v>
      </c>
      <c r="C894" t="s">
        <v>40</v>
      </c>
      <c r="D894" s="1" t="s">
        <v>72</v>
      </c>
      <c r="E894" s="1" t="s">
        <v>60</v>
      </c>
      <c r="F894" s="1">
        <v>1</v>
      </c>
      <c r="G894" s="33" t="e">
        <f>VLOOKUP(E894,ACTIVIDADES!A895:D907,2)</f>
        <v>#N/A</v>
      </c>
    </row>
    <row r="895" spans="1:7" x14ac:dyDescent="0.3">
      <c r="A895" s="28">
        <v>46149</v>
      </c>
      <c r="B895" s="24">
        <v>36</v>
      </c>
      <c r="C895" t="s">
        <v>41</v>
      </c>
      <c r="D895" s="1" t="s">
        <v>72</v>
      </c>
      <c r="E895" s="1" t="s">
        <v>60</v>
      </c>
      <c r="F895" s="1">
        <v>1</v>
      </c>
      <c r="G895" s="33" t="e">
        <f>VLOOKUP(E895,ACTIVIDADES!A896:D908,2)</f>
        <v>#N/A</v>
      </c>
    </row>
    <row r="896" spans="1:7" x14ac:dyDescent="0.3">
      <c r="A896" s="28">
        <v>46149</v>
      </c>
      <c r="B896" s="24">
        <v>37</v>
      </c>
      <c r="C896" t="s">
        <v>42</v>
      </c>
      <c r="D896" s="1" t="s">
        <v>72</v>
      </c>
      <c r="E896" s="1" t="s">
        <v>60</v>
      </c>
      <c r="F896" s="1">
        <v>1</v>
      </c>
      <c r="G896" s="33" t="e">
        <f>VLOOKUP(E896,ACTIVIDADES!A897:D909,2)</f>
        <v>#N/A</v>
      </c>
    </row>
    <row r="897" spans="1:7" x14ac:dyDescent="0.3">
      <c r="A897" s="28">
        <v>46149</v>
      </c>
      <c r="B897" s="24">
        <v>38</v>
      </c>
      <c r="C897" t="s">
        <v>43</v>
      </c>
      <c r="D897" s="1" t="s">
        <v>46</v>
      </c>
      <c r="E897" s="1" t="s">
        <v>75</v>
      </c>
      <c r="F897" s="1">
        <v>1</v>
      </c>
      <c r="G897" s="33" t="e">
        <f>VLOOKUP(E897,ACTIVIDADES!A898:D910,2)</f>
        <v>#N/A</v>
      </c>
    </row>
    <row r="898" spans="1:7" x14ac:dyDescent="0.3">
      <c r="A898" s="28">
        <v>46149</v>
      </c>
      <c r="B898" s="24">
        <v>39</v>
      </c>
      <c r="C898" t="s">
        <v>44</v>
      </c>
      <c r="D898" s="1" t="s">
        <v>72</v>
      </c>
      <c r="E898" s="1" t="s">
        <v>60</v>
      </c>
      <c r="F898" s="1">
        <v>1</v>
      </c>
      <c r="G898" s="33" t="e">
        <f>VLOOKUP(E898,ACTIVIDADES!A899:D911,2)</f>
        <v>#N/A</v>
      </c>
    </row>
    <row r="899" spans="1:7" x14ac:dyDescent="0.3">
      <c r="A899" s="28">
        <v>46150</v>
      </c>
      <c r="B899" s="24">
        <v>1</v>
      </c>
      <c r="C899" t="s">
        <v>6</v>
      </c>
      <c r="D899" s="1" t="s">
        <v>49</v>
      </c>
      <c r="E899" s="1" t="s">
        <v>49</v>
      </c>
      <c r="F899" s="1">
        <v>1</v>
      </c>
      <c r="G899" s="33" t="e">
        <f>VLOOKUP(E899,ACTIVIDADES!A900:D912,2)</f>
        <v>#N/A</v>
      </c>
    </row>
    <row r="900" spans="1:7" x14ac:dyDescent="0.3">
      <c r="A900" s="28">
        <v>46150</v>
      </c>
      <c r="B900" s="24">
        <v>2</v>
      </c>
      <c r="C900" t="s">
        <v>10</v>
      </c>
      <c r="D900" s="1" t="s">
        <v>49</v>
      </c>
      <c r="E900" s="1" t="s">
        <v>49</v>
      </c>
      <c r="F900" s="1">
        <v>1</v>
      </c>
      <c r="G900" s="33" t="e">
        <f>VLOOKUP(E900,ACTIVIDADES!A901:D913,2)</f>
        <v>#N/A</v>
      </c>
    </row>
    <row r="901" spans="1:7" x14ac:dyDescent="0.3">
      <c r="A901" s="28">
        <v>46150</v>
      </c>
      <c r="B901" s="24">
        <v>3</v>
      </c>
      <c r="C901" t="s">
        <v>22</v>
      </c>
      <c r="D901" s="1" t="s">
        <v>48</v>
      </c>
      <c r="E901" s="1" t="s">
        <v>48</v>
      </c>
      <c r="F901" s="1">
        <v>1</v>
      </c>
      <c r="G901" s="33" t="e">
        <f>VLOOKUP(E901,ACTIVIDADES!A902:D914,2)</f>
        <v>#N/A</v>
      </c>
    </row>
    <row r="902" spans="1:7" x14ac:dyDescent="0.3">
      <c r="A902" s="28">
        <v>46150</v>
      </c>
      <c r="B902" s="24">
        <v>4</v>
      </c>
      <c r="C902" t="s">
        <v>36</v>
      </c>
      <c r="D902" s="1" t="s">
        <v>51</v>
      </c>
      <c r="E902" s="1" t="s">
        <v>50</v>
      </c>
      <c r="F902" s="1">
        <v>1</v>
      </c>
      <c r="G902" s="33" t="e">
        <f>VLOOKUP(E902,ACTIVIDADES!A903:D915,2)</f>
        <v>#N/A</v>
      </c>
    </row>
    <row r="903" spans="1:7" x14ac:dyDescent="0.3">
      <c r="A903" s="28">
        <v>46150</v>
      </c>
      <c r="B903" s="24">
        <v>5</v>
      </c>
      <c r="C903" t="s">
        <v>38</v>
      </c>
      <c r="D903" s="1" t="s">
        <v>51</v>
      </c>
      <c r="E903" s="1" t="s">
        <v>50</v>
      </c>
      <c r="F903" s="1">
        <v>1</v>
      </c>
      <c r="G903" s="33" t="e">
        <f>VLOOKUP(E903,ACTIVIDADES!A904:D916,2)</f>
        <v>#N/A</v>
      </c>
    </row>
    <row r="904" spans="1:7" x14ac:dyDescent="0.3">
      <c r="A904" s="28">
        <v>46150</v>
      </c>
      <c r="B904" s="24">
        <v>6</v>
      </c>
      <c r="C904" t="s">
        <v>11</v>
      </c>
      <c r="D904" s="1" t="s">
        <v>72</v>
      </c>
      <c r="E904" s="1" t="s">
        <v>60</v>
      </c>
      <c r="F904" s="1">
        <v>1</v>
      </c>
      <c r="G904" s="33" t="e">
        <f>VLOOKUP(E904,ACTIVIDADES!A905:D917,2)</f>
        <v>#N/A</v>
      </c>
    </row>
    <row r="905" spans="1:7" x14ac:dyDescent="0.3">
      <c r="A905" s="28">
        <v>46150</v>
      </c>
      <c r="B905" s="24">
        <v>7</v>
      </c>
      <c r="C905" t="s">
        <v>12</v>
      </c>
      <c r="D905" s="1" t="s">
        <v>72</v>
      </c>
      <c r="E905" s="1" t="s">
        <v>60</v>
      </c>
      <c r="F905" s="1">
        <v>1</v>
      </c>
      <c r="G905" s="33" t="e">
        <f>VLOOKUP(E905,ACTIVIDADES!A906:D918,2)</f>
        <v>#N/A</v>
      </c>
    </row>
    <row r="906" spans="1:7" x14ac:dyDescent="0.3">
      <c r="A906" s="28">
        <v>46150</v>
      </c>
      <c r="B906" s="24">
        <v>8</v>
      </c>
      <c r="C906" t="s">
        <v>13</v>
      </c>
      <c r="D906" s="1" t="s">
        <v>72</v>
      </c>
      <c r="E906" s="1" t="s">
        <v>60</v>
      </c>
      <c r="F906" s="1">
        <v>1</v>
      </c>
      <c r="G906" s="33" t="e">
        <f>VLOOKUP(E906,ACTIVIDADES!A907:D919,2)</f>
        <v>#N/A</v>
      </c>
    </row>
    <row r="907" spans="1:7" x14ac:dyDescent="0.3">
      <c r="A907" s="28">
        <v>46150</v>
      </c>
      <c r="B907" s="24">
        <v>9</v>
      </c>
      <c r="C907" t="s">
        <v>14</v>
      </c>
      <c r="D907" s="1" t="s">
        <v>72</v>
      </c>
      <c r="E907" s="1" t="s">
        <v>60</v>
      </c>
      <c r="F907" s="1">
        <v>1</v>
      </c>
      <c r="G907" s="33" t="e">
        <f>VLOOKUP(E907,ACTIVIDADES!A908:D920,2)</f>
        <v>#N/A</v>
      </c>
    </row>
    <row r="908" spans="1:7" x14ac:dyDescent="0.3">
      <c r="A908" s="28">
        <v>46150</v>
      </c>
      <c r="B908" s="24">
        <v>10</v>
      </c>
      <c r="C908" t="s">
        <v>15</v>
      </c>
      <c r="D908" s="1" t="s">
        <v>46</v>
      </c>
      <c r="E908" s="1" t="s">
        <v>75</v>
      </c>
      <c r="F908" s="1">
        <v>1</v>
      </c>
      <c r="G908" s="33" t="e">
        <f>VLOOKUP(E908,ACTIVIDADES!A909:D921,2)</f>
        <v>#N/A</v>
      </c>
    </row>
    <row r="909" spans="1:7" x14ac:dyDescent="0.3">
      <c r="A909" s="28">
        <v>46150</v>
      </c>
      <c r="B909" s="24">
        <v>11</v>
      </c>
      <c r="C909" t="s">
        <v>16</v>
      </c>
      <c r="D909" s="1" t="s">
        <v>72</v>
      </c>
      <c r="E909" s="1" t="s">
        <v>60</v>
      </c>
      <c r="F909" s="1">
        <v>1</v>
      </c>
      <c r="G909" s="33" t="e">
        <f>VLOOKUP(E909,ACTIVIDADES!A910:D922,2)</f>
        <v>#N/A</v>
      </c>
    </row>
    <row r="910" spans="1:7" x14ac:dyDescent="0.3">
      <c r="A910" s="28">
        <v>46150</v>
      </c>
      <c r="B910" s="24">
        <v>12</v>
      </c>
      <c r="C910" t="s">
        <v>17</v>
      </c>
      <c r="D910" s="1" t="s">
        <v>72</v>
      </c>
      <c r="E910" s="1" t="s">
        <v>60</v>
      </c>
      <c r="F910" s="1">
        <v>1</v>
      </c>
      <c r="G910" s="33" t="e">
        <f>VLOOKUP(E910,ACTIVIDADES!A911:D923,2)</f>
        <v>#N/A</v>
      </c>
    </row>
    <row r="911" spans="1:7" x14ac:dyDescent="0.3">
      <c r="A911" s="28">
        <v>46150</v>
      </c>
      <c r="B911" s="24">
        <v>13</v>
      </c>
      <c r="C911" t="s">
        <v>18</v>
      </c>
      <c r="D911" s="1" t="s">
        <v>46</v>
      </c>
      <c r="E911" s="1" t="s">
        <v>75</v>
      </c>
      <c r="F911" s="1">
        <v>1</v>
      </c>
      <c r="G911" s="33" t="e">
        <f>VLOOKUP(E911,ACTIVIDADES!A912:D924,2)</f>
        <v>#N/A</v>
      </c>
    </row>
    <row r="912" spans="1:7" x14ac:dyDescent="0.3">
      <c r="A912" s="28">
        <v>46150</v>
      </c>
      <c r="B912" s="24">
        <v>14</v>
      </c>
      <c r="C912" t="s">
        <v>19</v>
      </c>
      <c r="D912" s="1" t="s">
        <v>72</v>
      </c>
      <c r="E912" s="1" t="s">
        <v>60</v>
      </c>
      <c r="F912" s="1">
        <v>1</v>
      </c>
      <c r="G912" s="33" t="e">
        <f>VLOOKUP(E912,ACTIVIDADES!A913:D925,2)</f>
        <v>#N/A</v>
      </c>
    </row>
    <row r="913" spans="1:7" x14ac:dyDescent="0.3">
      <c r="A913" s="28">
        <v>46150</v>
      </c>
      <c r="B913" s="24">
        <v>15</v>
      </c>
      <c r="C913" t="s">
        <v>20</v>
      </c>
      <c r="D913" s="1" t="s">
        <v>76</v>
      </c>
      <c r="E913" s="1" t="s">
        <v>65</v>
      </c>
      <c r="F913" s="1">
        <v>1</v>
      </c>
      <c r="G913" s="33" t="e">
        <f>VLOOKUP(E913,ACTIVIDADES!A914:D926,2)</f>
        <v>#N/A</v>
      </c>
    </row>
    <row r="914" spans="1:7" x14ac:dyDescent="0.3">
      <c r="A914" s="28">
        <v>46150</v>
      </c>
      <c r="B914" s="24">
        <v>16</v>
      </c>
      <c r="C914" t="s">
        <v>21</v>
      </c>
      <c r="D914" s="1" t="s">
        <v>72</v>
      </c>
      <c r="E914" s="1" t="s">
        <v>60</v>
      </c>
      <c r="F914" s="1">
        <v>1</v>
      </c>
      <c r="G914" s="33" t="e">
        <f>VLOOKUP(E914,ACTIVIDADES!A915:D927,2)</f>
        <v>#N/A</v>
      </c>
    </row>
    <row r="915" spans="1:7" x14ac:dyDescent="0.3">
      <c r="A915" s="28">
        <v>46150</v>
      </c>
      <c r="B915" s="24">
        <v>17</v>
      </c>
      <c r="C915" t="s">
        <v>8</v>
      </c>
      <c r="D915" s="1" t="s">
        <v>72</v>
      </c>
      <c r="E915" s="1" t="s">
        <v>60</v>
      </c>
      <c r="F915" s="1">
        <v>1</v>
      </c>
      <c r="G915" s="33" t="e">
        <f>VLOOKUP(E915,ACTIVIDADES!A916:D928,2)</f>
        <v>#N/A</v>
      </c>
    </row>
    <row r="916" spans="1:7" x14ac:dyDescent="0.3">
      <c r="A916" s="28">
        <v>46150</v>
      </c>
      <c r="B916" s="24">
        <v>18</v>
      </c>
      <c r="C916" t="s">
        <v>23</v>
      </c>
      <c r="D916" s="1" t="s">
        <v>72</v>
      </c>
      <c r="E916" s="1" t="s">
        <v>60</v>
      </c>
      <c r="F916" s="1">
        <v>1</v>
      </c>
      <c r="G916" s="33" t="e">
        <f>VLOOKUP(E916,ACTIVIDADES!A917:D929,2)</f>
        <v>#N/A</v>
      </c>
    </row>
    <row r="917" spans="1:7" x14ac:dyDescent="0.3">
      <c r="A917" s="28">
        <v>46150</v>
      </c>
      <c r="B917" s="24">
        <v>19</v>
      </c>
      <c r="C917" t="s">
        <v>24</v>
      </c>
      <c r="D917" s="1" t="s">
        <v>72</v>
      </c>
      <c r="E917" s="1" t="s">
        <v>60</v>
      </c>
      <c r="F917" s="1">
        <v>1</v>
      </c>
      <c r="G917" s="33" t="e">
        <f>VLOOKUP(E917,ACTIVIDADES!A918:D930,2)</f>
        <v>#N/A</v>
      </c>
    </row>
    <row r="918" spans="1:7" x14ac:dyDescent="0.3">
      <c r="A918" s="28">
        <v>46150</v>
      </c>
      <c r="B918" s="24">
        <v>20</v>
      </c>
      <c r="C918" t="s">
        <v>25</v>
      </c>
      <c r="D918" s="1" t="s">
        <v>72</v>
      </c>
      <c r="E918" s="1" t="s">
        <v>60</v>
      </c>
      <c r="F918" s="1">
        <v>1</v>
      </c>
      <c r="G918" s="33" t="e">
        <f>VLOOKUP(E918,ACTIVIDADES!A919:D931,2)</f>
        <v>#N/A</v>
      </c>
    </row>
    <row r="919" spans="1:7" x14ac:dyDescent="0.3">
      <c r="A919" s="28">
        <v>46150</v>
      </c>
      <c r="B919" s="24">
        <v>21</v>
      </c>
      <c r="C919" t="s">
        <v>26</v>
      </c>
      <c r="D919" s="1" t="s">
        <v>72</v>
      </c>
      <c r="E919" s="1" t="s">
        <v>60</v>
      </c>
      <c r="F919" s="1">
        <v>1</v>
      </c>
      <c r="G919" s="33" t="e">
        <f>VLOOKUP(E919,ACTIVIDADES!A920:D932,2)</f>
        <v>#N/A</v>
      </c>
    </row>
    <row r="920" spans="1:7" x14ac:dyDescent="0.3">
      <c r="A920" s="28">
        <v>46150</v>
      </c>
      <c r="B920" s="24">
        <v>22</v>
      </c>
      <c r="C920" t="s">
        <v>27</v>
      </c>
      <c r="D920" s="1" t="s">
        <v>72</v>
      </c>
      <c r="E920" s="31" t="s">
        <v>117</v>
      </c>
      <c r="F920" s="1">
        <v>3</v>
      </c>
      <c r="G920" s="33" t="e">
        <f>VLOOKUP(E920,ACTIVIDADES!A921:D933,2)</f>
        <v>#N/A</v>
      </c>
    </row>
    <row r="921" spans="1:7" x14ac:dyDescent="0.3">
      <c r="A921" s="28">
        <v>46150</v>
      </c>
      <c r="B921" s="24">
        <v>23</v>
      </c>
      <c r="C921" t="s">
        <v>28</v>
      </c>
      <c r="D921" s="1" t="s">
        <v>72</v>
      </c>
      <c r="E921" s="1" t="s">
        <v>60</v>
      </c>
      <c r="F921" s="1">
        <v>1</v>
      </c>
      <c r="G921" s="33" t="e">
        <f>VLOOKUP(E921,ACTIVIDADES!A922:D934,2)</f>
        <v>#N/A</v>
      </c>
    </row>
    <row r="922" spans="1:7" x14ac:dyDescent="0.3">
      <c r="A922" s="28">
        <v>46150</v>
      </c>
      <c r="B922" s="24">
        <v>24</v>
      </c>
      <c r="C922" t="s">
        <v>29</v>
      </c>
      <c r="D922" s="1" t="s">
        <v>72</v>
      </c>
      <c r="E922" s="1" t="s">
        <v>60</v>
      </c>
      <c r="F922" s="1">
        <v>1</v>
      </c>
      <c r="G922" s="33" t="e">
        <f>VLOOKUP(E922,ACTIVIDADES!A923:D935,2)</f>
        <v>#N/A</v>
      </c>
    </row>
    <row r="923" spans="1:7" x14ac:dyDescent="0.3">
      <c r="A923" s="28">
        <v>46150</v>
      </c>
      <c r="B923" s="24">
        <v>25</v>
      </c>
      <c r="C923" t="s">
        <v>30</v>
      </c>
      <c r="D923" s="1" t="s">
        <v>46</v>
      </c>
      <c r="E923" s="1" t="s">
        <v>77</v>
      </c>
      <c r="F923" s="1">
        <v>1</v>
      </c>
      <c r="G923" s="33" t="e">
        <f>VLOOKUP(E923,ACTIVIDADES!A924:D936,2)</f>
        <v>#N/A</v>
      </c>
    </row>
    <row r="924" spans="1:7" x14ac:dyDescent="0.3">
      <c r="A924" s="28">
        <v>46150</v>
      </c>
      <c r="B924" s="24">
        <v>26</v>
      </c>
      <c r="C924" t="s">
        <v>31</v>
      </c>
      <c r="D924" s="1" t="s">
        <v>72</v>
      </c>
      <c r="E924" s="1" t="s">
        <v>60</v>
      </c>
      <c r="F924" s="1">
        <v>1</v>
      </c>
      <c r="G924" s="33" t="e">
        <f>VLOOKUP(E924,ACTIVIDADES!A925:D937,2)</f>
        <v>#N/A</v>
      </c>
    </row>
    <row r="925" spans="1:7" x14ac:dyDescent="0.3">
      <c r="A925" s="28">
        <v>46150</v>
      </c>
      <c r="B925" s="24">
        <v>27</v>
      </c>
      <c r="C925" t="s">
        <v>32</v>
      </c>
      <c r="D925" s="1" t="s">
        <v>72</v>
      </c>
      <c r="E925" s="1" t="s">
        <v>60</v>
      </c>
      <c r="F925" s="1">
        <v>1</v>
      </c>
      <c r="G925" s="33" t="e">
        <f>VLOOKUP(E925,ACTIVIDADES!A926:D938,2)</f>
        <v>#N/A</v>
      </c>
    </row>
    <row r="926" spans="1:7" x14ac:dyDescent="0.3">
      <c r="A926" s="28">
        <v>46150</v>
      </c>
      <c r="B926" s="24">
        <v>28</v>
      </c>
      <c r="C926" t="s">
        <v>33</v>
      </c>
      <c r="D926" s="1" t="s">
        <v>46</v>
      </c>
      <c r="E926" s="1" t="s">
        <v>77</v>
      </c>
      <c r="F926" s="1">
        <v>1</v>
      </c>
      <c r="G926" s="33" t="e">
        <f>VLOOKUP(E926,ACTIVIDADES!A927:D939,2)</f>
        <v>#N/A</v>
      </c>
    </row>
    <row r="927" spans="1:7" x14ac:dyDescent="0.3">
      <c r="A927" s="28">
        <v>46150</v>
      </c>
      <c r="B927" s="24">
        <v>29</v>
      </c>
      <c r="C927" t="s">
        <v>34</v>
      </c>
      <c r="D927" s="1" t="s">
        <v>72</v>
      </c>
      <c r="E927" s="1" t="s">
        <v>60</v>
      </c>
      <c r="F927" s="1">
        <v>1</v>
      </c>
      <c r="G927" s="33" t="e">
        <f>VLOOKUP(E927,ACTIVIDADES!A928:D940,2)</f>
        <v>#N/A</v>
      </c>
    </row>
    <row r="928" spans="1:7" x14ac:dyDescent="0.3">
      <c r="A928" s="28">
        <v>46150</v>
      </c>
      <c r="B928" s="24">
        <v>30</v>
      </c>
      <c r="C928" t="s">
        <v>35</v>
      </c>
      <c r="D928" s="1" t="s">
        <v>46</v>
      </c>
      <c r="E928" s="1" t="s">
        <v>77</v>
      </c>
      <c r="F928" s="1">
        <v>1</v>
      </c>
      <c r="G928" s="33" t="e">
        <f>VLOOKUP(E928,ACTIVIDADES!A929:D941,2)</f>
        <v>#N/A</v>
      </c>
    </row>
    <row r="929" spans="1:7" x14ac:dyDescent="0.3">
      <c r="A929" s="28">
        <v>46150</v>
      </c>
      <c r="B929" s="24">
        <v>31</v>
      </c>
      <c r="C929" t="s">
        <v>9</v>
      </c>
      <c r="D929" s="1" t="s">
        <v>72</v>
      </c>
      <c r="E929" s="1" t="s">
        <v>60</v>
      </c>
      <c r="F929" s="1">
        <v>1</v>
      </c>
      <c r="G929" s="33" t="e">
        <f>VLOOKUP(E929,ACTIVIDADES!A930:D942,2)</f>
        <v>#N/A</v>
      </c>
    </row>
    <row r="930" spans="1:7" x14ac:dyDescent="0.3">
      <c r="A930" s="28">
        <v>46150</v>
      </c>
      <c r="B930" s="24">
        <v>32</v>
      </c>
      <c r="C930" t="s">
        <v>37</v>
      </c>
      <c r="D930" s="1" t="s">
        <v>72</v>
      </c>
      <c r="E930" s="1" t="s">
        <v>60</v>
      </c>
      <c r="F930" s="1">
        <v>1</v>
      </c>
      <c r="G930" s="33" t="e">
        <f>VLOOKUP(E930,ACTIVIDADES!A931:D943,2)</f>
        <v>#N/A</v>
      </c>
    </row>
    <row r="931" spans="1:7" x14ac:dyDescent="0.3">
      <c r="A931" s="28">
        <v>46150</v>
      </c>
      <c r="B931" s="24">
        <v>33</v>
      </c>
      <c r="C931" t="s">
        <v>7</v>
      </c>
      <c r="D931" s="1" t="s">
        <v>72</v>
      </c>
      <c r="E931" s="1" t="s">
        <v>60</v>
      </c>
      <c r="F931" s="1">
        <v>1</v>
      </c>
      <c r="G931" s="33" t="e">
        <f>VLOOKUP(E931,ACTIVIDADES!A932:D944,2)</f>
        <v>#N/A</v>
      </c>
    </row>
    <row r="932" spans="1:7" x14ac:dyDescent="0.3">
      <c r="A932" s="28">
        <v>46150</v>
      </c>
      <c r="B932" s="24">
        <v>34</v>
      </c>
      <c r="C932" t="s">
        <v>39</v>
      </c>
      <c r="D932" s="1" t="s">
        <v>72</v>
      </c>
      <c r="E932" s="1" t="s">
        <v>60</v>
      </c>
      <c r="F932" s="1">
        <v>1</v>
      </c>
      <c r="G932" s="33" t="e">
        <f>VLOOKUP(E932,ACTIVIDADES!A933:D945,2)</f>
        <v>#N/A</v>
      </c>
    </row>
    <row r="933" spans="1:7" x14ac:dyDescent="0.3">
      <c r="A933" s="28">
        <v>46150</v>
      </c>
      <c r="B933" s="24">
        <v>35</v>
      </c>
      <c r="C933" t="s">
        <v>40</v>
      </c>
      <c r="D933" s="1" t="s">
        <v>72</v>
      </c>
      <c r="E933" s="31" t="s">
        <v>117</v>
      </c>
      <c r="F933" s="1">
        <v>3</v>
      </c>
      <c r="G933" s="33" t="e">
        <f>VLOOKUP(E933,ACTIVIDADES!A934:D946,2)</f>
        <v>#N/A</v>
      </c>
    </row>
    <row r="934" spans="1:7" x14ac:dyDescent="0.3">
      <c r="A934" s="28">
        <v>46150</v>
      </c>
      <c r="B934" s="24">
        <v>36</v>
      </c>
      <c r="C934" t="s">
        <v>41</v>
      </c>
      <c r="D934" s="1" t="s">
        <v>72</v>
      </c>
      <c r="E934" s="1" t="s">
        <v>60</v>
      </c>
      <c r="F934" s="1">
        <v>1</v>
      </c>
      <c r="G934" s="33" t="e">
        <f>VLOOKUP(E934,ACTIVIDADES!A935:D947,2)</f>
        <v>#N/A</v>
      </c>
    </row>
    <row r="935" spans="1:7" x14ac:dyDescent="0.3">
      <c r="A935" s="28">
        <v>46150</v>
      </c>
      <c r="B935" s="24">
        <v>37</v>
      </c>
      <c r="C935" t="s">
        <v>42</v>
      </c>
      <c r="D935" s="1" t="s">
        <v>72</v>
      </c>
      <c r="E935" s="31" t="s">
        <v>117</v>
      </c>
      <c r="F935" s="1">
        <v>4</v>
      </c>
      <c r="G935" s="33" t="e">
        <f>VLOOKUP(E935,ACTIVIDADES!A936:D948,2)</f>
        <v>#N/A</v>
      </c>
    </row>
    <row r="936" spans="1:7" x14ac:dyDescent="0.3">
      <c r="A936" s="28">
        <v>46150</v>
      </c>
      <c r="B936" s="24">
        <v>38</v>
      </c>
      <c r="C936" t="s">
        <v>43</v>
      </c>
      <c r="D936" s="1" t="s">
        <v>46</v>
      </c>
      <c r="E936" s="1" t="s">
        <v>77</v>
      </c>
      <c r="F936" s="1">
        <v>1</v>
      </c>
      <c r="G936" s="33" t="e">
        <f>VLOOKUP(E936,ACTIVIDADES!A937:D949,2)</f>
        <v>#N/A</v>
      </c>
    </row>
    <row r="937" spans="1:7" x14ac:dyDescent="0.3">
      <c r="A937" s="28">
        <v>46150</v>
      </c>
      <c r="B937" s="24">
        <v>39</v>
      </c>
      <c r="C937" t="s">
        <v>44</v>
      </c>
      <c r="D937" s="1" t="s">
        <v>46</v>
      </c>
      <c r="E937" s="1" t="s">
        <v>77</v>
      </c>
      <c r="F937" s="1">
        <v>1</v>
      </c>
      <c r="G937" s="33" t="e">
        <f>VLOOKUP(E937,ACTIVIDADES!A938:D950,2)</f>
        <v>#N/A</v>
      </c>
    </row>
    <row r="938" spans="1:7" x14ac:dyDescent="0.3">
      <c r="A938" s="28">
        <v>46151</v>
      </c>
      <c r="B938" s="24">
        <v>1</v>
      </c>
      <c r="C938" t="s">
        <v>6</v>
      </c>
      <c r="D938" s="1" t="s">
        <v>49</v>
      </c>
      <c r="E938" s="1" t="s">
        <v>49</v>
      </c>
      <c r="F938" s="1">
        <v>1</v>
      </c>
      <c r="G938" s="33" t="e">
        <f>VLOOKUP(E938,ACTIVIDADES!A939:D951,2)</f>
        <v>#N/A</v>
      </c>
    </row>
    <row r="939" spans="1:7" x14ac:dyDescent="0.3">
      <c r="A939" s="28">
        <v>46151</v>
      </c>
      <c r="B939" s="24">
        <v>2</v>
      </c>
      <c r="C939" t="s">
        <v>10</v>
      </c>
      <c r="D939" s="1" t="s">
        <v>49</v>
      </c>
      <c r="E939" s="1" t="s">
        <v>49</v>
      </c>
      <c r="F939" s="1">
        <v>1</v>
      </c>
      <c r="G939" s="33" t="e">
        <f>VLOOKUP(E939,ACTIVIDADES!A940:D952,2)</f>
        <v>#N/A</v>
      </c>
    </row>
    <row r="940" spans="1:7" x14ac:dyDescent="0.3">
      <c r="A940" s="28">
        <v>46151</v>
      </c>
      <c r="B940" s="24">
        <v>3</v>
      </c>
      <c r="C940" t="s">
        <v>22</v>
      </c>
      <c r="D940" s="1" t="s">
        <v>48</v>
      </c>
      <c r="E940" s="1" t="s">
        <v>48</v>
      </c>
      <c r="F940" s="1">
        <v>1</v>
      </c>
      <c r="G940" s="33" t="e">
        <f>VLOOKUP(E940,ACTIVIDADES!A941:D953,2)</f>
        <v>#N/A</v>
      </c>
    </row>
    <row r="941" spans="1:7" x14ac:dyDescent="0.3">
      <c r="A941" s="28">
        <v>46151</v>
      </c>
      <c r="B941" s="24">
        <v>4</v>
      </c>
      <c r="C941" t="s">
        <v>36</v>
      </c>
      <c r="D941" s="1" t="s">
        <v>51</v>
      </c>
      <c r="E941" s="1" t="s">
        <v>50</v>
      </c>
      <c r="F941" s="1">
        <v>1</v>
      </c>
      <c r="G941" s="33" t="e">
        <f>VLOOKUP(E941,ACTIVIDADES!A942:D954,2)</f>
        <v>#N/A</v>
      </c>
    </row>
    <row r="942" spans="1:7" x14ac:dyDescent="0.3">
      <c r="A942" s="28">
        <v>46151</v>
      </c>
      <c r="B942" s="24">
        <v>5</v>
      </c>
      <c r="C942" t="s">
        <v>38</v>
      </c>
      <c r="D942" s="1" t="s">
        <v>51</v>
      </c>
      <c r="E942" s="1" t="s">
        <v>50</v>
      </c>
      <c r="F942" s="1">
        <v>1</v>
      </c>
      <c r="G942" s="33" t="e">
        <f>VLOOKUP(E942,ACTIVIDADES!A943:D955,2)</f>
        <v>#N/A</v>
      </c>
    </row>
    <row r="943" spans="1:7" x14ac:dyDescent="0.3">
      <c r="A943" s="28">
        <v>46151</v>
      </c>
      <c r="B943" s="24">
        <v>6</v>
      </c>
      <c r="C943" t="s">
        <v>11</v>
      </c>
      <c r="D943" s="1" t="s">
        <v>78</v>
      </c>
      <c r="E943" s="1" t="s">
        <v>60</v>
      </c>
      <c r="F943" s="1">
        <v>1</v>
      </c>
      <c r="G943" s="33" t="e">
        <f>VLOOKUP(E943,ACTIVIDADES!A944:D956,2)</f>
        <v>#N/A</v>
      </c>
    </row>
    <row r="944" spans="1:7" x14ac:dyDescent="0.3">
      <c r="A944" s="28">
        <v>46151</v>
      </c>
      <c r="B944" s="24">
        <v>7</v>
      </c>
      <c r="C944" t="s">
        <v>12</v>
      </c>
      <c r="D944" s="1" t="s">
        <v>78</v>
      </c>
      <c r="E944" s="1" t="s">
        <v>60</v>
      </c>
      <c r="F944" s="1">
        <v>1</v>
      </c>
      <c r="G944" s="33" t="e">
        <f>VLOOKUP(E944,ACTIVIDADES!A945:D957,2)</f>
        <v>#N/A</v>
      </c>
    </row>
    <row r="945" spans="1:7" x14ac:dyDescent="0.3">
      <c r="A945" s="28">
        <v>46151</v>
      </c>
      <c r="B945" s="24">
        <v>8</v>
      </c>
      <c r="C945" t="s">
        <v>13</v>
      </c>
      <c r="D945" s="1" t="s">
        <v>78</v>
      </c>
      <c r="E945" s="1" t="s">
        <v>60</v>
      </c>
      <c r="F945" s="1">
        <v>1</v>
      </c>
      <c r="G945" s="33" t="e">
        <f>VLOOKUP(E945,ACTIVIDADES!A946:D958,2)</f>
        <v>#N/A</v>
      </c>
    </row>
    <row r="946" spans="1:7" x14ac:dyDescent="0.3">
      <c r="A946" s="28">
        <v>46151</v>
      </c>
      <c r="B946" s="24">
        <v>9</v>
      </c>
      <c r="C946" t="s">
        <v>14</v>
      </c>
      <c r="D946" s="1" t="s">
        <v>78</v>
      </c>
      <c r="E946" s="1" t="s">
        <v>60</v>
      </c>
      <c r="F946" s="1">
        <v>1</v>
      </c>
      <c r="G946" s="33" t="e">
        <f>VLOOKUP(E946,ACTIVIDADES!A947:D959,2)</f>
        <v>#N/A</v>
      </c>
    </row>
    <row r="947" spans="1:7" x14ac:dyDescent="0.3">
      <c r="A947" s="28">
        <v>46151</v>
      </c>
      <c r="B947" s="24">
        <v>10</v>
      </c>
      <c r="C947" t="s">
        <v>15</v>
      </c>
      <c r="D947" s="1" t="s">
        <v>78</v>
      </c>
      <c r="E947" s="1" t="s">
        <v>60</v>
      </c>
      <c r="F947" s="1">
        <v>1</v>
      </c>
      <c r="G947" s="33" t="e">
        <f>VLOOKUP(E947,ACTIVIDADES!A948:D960,2)</f>
        <v>#N/A</v>
      </c>
    </row>
    <row r="948" spans="1:7" x14ac:dyDescent="0.3">
      <c r="A948" s="28">
        <v>46151</v>
      </c>
      <c r="B948" s="24">
        <v>11</v>
      </c>
      <c r="C948" t="s">
        <v>16</v>
      </c>
      <c r="D948" s="1" t="s">
        <v>78</v>
      </c>
      <c r="E948" s="1" t="s">
        <v>60</v>
      </c>
      <c r="F948" s="1">
        <v>1</v>
      </c>
      <c r="G948" s="33" t="e">
        <f>VLOOKUP(E948,ACTIVIDADES!A949:D961,2)</f>
        <v>#N/A</v>
      </c>
    </row>
    <row r="949" spans="1:7" x14ac:dyDescent="0.3">
      <c r="A949" s="28">
        <v>46151</v>
      </c>
      <c r="B949" s="24">
        <v>12</v>
      </c>
      <c r="C949" t="s">
        <v>17</v>
      </c>
      <c r="D949" s="1" t="s">
        <v>78</v>
      </c>
      <c r="E949" s="1" t="s">
        <v>60</v>
      </c>
      <c r="F949" s="1">
        <v>1</v>
      </c>
      <c r="G949" s="33" t="e">
        <f>VLOOKUP(E949,ACTIVIDADES!A950:D962,2)</f>
        <v>#N/A</v>
      </c>
    </row>
    <row r="950" spans="1:7" x14ac:dyDescent="0.3">
      <c r="A950" s="28">
        <v>46151</v>
      </c>
      <c r="B950" s="24">
        <v>13</v>
      </c>
      <c r="C950" t="s">
        <v>18</v>
      </c>
      <c r="D950" s="1" t="s">
        <v>78</v>
      </c>
      <c r="E950" s="1" t="s">
        <v>60</v>
      </c>
      <c r="F950" s="1">
        <v>1</v>
      </c>
      <c r="G950" s="33" t="e">
        <f>VLOOKUP(E950,ACTIVIDADES!A951:D963,2)</f>
        <v>#N/A</v>
      </c>
    </row>
    <row r="951" spans="1:7" x14ac:dyDescent="0.3">
      <c r="A951" s="28">
        <v>46151</v>
      </c>
      <c r="B951" s="24">
        <v>14</v>
      </c>
      <c r="C951" t="s">
        <v>19</v>
      </c>
      <c r="D951" s="1" t="s">
        <v>78</v>
      </c>
      <c r="E951" s="1" t="s">
        <v>60</v>
      </c>
      <c r="F951" s="1">
        <v>1</v>
      </c>
      <c r="G951" s="33" t="e">
        <f>VLOOKUP(E951,ACTIVIDADES!A952:D964,2)</f>
        <v>#N/A</v>
      </c>
    </row>
    <row r="952" spans="1:7" x14ac:dyDescent="0.3">
      <c r="A952" s="28">
        <v>46151</v>
      </c>
      <c r="B952" s="24">
        <v>15</v>
      </c>
      <c r="C952" t="s">
        <v>20</v>
      </c>
      <c r="D952" s="1" t="s">
        <v>78</v>
      </c>
      <c r="E952" s="1" t="s">
        <v>60</v>
      </c>
      <c r="F952" s="1">
        <v>1</v>
      </c>
      <c r="G952" s="33" t="e">
        <f>VLOOKUP(E952,ACTIVIDADES!A953:D965,2)</f>
        <v>#N/A</v>
      </c>
    </row>
    <row r="953" spans="1:7" x14ac:dyDescent="0.3">
      <c r="A953" s="28">
        <v>46151</v>
      </c>
      <c r="B953" s="24">
        <v>16</v>
      </c>
      <c r="C953" t="s">
        <v>21</v>
      </c>
      <c r="D953" s="1" t="s">
        <v>78</v>
      </c>
      <c r="E953" s="1" t="s">
        <v>60</v>
      </c>
      <c r="F953" s="1">
        <v>1</v>
      </c>
      <c r="G953" s="33" t="e">
        <f>VLOOKUP(E953,ACTIVIDADES!A954:D966,2)</f>
        <v>#N/A</v>
      </c>
    </row>
    <row r="954" spans="1:7" x14ac:dyDescent="0.3">
      <c r="A954" s="28">
        <v>46151</v>
      </c>
      <c r="B954" s="24">
        <v>17</v>
      </c>
      <c r="C954" t="s">
        <v>8</v>
      </c>
      <c r="D954" s="1" t="s">
        <v>78</v>
      </c>
      <c r="E954" s="1" t="s">
        <v>60</v>
      </c>
      <c r="F954" s="1">
        <v>1</v>
      </c>
      <c r="G954" s="33" t="e">
        <f>VLOOKUP(E954,ACTIVIDADES!A955:D967,2)</f>
        <v>#N/A</v>
      </c>
    </row>
    <row r="955" spans="1:7" x14ac:dyDescent="0.3">
      <c r="A955" s="28">
        <v>46151</v>
      </c>
      <c r="B955" s="24">
        <v>18</v>
      </c>
      <c r="C955" t="s">
        <v>23</v>
      </c>
      <c r="D955" s="1" t="s">
        <v>78</v>
      </c>
      <c r="E955" s="1" t="s">
        <v>60</v>
      </c>
      <c r="F955" s="1">
        <v>1</v>
      </c>
      <c r="G955" s="33" t="e">
        <f>VLOOKUP(E955,ACTIVIDADES!A956:D968,2)</f>
        <v>#N/A</v>
      </c>
    </row>
    <row r="956" spans="1:7" x14ac:dyDescent="0.3">
      <c r="A956" s="28">
        <v>46151</v>
      </c>
      <c r="B956" s="24">
        <v>19</v>
      </c>
      <c r="C956" t="s">
        <v>24</v>
      </c>
      <c r="D956" s="1" t="s">
        <v>78</v>
      </c>
      <c r="E956" s="1" t="s">
        <v>60</v>
      </c>
      <c r="F956" s="1">
        <v>1</v>
      </c>
      <c r="G956" s="33" t="e">
        <f>VLOOKUP(E956,ACTIVIDADES!A957:D969,2)</f>
        <v>#N/A</v>
      </c>
    </row>
    <row r="957" spans="1:7" x14ac:dyDescent="0.3">
      <c r="A957" s="28">
        <v>46151</v>
      </c>
      <c r="B957" s="24">
        <v>20</v>
      </c>
      <c r="C957" t="s">
        <v>25</v>
      </c>
      <c r="D957" s="1" t="s">
        <v>78</v>
      </c>
      <c r="E957" s="1" t="s">
        <v>60</v>
      </c>
      <c r="F957" s="1">
        <v>1</v>
      </c>
      <c r="G957" s="33" t="e">
        <f>VLOOKUP(E957,ACTIVIDADES!A958:D970,2)</f>
        <v>#N/A</v>
      </c>
    </row>
    <row r="958" spans="1:7" x14ac:dyDescent="0.3">
      <c r="A958" s="28">
        <v>46151</v>
      </c>
      <c r="B958" s="24">
        <v>21</v>
      </c>
      <c r="C958" t="s">
        <v>26</v>
      </c>
      <c r="D958" s="1" t="s">
        <v>78</v>
      </c>
      <c r="E958" s="1" t="s">
        <v>60</v>
      </c>
      <c r="F958" s="1">
        <v>1</v>
      </c>
      <c r="G958" s="33" t="e">
        <f>VLOOKUP(E958,ACTIVIDADES!A959:D971,2)</f>
        <v>#N/A</v>
      </c>
    </row>
    <row r="959" spans="1:7" x14ac:dyDescent="0.3">
      <c r="A959" s="28">
        <v>46151</v>
      </c>
      <c r="B959" s="24">
        <v>22</v>
      </c>
      <c r="C959" t="s">
        <v>27</v>
      </c>
      <c r="D959" s="1" t="s">
        <v>78</v>
      </c>
      <c r="E959" s="1" t="s">
        <v>60</v>
      </c>
      <c r="F959" s="1">
        <v>1</v>
      </c>
      <c r="G959" s="33" t="e">
        <f>VLOOKUP(E959,ACTIVIDADES!A960:D972,2)</f>
        <v>#N/A</v>
      </c>
    </row>
    <row r="960" spans="1:7" x14ac:dyDescent="0.3">
      <c r="A960" s="28">
        <v>46151</v>
      </c>
      <c r="B960" s="24">
        <v>23</v>
      </c>
      <c r="C960" t="s">
        <v>28</v>
      </c>
      <c r="D960" s="1" t="s">
        <v>78</v>
      </c>
      <c r="E960" s="1" t="s">
        <v>60</v>
      </c>
      <c r="F960" s="1">
        <v>1</v>
      </c>
      <c r="G960" s="33" t="e">
        <f>VLOOKUP(E960,ACTIVIDADES!A961:D973,2)</f>
        <v>#N/A</v>
      </c>
    </row>
    <row r="961" spans="1:7" x14ac:dyDescent="0.3">
      <c r="A961" s="28">
        <v>46151</v>
      </c>
      <c r="B961" s="24">
        <v>24</v>
      </c>
      <c r="C961" t="s">
        <v>29</v>
      </c>
      <c r="D961" s="1" t="s">
        <v>78</v>
      </c>
      <c r="E961" s="1" t="s">
        <v>60</v>
      </c>
      <c r="F961" s="1">
        <v>1</v>
      </c>
      <c r="G961" s="33" t="e">
        <f>VLOOKUP(E961,ACTIVIDADES!A962:D974,2)</f>
        <v>#N/A</v>
      </c>
    </row>
    <row r="962" spans="1:7" x14ac:dyDescent="0.3">
      <c r="A962" s="28">
        <v>46151</v>
      </c>
      <c r="B962" s="24">
        <v>25</v>
      </c>
      <c r="C962" t="s">
        <v>30</v>
      </c>
      <c r="D962" s="1" t="s">
        <v>78</v>
      </c>
      <c r="E962" s="1" t="s">
        <v>60</v>
      </c>
      <c r="F962" s="1">
        <v>1</v>
      </c>
      <c r="G962" s="33" t="e">
        <f>VLOOKUP(E962,ACTIVIDADES!A963:D975,2)</f>
        <v>#N/A</v>
      </c>
    </row>
    <row r="963" spans="1:7" x14ac:dyDescent="0.3">
      <c r="A963" s="28">
        <v>46151</v>
      </c>
      <c r="B963" s="24">
        <v>26</v>
      </c>
      <c r="C963" t="s">
        <v>31</v>
      </c>
      <c r="D963" s="1" t="s">
        <v>78</v>
      </c>
      <c r="E963" s="1" t="s">
        <v>60</v>
      </c>
      <c r="F963" s="1">
        <v>1</v>
      </c>
      <c r="G963" s="33" t="e">
        <f>VLOOKUP(E963,ACTIVIDADES!A964:D976,2)</f>
        <v>#N/A</v>
      </c>
    </row>
    <row r="964" spans="1:7" x14ac:dyDescent="0.3">
      <c r="A964" s="28">
        <v>46151</v>
      </c>
      <c r="B964" s="24">
        <v>27</v>
      </c>
      <c r="C964" t="s">
        <v>32</v>
      </c>
      <c r="D964" s="1" t="s">
        <v>78</v>
      </c>
      <c r="E964" s="1" t="s">
        <v>60</v>
      </c>
      <c r="F964" s="1">
        <v>1</v>
      </c>
      <c r="G964" s="33" t="e">
        <f>VLOOKUP(E964,ACTIVIDADES!A965:D977,2)</f>
        <v>#N/A</v>
      </c>
    </row>
    <row r="965" spans="1:7" x14ac:dyDescent="0.3">
      <c r="A965" s="28">
        <v>46151</v>
      </c>
      <c r="B965" s="24">
        <v>28</v>
      </c>
      <c r="C965" t="s">
        <v>33</v>
      </c>
      <c r="D965" s="1" t="s">
        <v>78</v>
      </c>
      <c r="E965" s="1" t="s">
        <v>60</v>
      </c>
      <c r="F965" s="1">
        <v>1</v>
      </c>
      <c r="G965" s="33" t="e">
        <f>VLOOKUP(E965,ACTIVIDADES!A966:D978,2)</f>
        <v>#N/A</v>
      </c>
    </row>
    <row r="966" spans="1:7" x14ac:dyDescent="0.3">
      <c r="A966" s="28">
        <v>46151</v>
      </c>
      <c r="B966" s="24">
        <v>29</v>
      </c>
      <c r="C966" t="s">
        <v>34</v>
      </c>
      <c r="D966" s="1" t="s">
        <v>78</v>
      </c>
      <c r="E966" s="1" t="s">
        <v>60</v>
      </c>
      <c r="F966" s="1">
        <v>1</v>
      </c>
      <c r="G966" s="33" t="e">
        <f>VLOOKUP(E966,ACTIVIDADES!A967:D979,2)</f>
        <v>#N/A</v>
      </c>
    </row>
    <row r="967" spans="1:7" x14ac:dyDescent="0.3">
      <c r="A967" s="28">
        <v>46151</v>
      </c>
      <c r="B967" s="24">
        <v>30</v>
      </c>
      <c r="C967" t="s">
        <v>35</v>
      </c>
      <c r="D967" s="1" t="s">
        <v>78</v>
      </c>
      <c r="E967" s="1" t="s">
        <v>60</v>
      </c>
      <c r="F967" s="1">
        <v>1</v>
      </c>
      <c r="G967" s="33" t="e">
        <f>VLOOKUP(E967,ACTIVIDADES!A968:D980,2)</f>
        <v>#N/A</v>
      </c>
    </row>
    <row r="968" spans="1:7" x14ac:dyDescent="0.3">
      <c r="A968" s="28">
        <v>46151</v>
      </c>
      <c r="B968" s="24">
        <v>31</v>
      </c>
      <c r="C968" t="s">
        <v>9</v>
      </c>
      <c r="D968" s="1" t="s">
        <v>78</v>
      </c>
      <c r="E968" s="1" t="s">
        <v>60</v>
      </c>
      <c r="F968" s="1">
        <v>1</v>
      </c>
      <c r="G968" s="33" t="e">
        <f>VLOOKUP(E968,ACTIVIDADES!A969:D981,2)</f>
        <v>#N/A</v>
      </c>
    </row>
    <row r="969" spans="1:7" x14ac:dyDescent="0.3">
      <c r="A969" s="28">
        <v>46151</v>
      </c>
      <c r="B969" s="24">
        <v>32</v>
      </c>
      <c r="C969" t="s">
        <v>37</v>
      </c>
      <c r="D969" s="1" t="s">
        <v>78</v>
      </c>
      <c r="E969" s="1" t="s">
        <v>60</v>
      </c>
      <c r="F969" s="1">
        <v>1</v>
      </c>
      <c r="G969" s="33" t="e">
        <f>VLOOKUP(E969,ACTIVIDADES!A970:D982,2)</f>
        <v>#N/A</v>
      </c>
    </row>
    <row r="970" spans="1:7" x14ac:dyDescent="0.3">
      <c r="A970" s="28">
        <v>46151</v>
      </c>
      <c r="B970" s="24">
        <v>33</v>
      </c>
      <c r="C970" t="s">
        <v>7</v>
      </c>
      <c r="D970" s="1" t="s">
        <v>78</v>
      </c>
      <c r="E970" s="1" t="s">
        <v>60</v>
      </c>
      <c r="F970" s="1">
        <v>1</v>
      </c>
      <c r="G970" s="33" t="e">
        <f>VLOOKUP(E970,ACTIVIDADES!A971:D983,2)</f>
        <v>#N/A</v>
      </c>
    </row>
    <row r="971" spans="1:7" x14ac:dyDescent="0.3">
      <c r="A971" s="28">
        <v>46151</v>
      </c>
      <c r="B971" s="24">
        <v>34</v>
      </c>
      <c r="C971" t="s">
        <v>39</v>
      </c>
      <c r="D971" s="1" t="s">
        <v>78</v>
      </c>
      <c r="E971" s="1" t="s">
        <v>60</v>
      </c>
      <c r="F971" s="1">
        <v>1</v>
      </c>
      <c r="G971" s="33" t="e">
        <f>VLOOKUP(E971,ACTIVIDADES!A972:D984,2)</f>
        <v>#N/A</v>
      </c>
    </row>
    <row r="972" spans="1:7" x14ac:dyDescent="0.3">
      <c r="A972" s="28">
        <v>46151</v>
      </c>
      <c r="B972" s="24">
        <v>35</v>
      </c>
      <c r="C972" t="s">
        <v>40</v>
      </c>
      <c r="D972" s="1" t="s">
        <v>78</v>
      </c>
      <c r="E972" s="1" t="s">
        <v>60</v>
      </c>
      <c r="F972" s="1">
        <v>1</v>
      </c>
      <c r="G972" s="33" t="e">
        <f>VLOOKUP(E972,ACTIVIDADES!A973:D985,2)</f>
        <v>#N/A</v>
      </c>
    </row>
    <row r="973" spans="1:7" x14ac:dyDescent="0.3">
      <c r="A973" s="28">
        <v>46151</v>
      </c>
      <c r="B973" s="24">
        <v>36</v>
      </c>
      <c r="C973" t="s">
        <v>41</v>
      </c>
      <c r="D973" s="1" t="s">
        <v>78</v>
      </c>
      <c r="E973" s="1" t="s">
        <v>60</v>
      </c>
      <c r="F973" s="1">
        <v>1</v>
      </c>
      <c r="G973" s="33" t="e">
        <f>VLOOKUP(E973,ACTIVIDADES!A974:D986,2)</f>
        <v>#N/A</v>
      </c>
    </row>
    <row r="974" spans="1:7" x14ac:dyDescent="0.3">
      <c r="A974" s="28">
        <v>46151</v>
      </c>
      <c r="B974" s="24">
        <v>37</v>
      </c>
      <c r="C974" t="s">
        <v>42</v>
      </c>
      <c r="D974" s="1" t="s">
        <v>78</v>
      </c>
      <c r="E974" s="1" t="s">
        <v>60</v>
      </c>
      <c r="F974" s="1">
        <v>1</v>
      </c>
      <c r="G974" s="33" t="e">
        <f>VLOOKUP(E974,ACTIVIDADES!A975:D987,2)</f>
        <v>#N/A</v>
      </c>
    </row>
    <row r="975" spans="1:7" x14ac:dyDescent="0.3">
      <c r="A975" s="28">
        <v>46151</v>
      </c>
      <c r="B975" s="24">
        <v>38</v>
      </c>
      <c r="C975" t="s">
        <v>43</v>
      </c>
      <c r="D975" s="1" t="s">
        <v>78</v>
      </c>
      <c r="E975" s="1" t="s">
        <v>60</v>
      </c>
      <c r="F975" s="1">
        <v>1</v>
      </c>
      <c r="G975" s="33" t="e">
        <f>VLOOKUP(E975,ACTIVIDADES!A976:D988,2)</f>
        <v>#N/A</v>
      </c>
    </row>
    <row r="976" spans="1:7" x14ac:dyDescent="0.3">
      <c r="A976" s="28">
        <v>46151</v>
      </c>
      <c r="B976" s="24">
        <v>39</v>
      </c>
      <c r="C976" t="s">
        <v>44</v>
      </c>
      <c r="D976" s="1" t="s">
        <v>78</v>
      </c>
      <c r="E976" s="1" t="s">
        <v>60</v>
      </c>
      <c r="F976" s="1">
        <v>1</v>
      </c>
      <c r="G976" s="33" t="e">
        <f>VLOOKUP(E976,ACTIVIDADES!A977:D989,2)</f>
        <v>#N/A</v>
      </c>
    </row>
    <row r="977" spans="1:7" x14ac:dyDescent="0.3">
      <c r="A977" s="28">
        <v>46153</v>
      </c>
      <c r="B977" s="24">
        <v>1</v>
      </c>
      <c r="C977" s="29" t="s">
        <v>6</v>
      </c>
      <c r="D977" s="1" t="s">
        <v>49</v>
      </c>
      <c r="E977" s="1" t="s">
        <v>49</v>
      </c>
      <c r="F977" s="1">
        <v>1</v>
      </c>
      <c r="G977" s="33" t="e">
        <f>VLOOKUP(E977,ACTIVIDADES!A978:D990,2)</f>
        <v>#N/A</v>
      </c>
    </row>
    <row r="978" spans="1:7" x14ac:dyDescent="0.3">
      <c r="A978" s="28">
        <v>46153</v>
      </c>
      <c r="B978" s="24">
        <v>2</v>
      </c>
      <c r="C978" s="29" t="s">
        <v>10</v>
      </c>
      <c r="D978" s="1" t="s">
        <v>49</v>
      </c>
      <c r="E978" s="1" t="s">
        <v>49</v>
      </c>
      <c r="F978" s="1">
        <v>1</v>
      </c>
      <c r="G978" s="33" t="e">
        <f>VLOOKUP(E978,ACTIVIDADES!A979:D991,2)</f>
        <v>#N/A</v>
      </c>
    </row>
    <row r="979" spans="1:7" x14ac:dyDescent="0.3">
      <c r="A979" s="28">
        <v>46153</v>
      </c>
      <c r="B979" s="24">
        <v>3</v>
      </c>
      <c r="C979" s="29" t="s">
        <v>22</v>
      </c>
      <c r="D979" s="1" t="s">
        <v>48</v>
      </c>
      <c r="E979" s="1" t="s">
        <v>48</v>
      </c>
      <c r="F979" s="1">
        <v>1</v>
      </c>
      <c r="G979" s="33" t="e">
        <f>VLOOKUP(E979,ACTIVIDADES!A980:D992,2)</f>
        <v>#N/A</v>
      </c>
    </row>
    <row r="980" spans="1:7" x14ac:dyDescent="0.3">
      <c r="A980" s="28">
        <v>46153</v>
      </c>
      <c r="B980" s="24">
        <v>4</v>
      </c>
      <c r="C980" s="29" t="s">
        <v>36</v>
      </c>
      <c r="D980" s="1" t="s">
        <v>51</v>
      </c>
      <c r="E980" s="1" t="s">
        <v>50</v>
      </c>
      <c r="F980" s="1">
        <v>1</v>
      </c>
      <c r="G980" s="33" t="e">
        <f>VLOOKUP(E980,ACTIVIDADES!A981:D993,2)</f>
        <v>#N/A</v>
      </c>
    </row>
    <row r="981" spans="1:7" x14ac:dyDescent="0.3">
      <c r="A981" s="28">
        <v>46153</v>
      </c>
      <c r="B981" s="24">
        <v>5</v>
      </c>
      <c r="C981" s="29" t="s">
        <v>38</v>
      </c>
      <c r="D981" s="1" t="s">
        <v>51</v>
      </c>
      <c r="E981" s="1" t="s">
        <v>50</v>
      </c>
      <c r="F981" s="1">
        <v>1</v>
      </c>
      <c r="G981" s="33" t="e">
        <f>VLOOKUP(E981,ACTIVIDADES!A982:D994,2)</f>
        <v>#N/A</v>
      </c>
    </row>
    <row r="982" spans="1:7" x14ac:dyDescent="0.3">
      <c r="A982" s="28">
        <v>46153</v>
      </c>
      <c r="B982" s="24">
        <v>6</v>
      </c>
      <c r="C982" t="s">
        <v>80</v>
      </c>
      <c r="D982" t="s">
        <v>113</v>
      </c>
      <c r="E982" t="s">
        <v>75</v>
      </c>
      <c r="F982">
        <v>1</v>
      </c>
      <c r="G982" s="33" t="e">
        <f>VLOOKUP(E982,ACTIVIDADES!A983:D995,2)</f>
        <v>#N/A</v>
      </c>
    </row>
    <row r="983" spans="1:7" x14ac:dyDescent="0.3">
      <c r="A983" s="28">
        <v>46153</v>
      </c>
      <c r="B983" s="24">
        <v>7</v>
      </c>
      <c r="C983" t="s">
        <v>81</v>
      </c>
      <c r="D983" t="s">
        <v>114</v>
      </c>
      <c r="E983" t="s">
        <v>60</v>
      </c>
      <c r="F983">
        <v>1</v>
      </c>
      <c r="G983" s="33" t="e">
        <f>VLOOKUP(E983,ACTIVIDADES!A984:D996,2)</f>
        <v>#N/A</v>
      </c>
    </row>
    <row r="984" spans="1:7" x14ac:dyDescent="0.3">
      <c r="A984" s="28">
        <v>46153</v>
      </c>
      <c r="B984" s="24">
        <v>8</v>
      </c>
      <c r="C984" t="s">
        <v>82</v>
      </c>
      <c r="D984" t="s">
        <v>114</v>
      </c>
      <c r="E984" t="s">
        <v>60</v>
      </c>
      <c r="F984">
        <v>1</v>
      </c>
      <c r="G984" s="33" t="e">
        <f>VLOOKUP(E984,ACTIVIDADES!A985:D997,2)</f>
        <v>#N/A</v>
      </c>
    </row>
    <row r="985" spans="1:7" x14ac:dyDescent="0.3">
      <c r="A985" s="28">
        <v>46153</v>
      </c>
      <c r="B985" s="24">
        <v>9</v>
      </c>
      <c r="C985" t="s">
        <v>83</v>
      </c>
      <c r="D985" t="s">
        <v>113</v>
      </c>
      <c r="E985" t="s">
        <v>75</v>
      </c>
      <c r="F985">
        <v>1</v>
      </c>
      <c r="G985" s="33" t="e">
        <f>VLOOKUP(E985,ACTIVIDADES!A986:D998,2)</f>
        <v>#N/A</v>
      </c>
    </row>
    <row r="986" spans="1:7" x14ac:dyDescent="0.3">
      <c r="A986" s="28">
        <v>46153</v>
      </c>
      <c r="B986" s="24">
        <v>10</v>
      </c>
      <c r="C986" t="s">
        <v>84</v>
      </c>
      <c r="D986" t="s">
        <v>113</v>
      </c>
      <c r="E986" t="s">
        <v>75</v>
      </c>
      <c r="F986">
        <v>1</v>
      </c>
      <c r="G986" s="33" t="e">
        <f>VLOOKUP(E986,ACTIVIDADES!A987:D999,2)</f>
        <v>#N/A</v>
      </c>
    </row>
    <row r="987" spans="1:7" x14ac:dyDescent="0.3">
      <c r="A987" s="28">
        <v>46153</v>
      </c>
      <c r="B987" s="24">
        <v>11</v>
      </c>
      <c r="C987" t="s">
        <v>85</v>
      </c>
      <c r="D987" t="s">
        <v>114</v>
      </c>
      <c r="E987" t="s">
        <v>60</v>
      </c>
      <c r="F987">
        <v>1</v>
      </c>
      <c r="G987" s="33" t="e">
        <f>VLOOKUP(E987,ACTIVIDADES!A988:D1000,2)</f>
        <v>#N/A</v>
      </c>
    </row>
    <row r="988" spans="1:7" x14ac:dyDescent="0.3">
      <c r="A988" s="28">
        <v>46153</v>
      </c>
      <c r="B988" s="24">
        <v>12</v>
      </c>
      <c r="C988" t="s">
        <v>86</v>
      </c>
      <c r="D988" t="s">
        <v>114</v>
      </c>
      <c r="E988" t="s">
        <v>60</v>
      </c>
      <c r="F988">
        <v>1</v>
      </c>
      <c r="G988" s="33" t="e">
        <f>VLOOKUP(E988,ACTIVIDADES!A989:D1001,2)</f>
        <v>#N/A</v>
      </c>
    </row>
    <row r="989" spans="1:7" x14ac:dyDescent="0.3">
      <c r="A989" s="28">
        <v>46153</v>
      </c>
      <c r="B989" s="24">
        <v>13</v>
      </c>
      <c r="C989" t="s">
        <v>87</v>
      </c>
      <c r="D989" t="s">
        <v>114</v>
      </c>
      <c r="E989" t="s">
        <v>60</v>
      </c>
      <c r="F989">
        <v>1</v>
      </c>
      <c r="G989" s="33" t="e">
        <f>VLOOKUP(E989,ACTIVIDADES!A990:D1002,2)</f>
        <v>#N/A</v>
      </c>
    </row>
    <row r="990" spans="1:7" x14ac:dyDescent="0.3">
      <c r="A990" s="28">
        <v>46153</v>
      </c>
      <c r="B990" s="24">
        <v>14</v>
      </c>
      <c r="C990" t="s">
        <v>88</v>
      </c>
      <c r="D990" t="s">
        <v>114</v>
      </c>
      <c r="E990" t="s">
        <v>60</v>
      </c>
      <c r="F990">
        <v>1</v>
      </c>
      <c r="G990" s="33" t="e">
        <f>VLOOKUP(E990,ACTIVIDADES!A991:D1003,2)</f>
        <v>#N/A</v>
      </c>
    </row>
    <row r="991" spans="1:7" x14ac:dyDescent="0.3">
      <c r="A991" s="28">
        <v>46153</v>
      </c>
      <c r="B991" s="24">
        <v>15</v>
      </c>
      <c r="C991" t="s">
        <v>89</v>
      </c>
      <c r="D991" t="s">
        <v>114</v>
      </c>
      <c r="E991" t="s">
        <v>60</v>
      </c>
      <c r="F991">
        <v>1</v>
      </c>
      <c r="G991" s="33" t="e">
        <f>VLOOKUP(E991,ACTIVIDADES!A992:D1004,2)</f>
        <v>#N/A</v>
      </c>
    </row>
    <row r="992" spans="1:7" x14ac:dyDescent="0.3">
      <c r="A992" s="28">
        <v>46153</v>
      </c>
      <c r="B992" s="24">
        <v>16</v>
      </c>
      <c r="C992" t="s">
        <v>90</v>
      </c>
      <c r="D992" t="s">
        <v>114</v>
      </c>
      <c r="E992" t="s">
        <v>60</v>
      </c>
      <c r="F992">
        <v>1</v>
      </c>
      <c r="G992" s="33" t="e">
        <f>VLOOKUP(E992,ACTIVIDADES!A993:D1005,2)</f>
        <v>#N/A</v>
      </c>
    </row>
    <row r="993" spans="1:7" x14ac:dyDescent="0.3">
      <c r="A993" s="28">
        <v>46153</v>
      </c>
      <c r="B993" s="24">
        <v>17</v>
      </c>
      <c r="C993" t="s">
        <v>91</v>
      </c>
      <c r="D993" t="s">
        <v>114</v>
      </c>
      <c r="E993" t="s">
        <v>60</v>
      </c>
      <c r="F993">
        <v>1</v>
      </c>
      <c r="G993" s="33" t="e">
        <f>VLOOKUP(E993,ACTIVIDADES!A994:D1006,2)</f>
        <v>#N/A</v>
      </c>
    </row>
    <row r="994" spans="1:7" x14ac:dyDescent="0.3">
      <c r="A994" s="28">
        <v>46153</v>
      </c>
      <c r="B994" s="24">
        <v>18</v>
      </c>
      <c r="C994" t="s">
        <v>23</v>
      </c>
      <c r="D994" t="s">
        <v>114</v>
      </c>
      <c r="E994" t="s">
        <v>60</v>
      </c>
      <c r="F994">
        <v>1</v>
      </c>
      <c r="G994" s="33" t="e">
        <f>VLOOKUP(E994,ACTIVIDADES!A995:D1007,2)</f>
        <v>#N/A</v>
      </c>
    </row>
    <row r="995" spans="1:7" x14ac:dyDescent="0.3">
      <c r="A995" s="28">
        <v>46153</v>
      </c>
      <c r="B995" s="24">
        <v>19</v>
      </c>
      <c r="C995" t="s">
        <v>92</v>
      </c>
      <c r="D995" t="s">
        <v>114</v>
      </c>
      <c r="E995" t="s">
        <v>60</v>
      </c>
      <c r="F995">
        <v>1</v>
      </c>
      <c r="G995" s="33" t="e">
        <f>VLOOKUP(E995,ACTIVIDADES!A996:D1008,2)</f>
        <v>#N/A</v>
      </c>
    </row>
    <row r="996" spans="1:7" x14ac:dyDescent="0.3">
      <c r="A996" s="28">
        <v>46153</v>
      </c>
      <c r="B996" s="24">
        <v>20</v>
      </c>
      <c r="C996" t="s">
        <v>93</v>
      </c>
      <c r="D996" t="s">
        <v>113</v>
      </c>
      <c r="E996" t="s">
        <v>75</v>
      </c>
      <c r="F996">
        <v>1</v>
      </c>
      <c r="G996" s="33" t="e">
        <f>VLOOKUP(E996,ACTIVIDADES!A997:D1009,2)</f>
        <v>#N/A</v>
      </c>
    </row>
    <row r="997" spans="1:7" x14ac:dyDescent="0.3">
      <c r="A997" s="28">
        <v>46153</v>
      </c>
      <c r="B997" s="24">
        <v>21</v>
      </c>
      <c r="C997" t="s">
        <v>94</v>
      </c>
      <c r="D997" t="s">
        <v>114</v>
      </c>
      <c r="E997" t="s">
        <v>60</v>
      </c>
      <c r="F997">
        <v>1</v>
      </c>
      <c r="G997" s="33" t="e">
        <f>VLOOKUP(E997,ACTIVIDADES!A998:D1010,2)</f>
        <v>#N/A</v>
      </c>
    </row>
    <row r="998" spans="1:7" x14ac:dyDescent="0.3">
      <c r="A998" s="28">
        <v>46153</v>
      </c>
      <c r="B998" s="24">
        <v>22</v>
      </c>
      <c r="C998" t="s">
        <v>95</v>
      </c>
      <c r="D998" t="s">
        <v>114</v>
      </c>
      <c r="E998" t="s">
        <v>60</v>
      </c>
      <c r="F998">
        <v>1</v>
      </c>
      <c r="G998" s="33" t="e">
        <f>VLOOKUP(E998,ACTIVIDADES!A999:D1011,2)</f>
        <v>#N/A</v>
      </c>
    </row>
    <row r="999" spans="1:7" x14ac:dyDescent="0.3">
      <c r="A999" s="28">
        <v>46153</v>
      </c>
      <c r="B999" s="24">
        <v>23</v>
      </c>
      <c r="C999" t="s">
        <v>96</v>
      </c>
      <c r="D999" t="s">
        <v>114</v>
      </c>
      <c r="E999" t="s">
        <v>60</v>
      </c>
      <c r="F999">
        <v>1</v>
      </c>
      <c r="G999" s="33" t="e">
        <f>VLOOKUP(E999,ACTIVIDADES!A1000:D1012,2)</f>
        <v>#N/A</v>
      </c>
    </row>
    <row r="1000" spans="1:7" x14ac:dyDescent="0.3">
      <c r="A1000" s="28">
        <v>46153</v>
      </c>
      <c r="B1000" s="24">
        <v>24</v>
      </c>
      <c r="C1000" t="s">
        <v>97</v>
      </c>
      <c r="D1000" t="s">
        <v>114</v>
      </c>
      <c r="E1000" t="s">
        <v>65</v>
      </c>
      <c r="F1000">
        <v>1</v>
      </c>
      <c r="G1000" s="33" t="e">
        <f>VLOOKUP(E1000,ACTIVIDADES!A1001:D1013,2)</f>
        <v>#N/A</v>
      </c>
    </row>
    <row r="1001" spans="1:7" x14ac:dyDescent="0.3">
      <c r="A1001" s="28">
        <v>46153</v>
      </c>
      <c r="B1001" s="24">
        <v>25</v>
      </c>
      <c r="C1001" t="s">
        <v>98</v>
      </c>
      <c r="D1001" t="s">
        <v>114</v>
      </c>
      <c r="E1001" t="s">
        <v>65</v>
      </c>
      <c r="F1001">
        <v>1</v>
      </c>
      <c r="G1001" s="33" t="e">
        <f>VLOOKUP(E1001,ACTIVIDADES!A1002:D1014,2)</f>
        <v>#N/A</v>
      </c>
    </row>
    <row r="1002" spans="1:7" x14ac:dyDescent="0.3">
      <c r="A1002" s="28">
        <v>46153</v>
      </c>
      <c r="B1002" s="24">
        <v>26</v>
      </c>
      <c r="C1002" t="s">
        <v>99</v>
      </c>
      <c r="D1002" t="s">
        <v>114</v>
      </c>
      <c r="E1002" t="s">
        <v>60</v>
      </c>
      <c r="F1002">
        <v>1</v>
      </c>
      <c r="G1002" s="33" t="e">
        <f>VLOOKUP(E1002,ACTIVIDADES!A1003:D1015,2)</f>
        <v>#N/A</v>
      </c>
    </row>
    <row r="1003" spans="1:7" x14ac:dyDescent="0.3">
      <c r="A1003" s="28">
        <v>46153</v>
      </c>
      <c r="B1003" s="24">
        <v>27</v>
      </c>
      <c r="C1003" t="s">
        <v>100</v>
      </c>
      <c r="D1003" t="s">
        <v>113</v>
      </c>
      <c r="E1003" t="s">
        <v>75</v>
      </c>
      <c r="F1003">
        <v>1</v>
      </c>
      <c r="G1003" s="33" t="e">
        <f>VLOOKUP(E1003,ACTIVIDADES!A1004:D1016,2)</f>
        <v>#N/A</v>
      </c>
    </row>
    <row r="1004" spans="1:7" x14ac:dyDescent="0.3">
      <c r="A1004" s="28">
        <v>46153</v>
      </c>
      <c r="B1004" s="24">
        <v>28</v>
      </c>
      <c r="C1004" t="s">
        <v>101</v>
      </c>
      <c r="D1004" t="s">
        <v>113</v>
      </c>
      <c r="E1004" t="s">
        <v>75</v>
      </c>
      <c r="F1004">
        <v>1</v>
      </c>
      <c r="G1004" s="33" t="e">
        <f>VLOOKUP(E1004,ACTIVIDADES!A1005:D1017,2)</f>
        <v>#N/A</v>
      </c>
    </row>
    <row r="1005" spans="1:7" x14ac:dyDescent="0.3">
      <c r="A1005" s="28">
        <v>46153</v>
      </c>
      <c r="B1005" s="24">
        <v>29</v>
      </c>
      <c r="C1005" t="s">
        <v>102</v>
      </c>
      <c r="G1005" s="33" t="e">
        <f>VLOOKUP(E1005,ACTIVIDADES!A1006:D1018,2)</f>
        <v>#N/A</v>
      </c>
    </row>
    <row r="1006" spans="1:7" x14ac:dyDescent="0.3">
      <c r="A1006" s="28">
        <v>46153</v>
      </c>
      <c r="B1006" s="24">
        <v>30</v>
      </c>
      <c r="C1006" t="s">
        <v>103</v>
      </c>
      <c r="D1006" t="s">
        <v>113</v>
      </c>
      <c r="E1006" t="s">
        <v>75</v>
      </c>
      <c r="F1006">
        <v>1</v>
      </c>
      <c r="G1006" s="33" t="e">
        <f>VLOOKUP(E1006,ACTIVIDADES!A1007:D1019,2)</f>
        <v>#N/A</v>
      </c>
    </row>
    <row r="1007" spans="1:7" x14ac:dyDescent="0.3">
      <c r="A1007" s="28">
        <v>46153</v>
      </c>
      <c r="B1007" s="24">
        <v>31</v>
      </c>
      <c r="C1007" t="s">
        <v>104</v>
      </c>
      <c r="D1007" t="s">
        <v>114</v>
      </c>
      <c r="E1007" t="s">
        <v>60</v>
      </c>
      <c r="F1007">
        <v>1</v>
      </c>
      <c r="G1007" s="33" t="e">
        <f>VLOOKUP(E1007,ACTIVIDADES!A1008:D1020,2)</f>
        <v>#N/A</v>
      </c>
    </row>
    <row r="1008" spans="1:7" x14ac:dyDescent="0.3">
      <c r="A1008" s="28">
        <v>46153</v>
      </c>
      <c r="B1008" s="24">
        <v>32</v>
      </c>
      <c r="C1008" t="s">
        <v>105</v>
      </c>
      <c r="D1008" t="s">
        <v>114</v>
      </c>
      <c r="E1008" t="s">
        <v>60</v>
      </c>
      <c r="F1008">
        <v>1</v>
      </c>
      <c r="G1008" s="33" t="e">
        <f>VLOOKUP(E1008,ACTIVIDADES!A1009:D1021,2)</f>
        <v>#N/A</v>
      </c>
    </row>
    <row r="1009" spans="1:7" x14ac:dyDescent="0.3">
      <c r="A1009" s="28">
        <v>46153</v>
      </c>
      <c r="B1009" s="24">
        <v>33</v>
      </c>
      <c r="C1009" t="s">
        <v>106</v>
      </c>
      <c r="D1009" t="s">
        <v>114</v>
      </c>
      <c r="E1009" t="s">
        <v>60</v>
      </c>
      <c r="F1009">
        <v>1</v>
      </c>
      <c r="G1009" s="33" t="e">
        <f>VLOOKUP(E1009,ACTIVIDADES!A1010:D1022,2)</f>
        <v>#N/A</v>
      </c>
    </row>
    <row r="1010" spans="1:7" x14ac:dyDescent="0.3">
      <c r="A1010" s="28">
        <v>46153</v>
      </c>
      <c r="B1010" s="24">
        <v>34</v>
      </c>
      <c r="C1010" t="s">
        <v>107</v>
      </c>
      <c r="D1010" t="s">
        <v>114</v>
      </c>
      <c r="E1010" t="s">
        <v>60</v>
      </c>
      <c r="F1010">
        <v>1</v>
      </c>
      <c r="G1010" s="33" t="e">
        <f>VLOOKUP(E1010,ACTIVIDADES!A1011:D1023,2)</f>
        <v>#N/A</v>
      </c>
    </row>
    <row r="1011" spans="1:7" x14ac:dyDescent="0.3">
      <c r="A1011" s="28">
        <v>46153</v>
      </c>
      <c r="B1011" s="24">
        <v>35</v>
      </c>
      <c r="C1011" t="s">
        <v>108</v>
      </c>
      <c r="D1011" t="s">
        <v>114</v>
      </c>
      <c r="E1011" t="s">
        <v>60</v>
      </c>
      <c r="F1011">
        <v>1</v>
      </c>
      <c r="G1011" s="33" t="e">
        <f>VLOOKUP(E1011,ACTIVIDADES!A1012:D1024,2)</f>
        <v>#N/A</v>
      </c>
    </row>
    <row r="1012" spans="1:7" x14ac:dyDescent="0.3">
      <c r="A1012" s="28">
        <v>46153</v>
      </c>
      <c r="B1012" s="24">
        <v>36</v>
      </c>
      <c r="C1012" t="s">
        <v>109</v>
      </c>
      <c r="D1012" t="s">
        <v>114</v>
      </c>
      <c r="E1012" t="s">
        <v>60</v>
      </c>
      <c r="F1012">
        <v>1</v>
      </c>
      <c r="G1012" s="33" t="e">
        <f>VLOOKUP(E1012,ACTIVIDADES!A1013:D1025,2)</f>
        <v>#N/A</v>
      </c>
    </row>
    <row r="1013" spans="1:7" x14ac:dyDescent="0.3">
      <c r="A1013" s="28">
        <v>46153</v>
      </c>
      <c r="B1013" s="24">
        <v>37</v>
      </c>
      <c r="C1013" t="s">
        <v>110</v>
      </c>
      <c r="D1013" t="s">
        <v>113</v>
      </c>
      <c r="E1013" t="s">
        <v>75</v>
      </c>
      <c r="F1013">
        <v>1</v>
      </c>
      <c r="G1013" s="33" t="e">
        <f>VLOOKUP(E1013,ACTIVIDADES!A1014:D1026,2)</f>
        <v>#N/A</v>
      </c>
    </row>
    <row r="1014" spans="1:7" x14ac:dyDescent="0.3">
      <c r="A1014" s="28">
        <v>46153</v>
      </c>
      <c r="B1014" s="24">
        <v>38</v>
      </c>
      <c r="C1014" t="s">
        <v>111</v>
      </c>
      <c r="D1014" t="s">
        <v>113</v>
      </c>
      <c r="E1014" t="s">
        <v>75</v>
      </c>
      <c r="F1014">
        <v>1</v>
      </c>
      <c r="G1014" s="33" t="e">
        <f>VLOOKUP(E1014,ACTIVIDADES!A1015:D1027,2)</f>
        <v>#N/A</v>
      </c>
    </row>
    <row r="1015" spans="1:7" x14ac:dyDescent="0.3">
      <c r="A1015" s="28">
        <v>46153</v>
      </c>
      <c r="B1015" s="24">
        <v>39</v>
      </c>
      <c r="C1015" t="s">
        <v>112</v>
      </c>
      <c r="D1015" t="s">
        <v>113</v>
      </c>
      <c r="E1015" t="s">
        <v>75</v>
      </c>
      <c r="F1015">
        <v>1</v>
      </c>
      <c r="G1015" s="33" t="e">
        <f>VLOOKUP(E1015,ACTIVIDADES!A1016:D1028,2)</f>
        <v>#N/A</v>
      </c>
    </row>
    <row r="1016" spans="1:7" x14ac:dyDescent="0.3">
      <c r="A1016" s="28">
        <v>46154</v>
      </c>
      <c r="B1016" s="24">
        <v>1</v>
      </c>
      <c r="C1016" s="29" t="s">
        <v>6</v>
      </c>
      <c r="D1016" s="1" t="s">
        <v>49</v>
      </c>
      <c r="E1016" s="1" t="s">
        <v>49</v>
      </c>
      <c r="F1016" s="1">
        <v>1</v>
      </c>
      <c r="G1016" s="33" t="e">
        <f>VLOOKUP(E1016,ACTIVIDADES!A1017:D1029,2)</f>
        <v>#N/A</v>
      </c>
    </row>
    <row r="1017" spans="1:7" x14ac:dyDescent="0.3">
      <c r="A1017" s="28">
        <v>46154</v>
      </c>
      <c r="B1017" s="24">
        <v>2</v>
      </c>
      <c r="C1017" s="29" t="s">
        <v>10</v>
      </c>
      <c r="D1017" s="1" t="s">
        <v>49</v>
      </c>
      <c r="E1017" s="1" t="s">
        <v>49</v>
      </c>
      <c r="F1017" s="1">
        <v>1</v>
      </c>
      <c r="G1017" s="33" t="e">
        <f>VLOOKUP(E1017,ACTIVIDADES!A1018:D1030,2)</f>
        <v>#N/A</v>
      </c>
    </row>
    <row r="1018" spans="1:7" x14ac:dyDescent="0.3">
      <c r="A1018" s="28">
        <v>46154</v>
      </c>
      <c r="B1018" s="24">
        <v>3</v>
      </c>
      <c r="C1018" s="29" t="s">
        <v>22</v>
      </c>
      <c r="D1018" s="1" t="s">
        <v>48</v>
      </c>
      <c r="E1018" s="1" t="s">
        <v>48</v>
      </c>
      <c r="F1018" s="1">
        <v>1</v>
      </c>
      <c r="G1018" s="33" t="e">
        <f>VLOOKUP(E1018,ACTIVIDADES!A1019:D1031,2)</f>
        <v>#N/A</v>
      </c>
    </row>
    <row r="1019" spans="1:7" x14ac:dyDescent="0.3">
      <c r="A1019" s="28">
        <v>46154</v>
      </c>
      <c r="B1019" s="24">
        <v>4</v>
      </c>
      <c r="C1019" s="29" t="s">
        <v>36</v>
      </c>
      <c r="D1019" s="1" t="s">
        <v>51</v>
      </c>
      <c r="E1019" s="1" t="s">
        <v>50</v>
      </c>
      <c r="F1019" s="1">
        <v>1</v>
      </c>
      <c r="G1019" s="33" t="e">
        <f>VLOOKUP(E1019,ACTIVIDADES!A1020:D1032,2)</f>
        <v>#N/A</v>
      </c>
    </row>
    <row r="1020" spans="1:7" x14ac:dyDescent="0.3">
      <c r="A1020" s="28">
        <v>46154</v>
      </c>
      <c r="B1020" s="24">
        <v>5</v>
      </c>
      <c r="C1020" s="29" t="s">
        <v>38</v>
      </c>
      <c r="D1020" s="1" t="s">
        <v>51</v>
      </c>
      <c r="E1020" s="1" t="s">
        <v>50</v>
      </c>
      <c r="F1020" s="1">
        <v>1</v>
      </c>
      <c r="G1020" s="33" t="e">
        <f>VLOOKUP(E1020,ACTIVIDADES!A1021:D1033,2)</f>
        <v>#N/A</v>
      </c>
    </row>
    <row r="1021" spans="1:7" x14ac:dyDescent="0.3">
      <c r="A1021" s="28">
        <v>46154</v>
      </c>
      <c r="B1021" s="24">
        <v>6</v>
      </c>
      <c r="C1021" t="s">
        <v>80</v>
      </c>
      <c r="D1021" t="s">
        <v>114</v>
      </c>
      <c r="E1021" t="s">
        <v>60</v>
      </c>
      <c r="F1021">
        <v>1</v>
      </c>
      <c r="G1021" s="33" t="e">
        <f>VLOOKUP(E1021,ACTIVIDADES!A1022:D1034,2)</f>
        <v>#N/A</v>
      </c>
    </row>
    <row r="1022" spans="1:7" x14ac:dyDescent="0.3">
      <c r="A1022" s="28">
        <v>46154</v>
      </c>
      <c r="B1022" s="24">
        <v>7</v>
      </c>
      <c r="C1022" t="s">
        <v>81</v>
      </c>
      <c r="D1022" t="s">
        <v>114</v>
      </c>
      <c r="E1022" t="s">
        <v>60</v>
      </c>
      <c r="F1022">
        <v>1</v>
      </c>
      <c r="G1022" s="33" t="e">
        <f>VLOOKUP(E1022,ACTIVIDADES!A1023:D1035,2)</f>
        <v>#N/A</v>
      </c>
    </row>
    <row r="1023" spans="1:7" x14ac:dyDescent="0.3">
      <c r="A1023" s="28">
        <v>46154</v>
      </c>
      <c r="B1023" s="24">
        <v>8</v>
      </c>
      <c r="C1023" t="s">
        <v>82</v>
      </c>
      <c r="D1023" t="s">
        <v>114</v>
      </c>
      <c r="E1023" t="s">
        <v>60</v>
      </c>
      <c r="F1023">
        <v>1</v>
      </c>
      <c r="G1023" s="33" t="e">
        <f>VLOOKUP(E1023,ACTIVIDADES!A1024:D1036,2)</f>
        <v>#N/A</v>
      </c>
    </row>
    <row r="1024" spans="1:7" x14ac:dyDescent="0.3">
      <c r="A1024" s="28">
        <v>46154</v>
      </c>
      <c r="B1024" s="24">
        <v>9</v>
      </c>
      <c r="C1024" t="s">
        <v>83</v>
      </c>
      <c r="D1024" t="s">
        <v>113</v>
      </c>
      <c r="E1024" t="s">
        <v>75</v>
      </c>
      <c r="F1024">
        <v>1</v>
      </c>
      <c r="G1024" s="33" t="e">
        <f>VLOOKUP(E1024,ACTIVIDADES!A1025:D1037,2)</f>
        <v>#N/A</v>
      </c>
    </row>
    <row r="1025" spans="1:7" x14ac:dyDescent="0.3">
      <c r="A1025" s="28">
        <v>46154</v>
      </c>
      <c r="B1025" s="24">
        <v>10</v>
      </c>
      <c r="C1025" t="s">
        <v>84</v>
      </c>
      <c r="D1025" t="s">
        <v>113</v>
      </c>
      <c r="E1025" t="s">
        <v>75</v>
      </c>
      <c r="F1025">
        <v>1</v>
      </c>
      <c r="G1025" s="33" t="e">
        <f>VLOOKUP(E1025,ACTIVIDADES!A1026:D1038,2)</f>
        <v>#N/A</v>
      </c>
    </row>
    <row r="1026" spans="1:7" x14ac:dyDescent="0.3">
      <c r="A1026" s="28">
        <v>46154</v>
      </c>
      <c r="B1026" s="24">
        <v>11</v>
      </c>
      <c r="C1026" t="s">
        <v>85</v>
      </c>
      <c r="D1026" t="s">
        <v>114</v>
      </c>
      <c r="E1026" t="s">
        <v>60</v>
      </c>
      <c r="F1026">
        <v>1</v>
      </c>
      <c r="G1026" s="33" t="e">
        <f>VLOOKUP(E1026,ACTIVIDADES!A1027:D1039,2)</f>
        <v>#N/A</v>
      </c>
    </row>
    <row r="1027" spans="1:7" x14ac:dyDescent="0.3">
      <c r="A1027" s="28">
        <v>46154</v>
      </c>
      <c r="B1027" s="24">
        <v>12</v>
      </c>
      <c r="C1027" t="s">
        <v>86</v>
      </c>
      <c r="D1027" t="s">
        <v>114</v>
      </c>
      <c r="E1027" t="s">
        <v>60</v>
      </c>
      <c r="F1027">
        <v>1</v>
      </c>
      <c r="G1027" s="33" t="e">
        <f>VLOOKUP(E1027,ACTIVIDADES!A1028:D1040,2)</f>
        <v>#N/A</v>
      </c>
    </row>
    <row r="1028" spans="1:7" x14ac:dyDescent="0.3">
      <c r="A1028" s="28">
        <v>46154</v>
      </c>
      <c r="B1028" s="24">
        <v>13</v>
      </c>
      <c r="C1028" t="s">
        <v>87</v>
      </c>
      <c r="D1028" t="s">
        <v>114</v>
      </c>
      <c r="E1028" t="s">
        <v>60</v>
      </c>
      <c r="F1028">
        <v>1</v>
      </c>
      <c r="G1028" s="33" t="e">
        <f>VLOOKUP(E1028,ACTIVIDADES!A1029:D1041,2)</f>
        <v>#N/A</v>
      </c>
    </row>
    <row r="1029" spans="1:7" x14ac:dyDescent="0.3">
      <c r="A1029" s="28">
        <v>46154</v>
      </c>
      <c r="B1029" s="24">
        <v>14</v>
      </c>
      <c r="C1029" t="s">
        <v>88</v>
      </c>
      <c r="D1029" t="s">
        <v>114</v>
      </c>
      <c r="E1029" t="s">
        <v>60</v>
      </c>
      <c r="F1029">
        <v>1</v>
      </c>
      <c r="G1029" s="33" t="e">
        <f>VLOOKUP(E1029,ACTIVIDADES!A1030:D1042,2)</f>
        <v>#N/A</v>
      </c>
    </row>
    <row r="1030" spans="1:7" x14ac:dyDescent="0.3">
      <c r="A1030" s="28">
        <v>46154</v>
      </c>
      <c r="B1030" s="24">
        <v>15</v>
      </c>
      <c r="C1030" t="s">
        <v>89</v>
      </c>
      <c r="D1030" t="s">
        <v>114</v>
      </c>
      <c r="E1030" t="s">
        <v>60</v>
      </c>
      <c r="F1030">
        <v>1</v>
      </c>
      <c r="G1030" s="33" t="e">
        <f>VLOOKUP(E1030,ACTIVIDADES!A1031:D1043,2)</f>
        <v>#N/A</v>
      </c>
    </row>
    <row r="1031" spans="1:7" x14ac:dyDescent="0.3">
      <c r="A1031" s="28">
        <v>46154</v>
      </c>
      <c r="B1031" s="24">
        <v>16</v>
      </c>
      <c r="C1031" t="s">
        <v>90</v>
      </c>
      <c r="D1031" t="s">
        <v>115</v>
      </c>
      <c r="E1031" t="s">
        <v>116</v>
      </c>
      <c r="F1031">
        <v>1</v>
      </c>
      <c r="G1031" s="33" t="e">
        <f>VLOOKUP(E1031,ACTIVIDADES!A1032:D1044,2)</f>
        <v>#N/A</v>
      </c>
    </row>
    <row r="1032" spans="1:7" x14ac:dyDescent="0.3">
      <c r="A1032" s="28">
        <v>46154</v>
      </c>
      <c r="B1032" s="24">
        <v>17</v>
      </c>
      <c r="C1032" t="s">
        <v>91</v>
      </c>
      <c r="D1032" t="s">
        <v>114</v>
      </c>
      <c r="E1032" t="s">
        <v>60</v>
      </c>
      <c r="F1032">
        <v>1</v>
      </c>
      <c r="G1032" s="33" t="e">
        <f>VLOOKUP(E1032,ACTIVIDADES!A1033:D1045,2)</f>
        <v>#N/A</v>
      </c>
    </row>
    <row r="1033" spans="1:7" x14ac:dyDescent="0.3">
      <c r="A1033" s="28">
        <v>46154</v>
      </c>
      <c r="B1033" s="24">
        <v>18</v>
      </c>
      <c r="C1033" t="s">
        <v>23</v>
      </c>
      <c r="D1033" t="s">
        <v>114</v>
      </c>
      <c r="E1033" t="s">
        <v>60</v>
      </c>
      <c r="F1033">
        <v>1</v>
      </c>
      <c r="G1033" s="33" t="e">
        <f>VLOOKUP(E1033,ACTIVIDADES!A1034:D1046,2)</f>
        <v>#N/A</v>
      </c>
    </row>
    <row r="1034" spans="1:7" x14ac:dyDescent="0.3">
      <c r="A1034" s="28">
        <v>46154</v>
      </c>
      <c r="B1034" s="24">
        <v>19</v>
      </c>
      <c r="C1034" t="s">
        <v>92</v>
      </c>
      <c r="D1034" t="s">
        <v>114</v>
      </c>
      <c r="E1034" t="s">
        <v>60</v>
      </c>
      <c r="F1034">
        <v>1</v>
      </c>
      <c r="G1034" s="33" t="e">
        <f>VLOOKUP(E1034,ACTIVIDADES!A1035:D1047,2)</f>
        <v>#N/A</v>
      </c>
    </row>
    <row r="1035" spans="1:7" x14ac:dyDescent="0.3">
      <c r="A1035" s="28">
        <v>46154</v>
      </c>
      <c r="B1035" s="24">
        <v>20</v>
      </c>
      <c r="C1035" t="s">
        <v>93</v>
      </c>
      <c r="D1035" t="s">
        <v>113</v>
      </c>
      <c r="E1035" t="s">
        <v>75</v>
      </c>
      <c r="F1035">
        <v>1</v>
      </c>
      <c r="G1035" s="33" t="e">
        <f>VLOOKUP(E1035,ACTIVIDADES!A1036:D1048,2)</f>
        <v>#N/A</v>
      </c>
    </row>
    <row r="1036" spans="1:7" x14ac:dyDescent="0.3">
      <c r="A1036" s="28">
        <v>46154</v>
      </c>
      <c r="B1036" s="24">
        <v>21</v>
      </c>
      <c r="C1036" t="s">
        <v>94</v>
      </c>
      <c r="D1036" t="s">
        <v>114</v>
      </c>
      <c r="E1036" t="s">
        <v>60</v>
      </c>
      <c r="F1036">
        <v>1</v>
      </c>
      <c r="G1036" s="33" t="e">
        <f>VLOOKUP(E1036,ACTIVIDADES!A1037:D1049,2)</f>
        <v>#N/A</v>
      </c>
    </row>
    <row r="1037" spans="1:7" x14ac:dyDescent="0.3">
      <c r="A1037" s="28">
        <v>46154</v>
      </c>
      <c r="B1037" s="24">
        <v>22</v>
      </c>
      <c r="C1037" t="s">
        <v>95</v>
      </c>
      <c r="D1037" t="s">
        <v>114</v>
      </c>
      <c r="E1037" t="s">
        <v>60</v>
      </c>
      <c r="F1037">
        <v>1</v>
      </c>
      <c r="G1037" s="33" t="e">
        <f>VLOOKUP(E1037,ACTIVIDADES!A1038:D1050,2)</f>
        <v>#N/A</v>
      </c>
    </row>
    <row r="1038" spans="1:7" x14ac:dyDescent="0.3">
      <c r="A1038" s="28">
        <v>46154</v>
      </c>
      <c r="B1038" s="24">
        <v>23</v>
      </c>
      <c r="C1038" t="s">
        <v>96</v>
      </c>
      <c r="D1038" t="s">
        <v>114</v>
      </c>
      <c r="E1038" t="s">
        <v>60</v>
      </c>
      <c r="F1038">
        <v>1</v>
      </c>
      <c r="G1038" s="33" t="e">
        <f>VLOOKUP(E1038,ACTIVIDADES!A1039:D1051,2)</f>
        <v>#N/A</v>
      </c>
    </row>
    <row r="1039" spans="1:7" x14ac:dyDescent="0.3">
      <c r="A1039" s="28">
        <v>46154</v>
      </c>
      <c r="B1039" s="24">
        <v>24</v>
      </c>
      <c r="C1039" t="s">
        <v>97</v>
      </c>
      <c r="D1039" t="s">
        <v>114</v>
      </c>
      <c r="E1039" t="s">
        <v>60</v>
      </c>
      <c r="F1039">
        <v>1</v>
      </c>
      <c r="G1039" s="33" t="e">
        <f>VLOOKUP(E1039,ACTIVIDADES!A1040:D1052,2)</f>
        <v>#N/A</v>
      </c>
    </row>
    <row r="1040" spans="1:7" x14ac:dyDescent="0.3">
      <c r="A1040" s="28">
        <v>46154</v>
      </c>
      <c r="B1040" s="24">
        <v>25</v>
      </c>
      <c r="C1040" t="s">
        <v>98</v>
      </c>
      <c r="D1040" t="s">
        <v>114</v>
      </c>
      <c r="E1040" t="s">
        <v>60</v>
      </c>
      <c r="F1040">
        <v>1</v>
      </c>
      <c r="G1040" s="33" t="e">
        <f>VLOOKUP(E1040,ACTIVIDADES!A1041:D1053,2)</f>
        <v>#N/A</v>
      </c>
    </row>
    <row r="1041" spans="1:7" x14ac:dyDescent="0.3">
      <c r="A1041" s="28">
        <v>46154</v>
      </c>
      <c r="B1041" s="24">
        <v>26</v>
      </c>
      <c r="C1041" t="s">
        <v>99</v>
      </c>
      <c r="D1041" t="s">
        <v>114</v>
      </c>
      <c r="E1041" t="s">
        <v>60</v>
      </c>
      <c r="F1041">
        <v>1</v>
      </c>
      <c r="G1041" s="33" t="e">
        <f>VLOOKUP(E1041,ACTIVIDADES!A1042:D1054,2)</f>
        <v>#N/A</v>
      </c>
    </row>
    <row r="1042" spans="1:7" x14ac:dyDescent="0.3">
      <c r="A1042" s="28">
        <v>46154</v>
      </c>
      <c r="B1042" s="24">
        <v>27</v>
      </c>
      <c r="C1042" t="s">
        <v>100</v>
      </c>
      <c r="D1042" t="s">
        <v>113</v>
      </c>
      <c r="F1042">
        <v>1</v>
      </c>
      <c r="G1042" s="33" t="e">
        <f>VLOOKUP(E1042,ACTIVIDADES!A1043:D1055,2)</f>
        <v>#N/A</v>
      </c>
    </row>
    <row r="1043" spans="1:7" x14ac:dyDescent="0.3">
      <c r="A1043" s="28">
        <v>46154</v>
      </c>
      <c r="B1043" s="24">
        <v>28</v>
      </c>
      <c r="C1043" t="s">
        <v>101</v>
      </c>
      <c r="D1043" t="s">
        <v>113</v>
      </c>
      <c r="E1043" t="s">
        <v>75</v>
      </c>
      <c r="F1043">
        <v>1</v>
      </c>
      <c r="G1043" s="33" t="e">
        <f>VLOOKUP(E1043,ACTIVIDADES!A1044:D1056,2)</f>
        <v>#N/A</v>
      </c>
    </row>
    <row r="1044" spans="1:7" x14ac:dyDescent="0.3">
      <c r="A1044" s="28">
        <v>46154</v>
      </c>
      <c r="B1044" s="24">
        <v>29</v>
      </c>
      <c r="C1044" t="s">
        <v>102</v>
      </c>
      <c r="D1044" t="s">
        <v>113</v>
      </c>
      <c r="E1044" t="s">
        <v>75</v>
      </c>
      <c r="F1044">
        <v>1</v>
      </c>
      <c r="G1044" s="33" t="e">
        <f>VLOOKUP(E1044,ACTIVIDADES!A1045:D1057,2)</f>
        <v>#N/A</v>
      </c>
    </row>
    <row r="1045" spans="1:7" x14ac:dyDescent="0.3">
      <c r="A1045" s="28">
        <v>46154</v>
      </c>
      <c r="B1045" s="24">
        <v>30</v>
      </c>
      <c r="C1045" t="s">
        <v>103</v>
      </c>
      <c r="D1045" t="s">
        <v>114</v>
      </c>
      <c r="E1045" t="s">
        <v>60</v>
      </c>
      <c r="F1045">
        <v>1</v>
      </c>
      <c r="G1045" s="33" t="e">
        <f>VLOOKUP(E1045,ACTIVIDADES!A1046:D1058,2)</f>
        <v>#N/A</v>
      </c>
    </row>
    <row r="1046" spans="1:7" x14ac:dyDescent="0.3">
      <c r="A1046" s="28">
        <v>46154</v>
      </c>
      <c r="B1046" s="24">
        <v>31</v>
      </c>
      <c r="C1046" t="s">
        <v>104</v>
      </c>
      <c r="D1046" t="s">
        <v>114</v>
      </c>
      <c r="E1046" t="s">
        <v>60</v>
      </c>
      <c r="F1046">
        <v>1</v>
      </c>
      <c r="G1046" s="33" t="e">
        <f>VLOOKUP(E1046,ACTIVIDADES!A1047:D1059,2)</f>
        <v>#N/A</v>
      </c>
    </row>
    <row r="1047" spans="1:7" x14ac:dyDescent="0.3">
      <c r="A1047" s="28">
        <v>46154</v>
      </c>
      <c r="B1047" s="24">
        <v>32</v>
      </c>
      <c r="C1047" t="s">
        <v>105</v>
      </c>
      <c r="D1047" t="s">
        <v>114</v>
      </c>
      <c r="E1047" t="s">
        <v>60</v>
      </c>
      <c r="F1047">
        <v>1</v>
      </c>
      <c r="G1047" s="33" t="e">
        <f>VLOOKUP(E1047,ACTIVIDADES!A1048:D1060,2)</f>
        <v>#N/A</v>
      </c>
    </row>
    <row r="1048" spans="1:7" x14ac:dyDescent="0.3">
      <c r="A1048" s="28">
        <v>46154</v>
      </c>
      <c r="B1048" s="24">
        <v>33</v>
      </c>
      <c r="C1048" t="s">
        <v>106</v>
      </c>
      <c r="D1048" t="s">
        <v>114</v>
      </c>
      <c r="E1048" t="s">
        <v>60</v>
      </c>
      <c r="F1048">
        <v>1</v>
      </c>
      <c r="G1048" s="33" t="e">
        <f>VLOOKUP(E1048,ACTIVIDADES!A1049:D1061,2)</f>
        <v>#N/A</v>
      </c>
    </row>
    <row r="1049" spans="1:7" x14ac:dyDescent="0.3">
      <c r="A1049" s="28">
        <v>46154</v>
      </c>
      <c r="B1049" s="24">
        <v>34</v>
      </c>
      <c r="C1049" t="s">
        <v>107</v>
      </c>
      <c r="D1049" t="s">
        <v>114</v>
      </c>
      <c r="E1049" t="s">
        <v>60</v>
      </c>
      <c r="F1049">
        <v>1</v>
      </c>
      <c r="G1049" s="33" t="e">
        <f>VLOOKUP(E1049,ACTIVIDADES!A1050:D1062,2)</f>
        <v>#N/A</v>
      </c>
    </row>
    <row r="1050" spans="1:7" x14ac:dyDescent="0.3">
      <c r="A1050" s="28">
        <v>46154</v>
      </c>
      <c r="B1050" s="24">
        <v>35</v>
      </c>
      <c r="C1050" t="s">
        <v>108</v>
      </c>
      <c r="D1050" t="s">
        <v>114</v>
      </c>
      <c r="E1050" t="s">
        <v>60</v>
      </c>
      <c r="F1050">
        <v>1</v>
      </c>
      <c r="G1050" s="33" t="e">
        <f>VLOOKUP(E1050,ACTIVIDADES!A1051:D1063,2)</f>
        <v>#N/A</v>
      </c>
    </row>
    <row r="1051" spans="1:7" x14ac:dyDescent="0.3">
      <c r="A1051" s="28">
        <v>46154</v>
      </c>
      <c r="B1051" s="24">
        <v>36</v>
      </c>
      <c r="C1051" t="s">
        <v>109</v>
      </c>
      <c r="D1051" t="s">
        <v>114</v>
      </c>
      <c r="E1051" t="s">
        <v>60</v>
      </c>
      <c r="F1051">
        <v>1</v>
      </c>
      <c r="G1051" s="33" t="e">
        <f>VLOOKUP(E1051,ACTIVIDADES!A1052:D1064,2)</f>
        <v>#N/A</v>
      </c>
    </row>
    <row r="1052" spans="1:7" x14ac:dyDescent="0.3">
      <c r="A1052" s="28">
        <v>46154</v>
      </c>
      <c r="B1052" s="24">
        <v>37</v>
      </c>
      <c r="C1052" t="s">
        <v>110</v>
      </c>
      <c r="D1052" t="s">
        <v>113</v>
      </c>
      <c r="E1052" t="s">
        <v>75</v>
      </c>
      <c r="F1052">
        <v>1</v>
      </c>
      <c r="G1052" s="33" t="e">
        <f>VLOOKUP(E1052,ACTIVIDADES!A1053:D1065,2)</f>
        <v>#N/A</v>
      </c>
    </row>
    <row r="1053" spans="1:7" x14ac:dyDescent="0.3">
      <c r="A1053" s="28">
        <v>46154</v>
      </c>
      <c r="B1053" s="24">
        <v>38</v>
      </c>
      <c r="C1053" t="s">
        <v>111</v>
      </c>
      <c r="D1053" t="s">
        <v>113</v>
      </c>
      <c r="E1053" t="s">
        <v>75</v>
      </c>
      <c r="F1053">
        <v>1</v>
      </c>
      <c r="G1053" s="33" t="e">
        <f>VLOOKUP(E1053,ACTIVIDADES!A1054:D1066,2)</f>
        <v>#N/A</v>
      </c>
    </row>
    <row r="1054" spans="1:7" x14ac:dyDescent="0.3">
      <c r="A1054" s="28">
        <v>46154</v>
      </c>
      <c r="B1054" s="24">
        <v>39</v>
      </c>
      <c r="C1054" t="s">
        <v>112</v>
      </c>
      <c r="D1054" t="s">
        <v>113</v>
      </c>
      <c r="E1054" t="s">
        <v>75</v>
      </c>
      <c r="F1054">
        <v>1</v>
      </c>
      <c r="G1054" s="33" t="e">
        <f>VLOOKUP(E1054,ACTIVIDADES!A1055:D1067,2)</f>
        <v>#N/A</v>
      </c>
    </row>
    <row r="1055" spans="1:7" x14ac:dyDescent="0.3">
      <c r="A1055" s="28">
        <v>46155</v>
      </c>
      <c r="B1055" s="24">
        <v>1</v>
      </c>
      <c r="C1055" s="29" t="s">
        <v>6</v>
      </c>
      <c r="D1055" s="1" t="s">
        <v>49</v>
      </c>
      <c r="E1055" s="1" t="s">
        <v>49</v>
      </c>
      <c r="F1055" s="1">
        <v>1</v>
      </c>
      <c r="G1055" s="33" t="e">
        <f>VLOOKUP(E1055,ACTIVIDADES!A1056:D1068,2)</f>
        <v>#N/A</v>
      </c>
    </row>
    <row r="1056" spans="1:7" x14ac:dyDescent="0.3">
      <c r="A1056" s="28">
        <v>46155</v>
      </c>
      <c r="B1056" s="24">
        <v>2</v>
      </c>
      <c r="C1056" s="29" t="s">
        <v>10</v>
      </c>
      <c r="D1056" s="1" t="s">
        <v>49</v>
      </c>
      <c r="E1056" s="1" t="s">
        <v>49</v>
      </c>
      <c r="F1056" s="1">
        <v>1</v>
      </c>
      <c r="G1056" s="33" t="e">
        <f>VLOOKUP(E1056,ACTIVIDADES!A1057:D1069,2)</f>
        <v>#N/A</v>
      </c>
    </row>
    <row r="1057" spans="1:7" x14ac:dyDescent="0.3">
      <c r="A1057" s="28">
        <v>46155</v>
      </c>
      <c r="B1057" s="24">
        <v>3</v>
      </c>
      <c r="C1057" s="29" t="s">
        <v>22</v>
      </c>
      <c r="D1057" s="1" t="s">
        <v>48</v>
      </c>
      <c r="E1057" s="1" t="s">
        <v>48</v>
      </c>
      <c r="F1057" s="1">
        <v>1</v>
      </c>
      <c r="G1057" s="33" t="e">
        <f>VLOOKUP(E1057,ACTIVIDADES!A1058:D1070,2)</f>
        <v>#N/A</v>
      </c>
    </row>
    <row r="1058" spans="1:7" x14ac:dyDescent="0.3">
      <c r="A1058" s="28">
        <v>46155</v>
      </c>
      <c r="B1058" s="24">
        <v>4</v>
      </c>
      <c r="C1058" s="29" t="s">
        <v>36</v>
      </c>
      <c r="D1058" s="1" t="s">
        <v>51</v>
      </c>
      <c r="E1058" s="1" t="s">
        <v>50</v>
      </c>
      <c r="F1058" s="1">
        <v>1</v>
      </c>
      <c r="G1058" s="33" t="e">
        <f>VLOOKUP(E1058,ACTIVIDADES!A1059:D1071,2)</f>
        <v>#N/A</v>
      </c>
    </row>
    <row r="1059" spans="1:7" x14ac:dyDescent="0.3">
      <c r="A1059" s="28">
        <v>46155</v>
      </c>
      <c r="B1059" s="24">
        <v>5</v>
      </c>
      <c r="C1059" s="29" t="s">
        <v>38</v>
      </c>
      <c r="D1059" s="1" t="s">
        <v>51</v>
      </c>
      <c r="E1059" s="1" t="s">
        <v>50</v>
      </c>
      <c r="F1059" s="1">
        <v>1</v>
      </c>
      <c r="G1059" s="33" t="e">
        <f>VLOOKUP(E1059,ACTIVIDADES!A1060:D1072,2)</f>
        <v>#N/A</v>
      </c>
    </row>
    <row r="1060" spans="1:7" x14ac:dyDescent="0.3">
      <c r="A1060" s="28">
        <v>46155</v>
      </c>
      <c r="B1060" s="24">
        <v>6</v>
      </c>
      <c r="C1060" t="s">
        <v>80</v>
      </c>
      <c r="G1060" s="33" t="e">
        <f>VLOOKUP(E1060,ACTIVIDADES!A1061:D1073,2)</f>
        <v>#N/A</v>
      </c>
    </row>
    <row r="1061" spans="1:7" x14ac:dyDescent="0.3">
      <c r="A1061" s="28">
        <v>46155</v>
      </c>
      <c r="B1061" s="24">
        <v>7</v>
      </c>
      <c r="C1061" t="s">
        <v>81</v>
      </c>
      <c r="D1061" t="s">
        <v>114</v>
      </c>
      <c r="E1061" t="s">
        <v>60</v>
      </c>
      <c r="F1061">
        <v>1</v>
      </c>
      <c r="G1061" s="33" t="e">
        <f>VLOOKUP(E1061,ACTIVIDADES!A1062:D1074,2)</f>
        <v>#N/A</v>
      </c>
    </row>
    <row r="1062" spans="1:7" x14ac:dyDescent="0.3">
      <c r="A1062" s="28">
        <v>46155</v>
      </c>
      <c r="B1062" s="24">
        <v>8</v>
      </c>
      <c r="C1062" t="s">
        <v>82</v>
      </c>
      <c r="D1062" t="s">
        <v>114</v>
      </c>
      <c r="E1062" t="s">
        <v>60</v>
      </c>
      <c r="F1062">
        <v>1</v>
      </c>
      <c r="G1062" s="33" t="e">
        <f>VLOOKUP(E1062,ACTIVIDADES!A1063:D1075,2)</f>
        <v>#N/A</v>
      </c>
    </row>
    <row r="1063" spans="1:7" x14ac:dyDescent="0.3">
      <c r="A1063" s="28">
        <v>46155</v>
      </c>
      <c r="B1063" s="24">
        <v>9</v>
      </c>
      <c r="C1063" t="s">
        <v>83</v>
      </c>
      <c r="D1063" t="s">
        <v>114</v>
      </c>
      <c r="E1063" t="s">
        <v>60</v>
      </c>
      <c r="F1063">
        <v>1</v>
      </c>
      <c r="G1063" s="33" t="e">
        <f>VLOOKUP(E1063,ACTIVIDADES!A1064:D1076,2)</f>
        <v>#N/A</v>
      </c>
    </row>
    <row r="1064" spans="1:7" x14ac:dyDescent="0.3">
      <c r="A1064" s="28">
        <v>46155</v>
      </c>
      <c r="B1064" s="24">
        <v>10</v>
      </c>
      <c r="C1064" t="s">
        <v>84</v>
      </c>
      <c r="D1064" t="s">
        <v>114</v>
      </c>
      <c r="E1064" t="s">
        <v>60</v>
      </c>
      <c r="F1064">
        <v>1</v>
      </c>
      <c r="G1064" s="33" t="e">
        <f>VLOOKUP(E1064,ACTIVIDADES!A1065:D1077,2)</f>
        <v>#N/A</v>
      </c>
    </row>
    <row r="1065" spans="1:7" x14ac:dyDescent="0.3">
      <c r="A1065" s="28">
        <v>46155</v>
      </c>
      <c r="B1065" s="24">
        <v>11</v>
      </c>
      <c r="C1065" t="s">
        <v>85</v>
      </c>
      <c r="D1065" t="s">
        <v>114</v>
      </c>
      <c r="E1065" t="s">
        <v>60</v>
      </c>
      <c r="F1065">
        <v>1</v>
      </c>
      <c r="G1065" s="33" t="e">
        <f>VLOOKUP(E1065,ACTIVIDADES!A1066:D1078,2)</f>
        <v>#N/A</v>
      </c>
    </row>
    <row r="1066" spans="1:7" x14ac:dyDescent="0.3">
      <c r="A1066" s="28">
        <v>46155</v>
      </c>
      <c r="B1066" s="24">
        <v>12</v>
      </c>
      <c r="C1066" t="s">
        <v>86</v>
      </c>
      <c r="D1066" t="s">
        <v>114</v>
      </c>
      <c r="E1066" t="s">
        <v>60</v>
      </c>
      <c r="F1066">
        <v>1</v>
      </c>
      <c r="G1066" s="33" t="e">
        <f>VLOOKUP(E1066,ACTIVIDADES!A1067:D1079,2)</f>
        <v>#N/A</v>
      </c>
    </row>
    <row r="1067" spans="1:7" x14ac:dyDescent="0.3">
      <c r="A1067" s="28">
        <v>46155</v>
      </c>
      <c r="B1067" s="24">
        <v>13</v>
      </c>
      <c r="C1067" t="s">
        <v>87</v>
      </c>
      <c r="G1067" s="33" t="e">
        <f>VLOOKUP(E1067,ACTIVIDADES!A1068:D1080,2)</f>
        <v>#N/A</v>
      </c>
    </row>
    <row r="1068" spans="1:7" x14ac:dyDescent="0.3">
      <c r="A1068" s="28">
        <v>46155</v>
      </c>
      <c r="B1068" s="24">
        <v>14</v>
      </c>
      <c r="C1068" t="s">
        <v>88</v>
      </c>
      <c r="D1068" t="s">
        <v>114</v>
      </c>
      <c r="E1068" t="s">
        <v>60</v>
      </c>
      <c r="F1068">
        <v>1</v>
      </c>
      <c r="G1068" s="33" t="e">
        <f>VLOOKUP(E1068,ACTIVIDADES!A1069:D1081,2)</f>
        <v>#N/A</v>
      </c>
    </row>
    <row r="1069" spans="1:7" x14ac:dyDescent="0.3">
      <c r="A1069" s="28">
        <v>46155</v>
      </c>
      <c r="B1069" s="24">
        <v>15</v>
      </c>
      <c r="C1069" t="s">
        <v>89</v>
      </c>
      <c r="D1069" t="s">
        <v>65</v>
      </c>
      <c r="G1069" s="33" t="e">
        <f>VLOOKUP(E1069,ACTIVIDADES!A1070:D1082,2)</f>
        <v>#N/A</v>
      </c>
    </row>
    <row r="1070" spans="1:7" x14ac:dyDescent="0.3">
      <c r="A1070" s="28">
        <v>46155</v>
      </c>
      <c r="B1070" s="24">
        <v>16</v>
      </c>
      <c r="C1070" t="s">
        <v>90</v>
      </c>
      <c r="D1070" t="s">
        <v>114</v>
      </c>
      <c r="E1070" t="s">
        <v>60</v>
      </c>
      <c r="F1070">
        <v>1</v>
      </c>
      <c r="G1070" s="33" t="e">
        <f>VLOOKUP(E1070,ACTIVIDADES!A1071:D1083,2)</f>
        <v>#N/A</v>
      </c>
    </row>
    <row r="1071" spans="1:7" x14ac:dyDescent="0.3">
      <c r="A1071" s="28">
        <v>46155</v>
      </c>
      <c r="B1071" s="24">
        <v>17</v>
      </c>
      <c r="C1071" t="s">
        <v>91</v>
      </c>
      <c r="G1071" s="33" t="e">
        <f>VLOOKUP(E1071,ACTIVIDADES!A1072:D1084,2)</f>
        <v>#N/A</v>
      </c>
    </row>
    <row r="1072" spans="1:7" x14ac:dyDescent="0.3">
      <c r="A1072" s="28">
        <v>46155</v>
      </c>
      <c r="B1072" s="24">
        <v>18</v>
      </c>
      <c r="C1072" t="s">
        <v>23</v>
      </c>
      <c r="D1072" t="s">
        <v>114</v>
      </c>
      <c r="E1072" t="s">
        <v>60</v>
      </c>
      <c r="F1072">
        <v>1</v>
      </c>
      <c r="G1072" s="33" t="e">
        <f>VLOOKUP(E1072,ACTIVIDADES!A1073:D1085,2)</f>
        <v>#N/A</v>
      </c>
    </row>
    <row r="1073" spans="1:7" x14ac:dyDescent="0.3">
      <c r="A1073" s="28">
        <v>46155</v>
      </c>
      <c r="B1073" s="24">
        <v>19</v>
      </c>
      <c r="C1073" t="s">
        <v>92</v>
      </c>
      <c r="D1073" t="s">
        <v>114</v>
      </c>
      <c r="E1073" t="s">
        <v>60</v>
      </c>
      <c r="F1073">
        <v>1</v>
      </c>
      <c r="G1073" s="33" t="e">
        <f>VLOOKUP(E1073,ACTIVIDADES!A1074:D1086,2)</f>
        <v>#N/A</v>
      </c>
    </row>
    <row r="1074" spans="1:7" x14ac:dyDescent="0.3">
      <c r="A1074" s="28">
        <v>46155</v>
      </c>
      <c r="B1074" s="24">
        <v>20</v>
      </c>
      <c r="C1074" t="s">
        <v>93</v>
      </c>
      <c r="G1074" s="33" t="e">
        <f>VLOOKUP(E1074,ACTIVIDADES!A1075:D1087,2)</f>
        <v>#N/A</v>
      </c>
    </row>
    <row r="1075" spans="1:7" x14ac:dyDescent="0.3">
      <c r="A1075" s="28">
        <v>46155</v>
      </c>
      <c r="B1075" s="24">
        <v>21</v>
      </c>
      <c r="C1075" t="s">
        <v>94</v>
      </c>
      <c r="D1075" t="s">
        <v>114</v>
      </c>
      <c r="E1075" t="s">
        <v>60</v>
      </c>
      <c r="F1075">
        <v>1</v>
      </c>
      <c r="G1075" s="33" t="e">
        <f>VLOOKUP(E1075,ACTIVIDADES!A1076:D1088,2)</f>
        <v>#N/A</v>
      </c>
    </row>
    <row r="1076" spans="1:7" x14ac:dyDescent="0.3">
      <c r="A1076" s="28">
        <v>46155</v>
      </c>
      <c r="B1076" s="24">
        <v>22</v>
      </c>
      <c r="C1076" t="s">
        <v>95</v>
      </c>
      <c r="D1076" t="s">
        <v>114</v>
      </c>
      <c r="E1076" t="s">
        <v>60</v>
      </c>
      <c r="F1076">
        <v>1</v>
      </c>
      <c r="G1076" s="33" t="e">
        <f>VLOOKUP(E1076,ACTIVIDADES!A1077:D1089,2)</f>
        <v>#N/A</v>
      </c>
    </row>
    <row r="1077" spans="1:7" x14ac:dyDescent="0.3">
      <c r="A1077" s="28">
        <v>46155</v>
      </c>
      <c r="B1077" s="24">
        <v>23</v>
      </c>
      <c r="C1077" t="s">
        <v>96</v>
      </c>
      <c r="D1077" t="s">
        <v>114</v>
      </c>
      <c r="E1077" t="s">
        <v>60</v>
      </c>
      <c r="F1077">
        <v>1</v>
      </c>
      <c r="G1077" s="33" t="e">
        <f>VLOOKUP(E1077,ACTIVIDADES!A1078:D1090,2)</f>
        <v>#N/A</v>
      </c>
    </row>
    <row r="1078" spans="1:7" x14ac:dyDescent="0.3">
      <c r="A1078" s="28">
        <v>46155</v>
      </c>
      <c r="B1078" s="24">
        <v>24</v>
      </c>
      <c r="C1078" t="s">
        <v>97</v>
      </c>
      <c r="D1078" t="s">
        <v>114</v>
      </c>
      <c r="E1078" t="s">
        <v>60</v>
      </c>
      <c r="F1078">
        <v>1</v>
      </c>
      <c r="G1078" s="33" t="e">
        <f>VLOOKUP(E1078,ACTIVIDADES!A1079:D1091,2)</f>
        <v>#N/A</v>
      </c>
    </row>
    <row r="1079" spans="1:7" x14ac:dyDescent="0.3">
      <c r="A1079" s="28">
        <v>46155</v>
      </c>
      <c r="B1079" s="24">
        <v>25</v>
      </c>
      <c r="C1079" t="s">
        <v>98</v>
      </c>
      <c r="D1079" t="s">
        <v>65</v>
      </c>
      <c r="G1079" s="33" t="e">
        <f>VLOOKUP(E1079,ACTIVIDADES!A1080:D1092,2)</f>
        <v>#N/A</v>
      </c>
    </row>
    <row r="1080" spans="1:7" x14ac:dyDescent="0.3">
      <c r="A1080" s="28">
        <v>46155</v>
      </c>
      <c r="B1080" s="24">
        <v>26</v>
      </c>
      <c r="C1080" t="s">
        <v>99</v>
      </c>
      <c r="D1080" t="s">
        <v>114</v>
      </c>
      <c r="E1080" t="s">
        <v>60</v>
      </c>
      <c r="F1080">
        <v>1</v>
      </c>
      <c r="G1080" s="33" t="e">
        <f>VLOOKUP(E1080,ACTIVIDADES!A1081:D1093,2)</f>
        <v>#N/A</v>
      </c>
    </row>
    <row r="1081" spans="1:7" x14ac:dyDescent="0.3">
      <c r="A1081" s="28">
        <v>46155</v>
      </c>
      <c r="B1081" s="24">
        <v>27</v>
      </c>
      <c r="C1081" t="s">
        <v>100</v>
      </c>
      <c r="G1081" s="33" t="e">
        <f>VLOOKUP(E1081,ACTIVIDADES!A1082:D1094,2)</f>
        <v>#N/A</v>
      </c>
    </row>
    <row r="1082" spans="1:7" x14ac:dyDescent="0.3">
      <c r="A1082" s="28">
        <v>46155</v>
      </c>
      <c r="B1082" s="24">
        <v>28</v>
      </c>
      <c r="C1082" t="s">
        <v>101</v>
      </c>
      <c r="D1082" t="s">
        <v>114</v>
      </c>
      <c r="E1082" t="s">
        <v>60</v>
      </c>
      <c r="F1082">
        <v>1</v>
      </c>
      <c r="G1082" s="33" t="e">
        <f>VLOOKUP(E1082,ACTIVIDADES!A1083:D1095,2)</f>
        <v>#N/A</v>
      </c>
    </row>
    <row r="1083" spans="1:7" x14ac:dyDescent="0.3">
      <c r="A1083" s="28">
        <v>46155</v>
      </c>
      <c r="B1083" s="24">
        <v>29</v>
      </c>
      <c r="C1083" t="s">
        <v>102</v>
      </c>
      <c r="D1083" t="s">
        <v>114</v>
      </c>
      <c r="E1083" t="s">
        <v>60</v>
      </c>
      <c r="F1083">
        <v>1</v>
      </c>
      <c r="G1083" s="33" t="e">
        <f>VLOOKUP(E1083,ACTIVIDADES!A1084:D1096,2)</f>
        <v>#N/A</v>
      </c>
    </row>
    <row r="1084" spans="1:7" x14ac:dyDescent="0.3">
      <c r="A1084" s="28">
        <v>46155</v>
      </c>
      <c r="B1084" s="24">
        <v>30</v>
      </c>
      <c r="C1084" t="s">
        <v>103</v>
      </c>
      <c r="D1084" t="s">
        <v>114</v>
      </c>
      <c r="E1084" t="s">
        <v>60</v>
      </c>
      <c r="F1084">
        <v>1</v>
      </c>
      <c r="G1084" s="33" t="e">
        <f>VLOOKUP(E1084,ACTIVIDADES!A1085:D1097,2)</f>
        <v>#N/A</v>
      </c>
    </row>
    <row r="1085" spans="1:7" x14ac:dyDescent="0.3">
      <c r="A1085" s="28">
        <v>46155</v>
      </c>
      <c r="B1085" s="24">
        <v>31</v>
      </c>
      <c r="C1085" t="s">
        <v>104</v>
      </c>
      <c r="D1085" t="s">
        <v>114</v>
      </c>
      <c r="E1085" t="s">
        <v>60</v>
      </c>
      <c r="F1085">
        <v>1</v>
      </c>
      <c r="G1085" s="33" t="e">
        <f>VLOOKUP(E1085,ACTIVIDADES!A1086:D1098,2)</f>
        <v>#N/A</v>
      </c>
    </row>
    <row r="1086" spans="1:7" x14ac:dyDescent="0.3">
      <c r="A1086" s="28">
        <v>46155</v>
      </c>
      <c r="B1086" s="24">
        <v>32</v>
      </c>
      <c r="C1086" t="s">
        <v>105</v>
      </c>
      <c r="D1086" t="s">
        <v>114</v>
      </c>
      <c r="E1086" t="s">
        <v>60</v>
      </c>
      <c r="F1086">
        <v>1</v>
      </c>
      <c r="G1086" s="33" t="e">
        <f>VLOOKUP(E1086,ACTIVIDADES!A1087:D1099,2)</f>
        <v>#N/A</v>
      </c>
    </row>
    <row r="1087" spans="1:7" x14ac:dyDescent="0.3">
      <c r="A1087" s="28">
        <v>46155</v>
      </c>
      <c r="B1087" s="24">
        <v>33</v>
      </c>
      <c r="C1087" t="s">
        <v>106</v>
      </c>
      <c r="G1087" s="33" t="e">
        <f>VLOOKUP(E1087,ACTIVIDADES!A1088:D1100,2)</f>
        <v>#N/A</v>
      </c>
    </row>
    <row r="1088" spans="1:7" x14ac:dyDescent="0.3">
      <c r="A1088" s="28">
        <v>46155</v>
      </c>
      <c r="B1088" s="24">
        <v>34</v>
      </c>
      <c r="C1088" t="s">
        <v>107</v>
      </c>
      <c r="D1088" t="s">
        <v>114</v>
      </c>
      <c r="E1088" t="s">
        <v>60</v>
      </c>
      <c r="F1088">
        <v>1</v>
      </c>
      <c r="G1088" s="33" t="e">
        <f>VLOOKUP(E1088,ACTIVIDADES!A1089:D1101,2)</f>
        <v>#N/A</v>
      </c>
    </row>
    <row r="1089" spans="1:7" x14ac:dyDescent="0.3">
      <c r="A1089" s="28">
        <v>46155</v>
      </c>
      <c r="B1089" s="24">
        <v>35</v>
      </c>
      <c r="C1089" t="s">
        <v>108</v>
      </c>
      <c r="D1089" t="s">
        <v>114</v>
      </c>
      <c r="E1089" t="s">
        <v>60</v>
      </c>
      <c r="F1089">
        <v>1</v>
      </c>
      <c r="G1089" s="33" t="e">
        <f>VLOOKUP(E1089,ACTIVIDADES!A1090:D1102,2)</f>
        <v>#N/A</v>
      </c>
    </row>
    <row r="1090" spans="1:7" x14ac:dyDescent="0.3">
      <c r="A1090" s="28">
        <v>46155</v>
      </c>
      <c r="B1090" s="24">
        <v>36</v>
      </c>
      <c r="C1090" t="s">
        <v>109</v>
      </c>
      <c r="D1090" t="s">
        <v>114</v>
      </c>
      <c r="E1090" t="s">
        <v>60</v>
      </c>
      <c r="F1090">
        <v>1</v>
      </c>
      <c r="G1090" s="33" t="e">
        <f>VLOOKUP(E1090,ACTIVIDADES!A1091:D1103,2)</f>
        <v>#N/A</v>
      </c>
    </row>
    <row r="1091" spans="1:7" x14ac:dyDescent="0.3">
      <c r="A1091" s="28">
        <v>46155</v>
      </c>
      <c r="B1091" s="24">
        <v>37</v>
      </c>
      <c r="C1091" t="s">
        <v>110</v>
      </c>
      <c r="D1091" t="s">
        <v>114</v>
      </c>
      <c r="E1091" t="s">
        <v>60</v>
      </c>
      <c r="F1091">
        <v>1</v>
      </c>
      <c r="G1091" s="33" t="e">
        <f>VLOOKUP(E1091,ACTIVIDADES!A1092:D1104,2)</f>
        <v>#N/A</v>
      </c>
    </row>
    <row r="1092" spans="1:7" x14ac:dyDescent="0.3">
      <c r="A1092" s="28">
        <v>46155</v>
      </c>
      <c r="B1092" s="24">
        <v>38</v>
      </c>
      <c r="C1092" t="s">
        <v>111</v>
      </c>
      <c r="D1092" t="s">
        <v>114</v>
      </c>
      <c r="E1092" t="s">
        <v>60</v>
      </c>
      <c r="F1092">
        <v>1</v>
      </c>
      <c r="G1092" s="33" t="e">
        <f>VLOOKUP(E1092,ACTIVIDADES!A1093:D1105,2)</f>
        <v>#N/A</v>
      </c>
    </row>
    <row r="1093" spans="1:7" x14ac:dyDescent="0.3">
      <c r="A1093" s="28">
        <v>46155</v>
      </c>
      <c r="B1093" s="24">
        <v>39</v>
      </c>
      <c r="C1093" t="s">
        <v>112</v>
      </c>
      <c r="D1093" t="s">
        <v>114</v>
      </c>
      <c r="E1093" t="s">
        <v>60</v>
      </c>
      <c r="F1093">
        <v>1</v>
      </c>
      <c r="G1093" s="33" t="e">
        <f>VLOOKUP(E1093,ACTIVIDADES!A1094:D1106,2)</f>
        <v>#N/A</v>
      </c>
    </row>
  </sheetData>
  <autoFilter ref="A1:G1093" xr:uid="{FE648ED4-5769-463A-83D5-97ABF18DCE4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D3A9-DFF5-475D-B353-BA9CE8706D3C}">
  <dimension ref="A1:D116"/>
  <sheetViews>
    <sheetView workbookViewId="0">
      <selection activeCell="A13" sqref="A13"/>
    </sheetView>
  </sheetViews>
  <sheetFormatPr baseColWidth="10" defaultRowHeight="15.6" x14ac:dyDescent="0.3"/>
  <cols>
    <col min="1" max="1" width="12.09765625" bestFit="1" customWidth="1"/>
    <col min="2" max="2" width="24.09765625" bestFit="1" customWidth="1"/>
  </cols>
  <sheetData>
    <row r="1" spans="1:4" x14ac:dyDescent="0.3">
      <c r="A1" s="44" t="s">
        <v>48</v>
      </c>
      <c r="B1" s="45" t="s">
        <v>125</v>
      </c>
      <c r="C1" s="45" t="s">
        <v>132</v>
      </c>
      <c r="D1" s="46">
        <v>75</v>
      </c>
    </row>
    <row r="2" spans="1:4" x14ac:dyDescent="0.3">
      <c r="A2" s="44" t="s">
        <v>53</v>
      </c>
      <c r="B2" s="45" t="s">
        <v>125</v>
      </c>
      <c r="C2" s="45" t="s">
        <v>132</v>
      </c>
      <c r="D2" s="46">
        <v>75</v>
      </c>
    </row>
    <row r="3" spans="1:4" x14ac:dyDescent="0.3">
      <c r="A3" s="17" t="s">
        <v>65</v>
      </c>
      <c r="B3" s="22" t="s">
        <v>140</v>
      </c>
      <c r="C3" s="22" t="s">
        <v>132</v>
      </c>
      <c r="D3" s="39">
        <v>75</v>
      </c>
    </row>
    <row r="4" spans="1:4" x14ac:dyDescent="0.3">
      <c r="A4" s="17" t="s">
        <v>49</v>
      </c>
      <c r="B4" s="22" t="s">
        <v>126</v>
      </c>
      <c r="C4" s="22" t="s">
        <v>132</v>
      </c>
      <c r="D4" s="39">
        <v>100</v>
      </c>
    </row>
    <row r="5" spans="1:4" x14ac:dyDescent="0.3">
      <c r="A5" s="17" t="s">
        <v>117</v>
      </c>
      <c r="B5" s="22" t="s">
        <v>138</v>
      </c>
      <c r="C5" s="22" t="s">
        <v>132</v>
      </c>
      <c r="D5" s="39">
        <v>17.5</v>
      </c>
    </row>
    <row r="6" spans="1:4" x14ac:dyDescent="0.3">
      <c r="A6" s="17" t="s">
        <v>70</v>
      </c>
      <c r="B6" s="22" t="s">
        <v>70</v>
      </c>
      <c r="C6" s="22" t="s">
        <v>132</v>
      </c>
      <c r="D6" s="39">
        <v>75</v>
      </c>
    </row>
    <row r="7" spans="1:4" x14ac:dyDescent="0.3">
      <c r="A7" s="17" t="s">
        <v>116</v>
      </c>
      <c r="B7" s="22" t="s">
        <v>139</v>
      </c>
      <c r="C7" s="22" t="s">
        <v>132</v>
      </c>
      <c r="D7" s="39">
        <v>75</v>
      </c>
    </row>
    <row r="8" spans="1:4" x14ac:dyDescent="0.3">
      <c r="A8" s="17" t="s">
        <v>59</v>
      </c>
      <c r="B8" s="22" t="s">
        <v>127</v>
      </c>
      <c r="C8" s="22" t="s">
        <v>132</v>
      </c>
      <c r="D8" s="39">
        <v>75</v>
      </c>
    </row>
    <row r="9" spans="1:4" x14ac:dyDescent="0.3">
      <c r="A9" s="17" t="s">
        <v>50</v>
      </c>
      <c r="B9" s="22" t="s">
        <v>128</v>
      </c>
      <c r="C9" s="22" t="s">
        <v>132</v>
      </c>
      <c r="D9" s="39">
        <v>75</v>
      </c>
    </row>
    <row r="10" spans="1:4" x14ac:dyDescent="0.3">
      <c r="A10" s="17" t="s">
        <v>149</v>
      </c>
      <c r="B10" s="22" t="s">
        <v>150</v>
      </c>
      <c r="C10" s="22" t="s">
        <v>148</v>
      </c>
      <c r="D10" s="39">
        <v>65</v>
      </c>
    </row>
    <row r="11" spans="1:4" x14ac:dyDescent="0.3">
      <c r="A11" s="17" t="s">
        <v>60</v>
      </c>
      <c r="B11" s="22" t="s">
        <v>129</v>
      </c>
      <c r="C11" s="22" t="s">
        <v>132</v>
      </c>
      <c r="D11" s="39">
        <v>75</v>
      </c>
    </row>
    <row r="12" spans="1:4" x14ac:dyDescent="0.3">
      <c r="A12" s="17" t="s">
        <v>158</v>
      </c>
      <c r="B12" s="22" t="s">
        <v>159</v>
      </c>
      <c r="C12" s="22" t="s">
        <v>148</v>
      </c>
      <c r="D12" s="39">
        <v>75</v>
      </c>
    </row>
    <row r="13" spans="1:4" x14ac:dyDescent="0.3">
      <c r="A13" s="17" t="s">
        <v>161</v>
      </c>
      <c r="B13" s="22" t="s">
        <v>160</v>
      </c>
      <c r="C13" s="22" t="s">
        <v>162</v>
      </c>
      <c r="D13" s="39">
        <v>1.5</v>
      </c>
    </row>
    <row r="14" spans="1:4" x14ac:dyDescent="0.3">
      <c r="A14" s="17" t="s">
        <v>45</v>
      </c>
      <c r="B14" s="22" t="s">
        <v>130</v>
      </c>
      <c r="C14" s="22" t="s">
        <v>132</v>
      </c>
      <c r="D14" s="39">
        <v>75</v>
      </c>
    </row>
    <row r="15" spans="1:4" x14ac:dyDescent="0.3">
      <c r="A15" s="17" t="s">
        <v>136</v>
      </c>
      <c r="B15" s="22" t="s">
        <v>136</v>
      </c>
      <c r="C15" s="22" t="s">
        <v>132</v>
      </c>
      <c r="D15" s="39">
        <v>0</v>
      </c>
    </row>
    <row r="16" spans="1:4" x14ac:dyDescent="0.3">
      <c r="A16" s="17" t="s">
        <v>137</v>
      </c>
      <c r="B16" s="22" t="s">
        <v>137</v>
      </c>
      <c r="C16" s="22" t="s">
        <v>132</v>
      </c>
      <c r="D16" s="39">
        <v>0</v>
      </c>
    </row>
    <row r="17" spans="1:4" x14ac:dyDescent="0.3">
      <c r="A17" s="17" t="s">
        <v>75</v>
      </c>
      <c r="B17" s="22" t="s">
        <v>131</v>
      </c>
      <c r="C17" s="22" t="s">
        <v>132</v>
      </c>
      <c r="D17" s="39">
        <v>75</v>
      </c>
    </row>
    <row r="18" spans="1:4" x14ac:dyDescent="0.3">
      <c r="A18" s="1"/>
    </row>
    <row r="19" spans="1:4" x14ac:dyDescent="0.3">
      <c r="A19" s="1"/>
    </row>
    <row r="20" spans="1:4" x14ac:dyDescent="0.3">
      <c r="A20" s="1"/>
    </row>
    <row r="21" spans="1:4" x14ac:dyDescent="0.3">
      <c r="A21" s="1"/>
    </row>
    <row r="22" spans="1:4" x14ac:dyDescent="0.3">
      <c r="A22" s="1"/>
    </row>
    <row r="23" spans="1:4" x14ac:dyDescent="0.3">
      <c r="A23" s="1"/>
    </row>
    <row r="24" spans="1:4" x14ac:dyDescent="0.3">
      <c r="A24" s="1"/>
    </row>
    <row r="25" spans="1:4" x14ac:dyDescent="0.3">
      <c r="A25" s="1"/>
    </row>
    <row r="26" spans="1:4" x14ac:dyDescent="0.3">
      <c r="A26" s="1"/>
    </row>
    <row r="27" spans="1:4" x14ac:dyDescent="0.3">
      <c r="A27" s="1"/>
    </row>
    <row r="28" spans="1:4" x14ac:dyDescent="0.3">
      <c r="A28" s="1"/>
    </row>
    <row r="29" spans="1:4" x14ac:dyDescent="0.3">
      <c r="A29" s="1"/>
    </row>
    <row r="30" spans="1:4" x14ac:dyDescent="0.3">
      <c r="A30" s="1"/>
    </row>
    <row r="31" spans="1:4" x14ac:dyDescent="0.3">
      <c r="A31" s="1"/>
    </row>
    <row r="32" spans="1:4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E5C1-061A-4DA3-8D1A-7D72409D3640}">
  <dimension ref="A1:I653"/>
  <sheetViews>
    <sheetView zoomScale="114" workbookViewId="0">
      <pane ySplit="1" topLeftCell="A636" activePane="bottomLeft" state="frozen"/>
      <selection pane="bottomLeft" activeCell="C636" sqref="C636"/>
    </sheetView>
  </sheetViews>
  <sheetFormatPr baseColWidth="10" defaultRowHeight="15.6" x14ac:dyDescent="0.3"/>
  <cols>
    <col min="3" max="3" width="32.5" bestFit="1" customWidth="1"/>
    <col min="6" max="6" width="21.296875" style="34" bestFit="1" customWidth="1"/>
    <col min="7" max="7" width="11.19921875" style="64"/>
    <col min="8" max="8" width="11.19921875" style="35"/>
    <col min="9" max="9" width="14.59765625" style="35" customWidth="1"/>
  </cols>
  <sheetData>
    <row r="1" spans="1:9" ht="31.2" x14ac:dyDescent="0.3">
      <c r="A1" s="25" t="s">
        <v>5</v>
      </c>
      <c r="B1" s="26" t="s">
        <v>119</v>
      </c>
      <c r="C1" s="27" t="s">
        <v>120</v>
      </c>
      <c r="D1" s="27" t="s">
        <v>121</v>
      </c>
      <c r="E1" s="27" t="s">
        <v>122</v>
      </c>
      <c r="F1" s="32" t="s">
        <v>124</v>
      </c>
      <c r="G1" s="62" t="s">
        <v>133</v>
      </c>
      <c r="H1" s="36" t="s">
        <v>134</v>
      </c>
      <c r="I1" s="37" t="s">
        <v>135</v>
      </c>
    </row>
    <row r="2" spans="1:9" x14ac:dyDescent="0.3">
      <c r="A2" s="28">
        <v>46156</v>
      </c>
      <c r="B2" s="1">
        <v>1</v>
      </c>
      <c r="C2" s="40" t="s">
        <v>6</v>
      </c>
      <c r="D2" s="1" t="s">
        <v>49</v>
      </c>
      <c r="E2" s="1" t="s">
        <v>49</v>
      </c>
      <c r="F2" s="33" t="str">
        <f>IFERROR(VLOOKUP(TRIM(E2),ACTIVIDADES!$A$1:$D$17,2,FALSE),"NO ENCONTRADO")</f>
        <v>CAPORAL</v>
      </c>
      <c r="G2" s="63">
        <v>1</v>
      </c>
      <c r="H2" s="38">
        <f>IFERROR(VLOOKUP(TRIM(E2),ACTIVIDADES!$A$1:$D$17,4,FALSE),"")</f>
        <v>100</v>
      </c>
      <c r="I2" s="35">
        <f t="shared" ref="I2:I65" si="0">IFERROR(G2*H2,"")</f>
        <v>100</v>
      </c>
    </row>
    <row r="3" spans="1:9" x14ac:dyDescent="0.3">
      <c r="A3" s="28">
        <v>46156</v>
      </c>
      <c r="B3" s="1">
        <v>2</v>
      </c>
      <c r="C3" s="29" t="s">
        <v>10</v>
      </c>
      <c r="D3" s="1" t="s">
        <v>49</v>
      </c>
      <c r="E3" s="1" t="s">
        <v>49</v>
      </c>
      <c r="F3" s="33" t="str">
        <f>IFERROR(VLOOKUP(TRIM(E3),ACTIVIDADES!$A$1:$D$17,2,FALSE),"NO ENCONTRADO")</f>
        <v>CAPORAL</v>
      </c>
      <c r="G3" s="63">
        <v>1</v>
      </c>
      <c r="H3" s="38">
        <f>IFERROR(VLOOKUP(TRIM(E3),ACTIVIDADES!$A$1:$D$17,4,FALSE),"")</f>
        <v>100</v>
      </c>
      <c r="I3" s="35">
        <f t="shared" si="0"/>
        <v>100</v>
      </c>
    </row>
    <row r="4" spans="1:9" x14ac:dyDescent="0.3">
      <c r="A4" s="28">
        <v>46156</v>
      </c>
      <c r="B4" s="1">
        <v>3</v>
      </c>
      <c r="C4" s="29" t="s">
        <v>22</v>
      </c>
      <c r="D4" s="53" t="s">
        <v>49</v>
      </c>
      <c r="E4" s="53" t="s">
        <v>49</v>
      </c>
      <c r="F4" s="33" t="str">
        <f>IFERROR(VLOOKUP(TRIM(E4),ACTIVIDADES!$A$1:$D$17,2,FALSE),"NO ENCONTRADO")</f>
        <v>CAPORAL</v>
      </c>
      <c r="G4" s="63">
        <v>1</v>
      </c>
      <c r="H4" s="38">
        <f>IFERROR(VLOOKUP(TRIM(E4),ACTIVIDADES!$A$1:$D$17,4,FALSE),"")</f>
        <v>100</v>
      </c>
      <c r="I4" s="35">
        <f t="shared" si="0"/>
        <v>100</v>
      </c>
    </row>
    <row r="5" spans="1:9" x14ac:dyDescent="0.3">
      <c r="A5" s="28">
        <v>46156</v>
      </c>
      <c r="B5" s="1">
        <v>4</v>
      </c>
      <c r="C5" s="40" t="s">
        <v>36</v>
      </c>
      <c r="D5" s="53" t="s">
        <v>150</v>
      </c>
      <c r="E5" s="47" t="s">
        <v>149</v>
      </c>
      <c r="F5" s="33" t="str">
        <f>IFERROR(VLOOKUP(TRIM(E5),ACTIVIDADES!$A$1:$D$17,2,FALSE),"NO ENCONTRADO")</f>
        <v>HACIENDA</v>
      </c>
      <c r="G5" s="63">
        <v>1</v>
      </c>
      <c r="H5" s="38">
        <f>IFERROR(VLOOKUP(TRIM(E5),ACTIVIDADES!$A$1:$D$17,4,FALSE),"")</f>
        <v>65</v>
      </c>
      <c r="I5" s="35">
        <f t="shared" si="0"/>
        <v>65</v>
      </c>
    </row>
    <row r="6" spans="1:9" x14ac:dyDescent="0.3">
      <c r="A6" s="28">
        <v>46156</v>
      </c>
      <c r="B6" s="1">
        <v>5</v>
      </c>
      <c r="C6" s="29" t="s">
        <v>38</v>
      </c>
      <c r="D6" s="47" t="s">
        <v>150</v>
      </c>
      <c r="E6" s="47" t="s">
        <v>149</v>
      </c>
      <c r="F6" s="33" t="str">
        <f>IFERROR(VLOOKUP(TRIM(E6),ACTIVIDADES!$A$1:$D$17,2,FALSE),"NO ENCONTRADO")</f>
        <v>HACIENDA</v>
      </c>
      <c r="G6" s="63">
        <v>1</v>
      </c>
      <c r="H6" s="38">
        <f>IFERROR(VLOOKUP(TRIM(E6),ACTIVIDADES!$A$1:$D$17,4,FALSE),"")</f>
        <v>65</v>
      </c>
      <c r="I6" s="35">
        <f t="shared" si="0"/>
        <v>65</v>
      </c>
    </row>
    <row r="7" spans="1:9" x14ac:dyDescent="0.3">
      <c r="A7" s="28">
        <v>46156</v>
      </c>
      <c r="B7" s="1">
        <v>6</v>
      </c>
      <c r="C7" s="24" t="s">
        <v>11</v>
      </c>
      <c r="D7" s="53" t="s">
        <v>152</v>
      </c>
      <c r="E7" s="47" t="s">
        <v>60</v>
      </c>
      <c r="F7" s="33" t="str">
        <f>IFERROR(VLOOKUP(TRIM(E7),ACTIVIDADES!$A$1:$D$17,2,FALSE),"NO ENCONTRADO")</f>
        <v>MANEJO DE SOMBRA</v>
      </c>
      <c r="G7" s="63">
        <v>1</v>
      </c>
      <c r="H7" s="38">
        <f>IFERROR(VLOOKUP(TRIM(E7),ACTIVIDADES!$A$1:$D$17,4,FALSE),"")</f>
        <v>75</v>
      </c>
      <c r="I7" s="35">
        <f t="shared" si="0"/>
        <v>75</v>
      </c>
    </row>
    <row r="8" spans="1:9" x14ac:dyDescent="0.3">
      <c r="A8" s="28">
        <v>46156</v>
      </c>
      <c r="B8" s="1">
        <v>7</v>
      </c>
      <c r="C8" s="29" t="s">
        <v>12</v>
      </c>
      <c r="D8" s="53" t="s">
        <v>46</v>
      </c>
      <c r="E8" s="53" t="s">
        <v>75</v>
      </c>
      <c r="F8" s="33" t="str">
        <f>IFERROR(VLOOKUP(TRIM(E8),ACTIVIDADES!$A$1:$D$17,2,FALSE),"NO ENCONTRADO")</f>
        <v>TRAZADO PARA SIEMBRA</v>
      </c>
      <c r="G8" s="63">
        <v>1</v>
      </c>
      <c r="H8" s="38">
        <f>IFERROR(VLOOKUP(TRIM(E8),ACTIVIDADES!$A$1:$D$17,4,FALSE),"")</f>
        <v>75</v>
      </c>
      <c r="I8" s="35">
        <f t="shared" si="0"/>
        <v>75</v>
      </c>
    </row>
    <row r="9" spans="1:9" x14ac:dyDescent="0.3">
      <c r="A9" s="28">
        <v>46156</v>
      </c>
      <c r="B9" s="1">
        <v>8</v>
      </c>
      <c r="C9" s="24" t="s">
        <v>82</v>
      </c>
      <c r="D9" s="53" t="s">
        <v>151</v>
      </c>
      <c r="E9" s="53" t="s">
        <v>60</v>
      </c>
      <c r="F9" s="33" t="str">
        <f>IFERROR(VLOOKUP(TRIM(E9),ACTIVIDADES!$A$1:$D$17,2,FALSE),"NO ENCONTRADO")</f>
        <v>MANEJO DE SOMBRA</v>
      </c>
      <c r="G9" s="63">
        <v>1</v>
      </c>
      <c r="H9" s="38">
        <f>IFERROR(VLOOKUP(TRIM(E9),ACTIVIDADES!$A$1:$D$17,4,FALSE),"")</f>
        <v>75</v>
      </c>
      <c r="I9" s="35">
        <f t="shared" si="0"/>
        <v>75</v>
      </c>
    </row>
    <row r="10" spans="1:9" x14ac:dyDescent="0.3">
      <c r="A10" s="28">
        <v>46156</v>
      </c>
      <c r="B10" s="1">
        <v>9</v>
      </c>
      <c r="C10" s="40" t="s">
        <v>14</v>
      </c>
      <c r="D10" s="53" t="s">
        <v>151</v>
      </c>
      <c r="E10" s="53" t="s">
        <v>60</v>
      </c>
      <c r="F10" s="33" t="str">
        <f>IFERROR(VLOOKUP(TRIM(E10),ACTIVIDADES!$A$1:$D$17,2,FALSE),"NO ENCONTRADO")</f>
        <v>MANEJO DE SOMBRA</v>
      </c>
      <c r="G10" s="63">
        <v>1</v>
      </c>
      <c r="H10" s="38">
        <f>IFERROR(VLOOKUP(TRIM(E10),ACTIVIDADES!$A$1:$D$17,4,FALSE),"")</f>
        <v>75</v>
      </c>
      <c r="I10" s="35">
        <f t="shared" si="0"/>
        <v>75</v>
      </c>
    </row>
    <row r="11" spans="1:9" x14ac:dyDescent="0.3">
      <c r="A11" s="28">
        <v>46156</v>
      </c>
      <c r="B11" s="1">
        <v>12</v>
      </c>
      <c r="C11" s="24" t="s">
        <v>17</v>
      </c>
      <c r="D11" s="53" t="s">
        <v>151</v>
      </c>
      <c r="E11" s="53" t="s">
        <v>60</v>
      </c>
      <c r="F11" s="33" t="str">
        <f>IFERROR(VLOOKUP(TRIM(E11),ACTIVIDADES!$A$1:$D$17,2,FALSE),"NO ENCONTRADO")</f>
        <v>MANEJO DE SOMBRA</v>
      </c>
      <c r="G11" s="63">
        <v>1</v>
      </c>
      <c r="H11" s="38">
        <f>IFERROR(VLOOKUP(TRIM(E11),ACTIVIDADES!$A$1:$D$17,4,FALSE),"")</f>
        <v>75</v>
      </c>
      <c r="I11" s="35">
        <f t="shared" si="0"/>
        <v>75</v>
      </c>
    </row>
    <row r="12" spans="1:9" x14ac:dyDescent="0.3">
      <c r="A12" s="28">
        <v>46156</v>
      </c>
      <c r="B12" s="1">
        <v>15</v>
      </c>
      <c r="C12" s="40" t="s">
        <v>20</v>
      </c>
      <c r="D12" s="53" t="s">
        <v>67</v>
      </c>
      <c r="E12" s="53" t="s">
        <v>50</v>
      </c>
      <c r="F12" s="33" t="str">
        <f>IFERROR(VLOOKUP(TRIM(E12),ACTIVIDADES!$A$1:$D$17,2,FALSE),"NO ENCONTRADO")</f>
        <v>MANTENIMIENTO GENERAL</v>
      </c>
      <c r="G12" s="63">
        <v>1</v>
      </c>
      <c r="H12" s="38">
        <f>IFERROR(VLOOKUP(TRIM(E12),ACTIVIDADES!$A$1:$D$17,4,FALSE),"")</f>
        <v>75</v>
      </c>
      <c r="I12" s="35">
        <f t="shared" si="0"/>
        <v>75</v>
      </c>
    </row>
    <row r="13" spans="1:9" x14ac:dyDescent="0.3">
      <c r="A13" s="28">
        <v>46156</v>
      </c>
      <c r="B13" s="1">
        <v>16</v>
      </c>
      <c r="C13" s="24" t="s">
        <v>90</v>
      </c>
      <c r="D13" s="53" t="s">
        <v>151</v>
      </c>
      <c r="E13" s="53" t="s">
        <v>60</v>
      </c>
      <c r="F13" s="33" t="str">
        <f>IFERROR(VLOOKUP(TRIM(E13),ACTIVIDADES!$A$1:$D$17,2,FALSE),"NO ENCONTRADO")</f>
        <v>MANEJO DE SOMBRA</v>
      </c>
      <c r="G13" s="63">
        <v>1</v>
      </c>
      <c r="H13" s="38">
        <f>IFERROR(VLOOKUP(TRIM(E13),ACTIVIDADES!$A$1:$D$17,4,FALSE),"")</f>
        <v>75</v>
      </c>
      <c r="I13" s="35">
        <f t="shared" si="0"/>
        <v>75</v>
      </c>
    </row>
    <row r="14" spans="1:9" x14ac:dyDescent="0.3">
      <c r="A14" s="28">
        <v>46156</v>
      </c>
      <c r="B14" s="1">
        <v>21</v>
      </c>
      <c r="C14" s="29" t="s">
        <v>26</v>
      </c>
      <c r="D14" s="53" t="s">
        <v>151</v>
      </c>
      <c r="E14" s="53" t="s">
        <v>60</v>
      </c>
      <c r="F14" s="33" t="str">
        <f>IFERROR(VLOOKUP(TRIM(E14),ACTIVIDADES!$A$1:$D$17,2,FALSE),"NO ENCONTRADO")</f>
        <v>MANEJO DE SOMBRA</v>
      </c>
      <c r="G14" s="63">
        <v>1</v>
      </c>
      <c r="H14" s="38">
        <f>IFERROR(VLOOKUP(TRIM(E14),ACTIVIDADES!$A$1:$D$17,4,FALSE),"")</f>
        <v>75</v>
      </c>
      <c r="I14" s="35">
        <f t="shared" si="0"/>
        <v>75</v>
      </c>
    </row>
    <row r="15" spans="1:9" x14ac:dyDescent="0.3">
      <c r="A15" s="28">
        <v>46156</v>
      </c>
      <c r="B15" s="1">
        <v>22</v>
      </c>
      <c r="C15" s="24" t="s">
        <v>27</v>
      </c>
      <c r="D15" s="53" t="s">
        <v>151</v>
      </c>
      <c r="E15" s="53" t="s">
        <v>60</v>
      </c>
      <c r="F15" s="33" t="str">
        <f>IFERROR(VLOOKUP(TRIM(E15),ACTIVIDADES!$A$1:$D$17,2,FALSE),"NO ENCONTRADO")</f>
        <v>MANEJO DE SOMBRA</v>
      </c>
      <c r="G15" s="63">
        <v>1</v>
      </c>
      <c r="H15" s="38">
        <f>IFERROR(VLOOKUP(TRIM(E15),ACTIVIDADES!$A$1:$D$17,4,FALSE),"")</f>
        <v>75</v>
      </c>
      <c r="I15" s="35">
        <f t="shared" si="0"/>
        <v>75</v>
      </c>
    </row>
    <row r="16" spans="1:9" x14ac:dyDescent="0.3">
      <c r="A16" s="28">
        <v>46156</v>
      </c>
      <c r="B16" s="1">
        <v>23</v>
      </c>
      <c r="C16" s="24" t="s">
        <v>96</v>
      </c>
      <c r="D16" s="53" t="s">
        <v>151</v>
      </c>
      <c r="E16" s="53" t="s">
        <v>60</v>
      </c>
      <c r="F16" s="33" t="str">
        <f>IFERROR(VLOOKUP(TRIM(E16),ACTIVIDADES!$A$1:$D$17,2,FALSE),"NO ENCONTRADO")</f>
        <v>MANEJO DE SOMBRA</v>
      </c>
      <c r="G16" s="63">
        <v>1</v>
      </c>
      <c r="H16" s="38">
        <f>IFERROR(VLOOKUP(TRIM(E16),ACTIVIDADES!$A$1:$D$17,4,FALSE),"")</f>
        <v>75</v>
      </c>
      <c r="I16" s="35">
        <f t="shared" si="0"/>
        <v>75</v>
      </c>
    </row>
    <row r="17" spans="1:9" x14ac:dyDescent="0.3">
      <c r="A17" s="28">
        <v>46156</v>
      </c>
      <c r="B17" s="1">
        <v>24</v>
      </c>
      <c r="C17" s="24" t="s">
        <v>29</v>
      </c>
      <c r="D17" s="53" t="s">
        <v>151</v>
      </c>
      <c r="E17" s="53" t="s">
        <v>60</v>
      </c>
      <c r="F17" s="33" t="str">
        <f>IFERROR(VLOOKUP(TRIM(E17),ACTIVIDADES!$A$1:$D$17,2,FALSE),"NO ENCONTRADO")</f>
        <v>MANEJO DE SOMBRA</v>
      </c>
      <c r="G17" s="63">
        <v>1</v>
      </c>
      <c r="H17" s="38">
        <f>IFERROR(VLOOKUP(TRIM(E17),ACTIVIDADES!$A$1:$D$17,4,FALSE),"")</f>
        <v>75</v>
      </c>
      <c r="I17" s="35">
        <f t="shared" si="0"/>
        <v>75</v>
      </c>
    </row>
    <row r="18" spans="1:9" x14ac:dyDescent="0.3">
      <c r="A18" s="28">
        <v>46156</v>
      </c>
      <c r="B18" s="1">
        <v>26</v>
      </c>
      <c r="C18" s="24" t="s">
        <v>99</v>
      </c>
      <c r="D18" s="53" t="s">
        <v>151</v>
      </c>
      <c r="E18" s="53" t="s">
        <v>60</v>
      </c>
      <c r="F18" s="33" t="str">
        <f>IFERROR(VLOOKUP(TRIM(E18),ACTIVIDADES!$A$1:$D$17,2,FALSE),"NO ENCONTRADO")</f>
        <v>MANEJO DE SOMBRA</v>
      </c>
      <c r="G18" s="63">
        <v>1</v>
      </c>
      <c r="H18" s="38">
        <f>IFERROR(VLOOKUP(TRIM(E18),ACTIVIDADES!$A$1:$D$17,4,FALSE),"")</f>
        <v>75</v>
      </c>
      <c r="I18" s="35">
        <f t="shared" si="0"/>
        <v>75</v>
      </c>
    </row>
    <row r="19" spans="1:9" x14ac:dyDescent="0.3">
      <c r="A19" s="28">
        <v>46156</v>
      </c>
      <c r="B19" s="1">
        <v>28</v>
      </c>
      <c r="C19" s="24" t="s">
        <v>33</v>
      </c>
      <c r="D19" s="53" t="s">
        <v>46</v>
      </c>
      <c r="E19" s="53" t="s">
        <v>75</v>
      </c>
      <c r="F19" s="33" t="str">
        <f>IFERROR(VLOOKUP(TRIM(E19),ACTIVIDADES!$A$1:$D$17,2,FALSE),"NO ENCONTRADO")</f>
        <v>TRAZADO PARA SIEMBRA</v>
      </c>
      <c r="G19" s="63">
        <v>1</v>
      </c>
      <c r="H19" s="38">
        <f>IFERROR(VLOOKUP(TRIM(E19),ACTIVIDADES!$A$1:$D$17,4,FALSE),"")</f>
        <v>75</v>
      </c>
      <c r="I19" s="35">
        <f t="shared" si="0"/>
        <v>75</v>
      </c>
    </row>
    <row r="20" spans="1:9" x14ac:dyDescent="0.3">
      <c r="A20" s="28">
        <v>46156</v>
      </c>
      <c r="B20" s="1">
        <v>29</v>
      </c>
      <c r="C20" s="24" t="s">
        <v>102</v>
      </c>
      <c r="D20" s="53" t="s">
        <v>151</v>
      </c>
      <c r="E20" s="53" t="s">
        <v>60</v>
      </c>
      <c r="F20" s="33" t="str">
        <f>IFERROR(VLOOKUP(TRIM(E20),ACTIVIDADES!$A$1:$D$17,2,FALSE),"NO ENCONTRADO")</f>
        <v>MANEJO DE SOMBRA</v>
      </c>
      <c r="G20" s="63">
        <v>1</v>
      </c>
      <c r="H20" s="38">
        <f>IFERROR(VLOOKUP(TRIM(E20),ACTIVIDADES!$A$1:$D$17,4,FALSE),"")</f>
        <v>75</v>
      </c>
      <c r="I20" s="35">
        <f t="shared" si="0"/>
        <v>75</v>
      </c>
    </row>
    <row r="21" spans="1:9" x14ac:dyDescent="0.3">
      <c r="A21" s="28">
        <v>46156</v>
      </c>
      <c r="B21" s="1">
        <v>30</v>
      </c>
      <c r="C21" s="24" t="s">
        <v>35</v>
      </c>
      <c r="D21" s="53" t="s">
        <v>46</v>
      </c>
      <c r="E21" s="53" t="s">
        <v>75</v>
      </c>
      <c r="F21" s="33" t="str">
        <f>IFERROR(VLOOKUP(TRIM(E21),ACTIVIDADES!$A$1:$D$17,2,FALSE),"NO ENCONTRADO")</f>
        <v>TRAZADO PARA SIEMBRA</v>
      </c>
      <c r="G21" s="63">
        <v>1</v>
      </c>
      <c r="H21" s="38">
        <f>IFERROR(VLOOKUP(TRIM(E21),ACTIVIDADES!$A$1:$D$17,4,FALSE),"")</f>
        <v>75</v>
      </c>
      <c r="I21" s="35">
        <f t="shared" si="0"/>
        <v>75</v>
      </c>
    </row>
    <row r="22" spans="1:9" x14ac:dyDescent="0.3">
      <c r="A22" s="28">
        <v>46156</v>
      </c>
      <c r="B22" s="1">
        <v>31</v>
      </c>
      <c r="C22" s="24" t="s">
        <v>9</v>
      </c>
      <c r="D22" s="53" t="s">
        <v>151</v>
      </c>
      <c r="E22" s="53" t="s">
        <v>60</v>
      </c>
      <c r="F22" s="33" t="str">
        <f>IFERROR(VLOOKUP(TRIM(E22),ACTIVIDADES!$A$1:$D$17,2,FALSE),"NO ENCONTRADO")</f>
        <v>MANEJO DE SOMBRA</v>
      </c>
      <c r="G22" s="63">
        <v>1</v>
      </c>
      <c r="H22" s="38">
        <f>IFERROR(VLOOKUP(TRIM(E22),ACTIVIDADES!$A$1:$D$17,4,FALSE),"")</f>
        <v>75</v>
      </c>
      <c r="I22" s="35">
        <f t="shared" si="0"/>
        <v>75</v>
      </c>
    </row>
    <row r="23" spans="1:9" x14ac:dyDescent="0.3">
      <c r="A23" s="28">
        <v>46156</v>
      </c>
      <c r="B23" s="1">
        <v>32</v>
      </c>
      <c r="C23" s="30" t="s">
        <v>37</v>
      </c>
      <c r="D23" s="53" t="s">
        <v>151</v>
      </c>
      <c r="E23" s="53" t="s">
        <v>60</v>
      </c>
      <c r="F23" s="33" t="str">
        <f>IFERROR(VLOOKUP(TRIM(E23),ACTIVIDADES!$A$1:$D$17,2,FALSE),"NO ENCONTRADO")</f>
        <v>MANEJO DE SOMBRA</v>
      </c>
      <c r="G23" s="63">
        <v>1</v>
      </c>
      <c r="H23" s="38">
        <f>IFERROR(VLOOKUP(TRIM(E23),ACTIVIDADES!$A$1:$D$17,4,FALSE),"")</f>
        <v>75</v>
      </c>
      <c r="I23" s="35">
        <f t="shared" si="0"/>
        <v>75</v>
      </c>
    </row>
    <row r="24" spans="1:9" x14ac:dyDescent="0.3">
      <c r="A24" s="28">
        <v>46156</v>
      </c>
      <c r="B24" s="1">
        <v>33</v>
      </c>
      <c r="C24" s="24" t="s">
        <v>7</v>
      </c>
      <c r="D24" s="53" t="s">
        <v>151</v>
      </c>
      <c r="E24" s="53" t="s">
        <v>60</v>
      </c>
      <c r="F24" s="33" t="str">
        <f>IFERROR(VLOOKUP(TRIM(E24),ACTIVIDADES!$A$1:$D$17,2,FALSE),"NO ENCONTRADO")</f>
        <v>MANEJO DE SOMBRA</v>
      </c>
      <c r="G24" s="63">
        <v>1</v>
      </c>
      <c r="H24" s="38">
        <f>IFERROR(VLOOKUP(TRIM(E24),ACTIVIDADES!$A$1:$D$17,4,FALSE),"")</f>
        <v>75</v>
      </c>
      <c r="I24" s="35">
        <f t="shared" si="0"/>
        <v>75</v>
      </c>
    </row>
    <row r="25" spans="1:9" x14ac:dyDescent="0.3">
      <c r="A25" s="28">
        <v>46156</v>
      </c>
      <c r="B25" s="1">
        <v>34</v>
      </c>
      <c r="C25" s="24" t="s">
        <v>107</v>
      </c>
      <c r="D25" s="53" t="s">
        <v>151</v>
      </c>
      <c r="E25" s="53" t="s">
        <v>60</v>
      </c>
      <c r="F25" s="33" t="str">
        <f>IFERROR(VLOOKUP(TRIM(E25),ACTIVIDADES!$A$1:$D$17,2,FALSE),"NO ENCONTRADO")</f>
        <v>MANEJO DE SOMBRA</v>
      </c>
      <c r="G25" s="63">
        <v>1</v>
      </c>
      <c r="H25" s="38">
        <f>IFERROR(VLOOKUP(TRIM(E25),ACTIVIDADES!$A$1:$D$17,4,FALSE),"")</f>
        <v>75</v>
      </c>
      <c r="I25" s="35">
        <f t="shared" si="0"/>
        <v>75</v>
      </c>
    </row>
    <row r="26" spans="1:9" x14ac:dyDescent="0.3">
      <c r="A26" s="28">
        <v>46156</v>
      </c>
      <c r="B26" s="1">
        <v>35</v>
      </c>
      <c r="C26" s="24" t="s">
        <v>108</v>
      </c>
      <c r="D26" s="53" t="s">
        <v>151</v>
      </c>
      <c r="E26" s="53" t="s">
        <v>60</v>
      </c>
      <c r="F26" s="33" t="str">
        <f>IFERROR(VLOOKUP(TRIM(E26),ACTIVIDADES!$A$1:$D$17,2,FALSE),"NO ENCONTRADO")</f>
        <v>MANEJO DE SOMBRA</v>
      </c>
      <c r="G26" s="63">
        <v>1</v>
      </c>
      <c r="H26" s="38">
        <f>IFERROR(VLOOKUP(TRIM(E26),ACTIVIDADES!$A$1:$D$17,4,FALSE),"")</f>
        <v>75</v>
      </c>
      <c r="I26" s="35">
        <f t="shared" si="0"/>
        <v>75</v>
      </c>
    </row>
    <row r="27" spans="1:9" x14ac:dyDescent="0.3">
      <c r="A27" s="28">
        <v>46156</v>
      </c>
      <c r="B27" s="1">
        <v>37</v>
      </c>
      <c r="C27" s="24" t="s">
        <v>42</v>
      </c>
      <c r="D27" s="53" t="s">
        <v>151</v>
      </c>
      <c r="E27" s="53" t="s">
        <v>60</v>
      </c>
      <c r="F27" s="33" t="str">
        <f>IFERROR(VLOOKUP(TRIM(E27),ACTIVIDADES!$A$1:$D$17,2,FALSE),"NO ENCONTRADO")</f>
        <v>MANEJO DE SOMBRA</v>
      </c>
      <c r="G27" s="63">
        <v>1</v>
      </c>
      <c r="H27" s="38">
        <f>IFERROR(VLOOKUP(TRIM(E27),ACTIVIDADES!$A$1:$D$17,4,FALSE),"")</f>
        <v>75</v>
      </c>
      <c r="I27" s="35">
        <f t="shared" si="0"/>
        <v>75</v>
      </c>
    </row>
    <row r="28" spans="1:9" x14ac:dyDescent="0.3">
      <c r="A28" s="28">
        <v>46156</v>
      </c>
      <c r="B28" s="1">
        <v>38</v>
      </c>
      <c r="C28" s="24" t="s">
        <v>43</v>
      </c>
      <c r="D28" s="53" t="s">
        <v>151</v>
      </c>
      <c r="E28" s="53" t="s">
        <v>60</v>
      </c>
      <c r="F28" s="33" t="str">
        <f>IFERROR(VLOOKUP(TRIM(E28),ACTIVIDADES!$A$1:$D$17,2,FALSE),"NO ENCONTRADO")</f>
        <v>MANEJO DE SOMBRA</v>
      </c>
      <c r="G28" s="63">
        <v>1</v>
      </c>
      <c r="H28" s="38">
        <f>IFERROR(VLOOKUP(TRIM(E28),ACTIVIDADES!$A$1:$D$17,4,FALSE),"")</f>
        <v>75</v>
      </c>
      <c r="I28" s="35">
        <f t="shared" si="0"/>
        <v>75</v>
      </c>
    </row>
    <row r="29" spans="1:9" x14ac:dyDescent="0.3">
      <c r="A29" s="28">
        <v>46156</v>
      </c>
      <c r="B29" s="1">
        <v>39</v>
      </c>
      <c r="C29" s="24" t="s">
        <v>44</v>
      </c>
      <c r="D29" s="1" t="s">
        <v>46</v>
      </c>
      <c r="E29" s="53" t="s">
        <v>75</v>
      </c>
      <c r="F29" s="33" t="str">
        <f>IFERROR(VLOOKUP(TRIM(E29),ACTIVIDADES!$A$1:$D$17,2,FALSE),"NO ENCONTRADO")</f>
        <v>TRAZADO PARA SIEMBRA</v>
      </c>
      <c r="G29" s="63">
        <v>1</v>
      </c>
      <c r="H29" s="38">
        <f>IFERROR(VLOOKUP(TRIM(E29),ACTIVIDADES!$A$1:$D$17,4,FALSE),"")</f>
        <v>75</v>
      </c>
      <c r="I29" s="35">
        <f t="shared" si="0"/>
        <v>75</v>
      </c>
    </row>
    <row r="30" spans="1:9" x14ac:dyDescent="0.3">
      <c r="A30" s="28">
        <v>46126</v>
      </c>
      <c r="B30" s="1">
        <v>1</v>
      </c>
      <c r="C30" s="40" t="s">
        <v>6</v>
      </c>
      <c r="D30" s="1" t="s">
        <v>49</v>
      </c>
      <c r="E30" s="1" t="s">
        <v>49</v>
      </c>
      <c r="F30" s="33" t="str">
        <f>IFERROR(VLOOKUP(TRIM(E30),ACTIVIDADES!$A$1:$D$17,2,FALSE),"NO ENCONTRADO")</f>
        <v>CAPORAL</v>
      </c>
      <c r="G30" s="63">
        <v>1</v>
      </c>
      <c r="H30" s="38">
        <f>IFERROR(VLOOKUP(TRIM(E30),ACTIVIDADES!$A$1:$D$17,4,FALSE),"")</f>
        <v>100</v>
      </c>
      <c r="I30" s="35">
        <f t="shared" si="0"/>
        <v>100</v>
      </c>
    </row>
    <row r="31" spans="1:9" x14ac:dyDescent="0.3">
      <c r="A31" s="28">
        <v>46126</v>
      </c>
      <c r="B31" s="1">
        <v>2</v>
      </c>
      <c r="C31" s="29" t="s">
        <v>10</v>
      </c>
      <c r="D31" s="1" t="s">
        <v>49</v>
      </c>
      <c r="E31" s="1" t="s">
        <v>49</v>
      </c>
      <c r="F31" s="33" t="str">
        <f>IFERROR(VLOOKUP(TRIM(E31),ACTIVIDADES!$A$1:$D$17,2,FALSE),"NO ENCONTRADO")</f>
        <v>CAPORAL</v>
      </c>
      <c r="G31" s="63">
        <v>1</v>
      </c>
      <c r="H31" s="38">
        <f>IFERROR(VLOOKUP(TRIM(E31),ACTIVIDADES!$A$1:$D$17,4,FALSE),"")</f>
        <v>100</v>
      </c>
      <c r="I31" s="35">
        <f t="shared" si="0"/>
        <v>100</v>
      </c>
    </row>
    <row r="32" spans="1:9" x14ac:dyDescent="0.3">
      <c r="A32" s="28">
        <v>46126</v>
      </c>
      <c r="B32" s="1">
        <v>3</v>
      </c>
      <c r="C32" s="29" t="s">
        <v>22</v>
      </c>
      <c r="D32" s="1" t="s">
        <v>48</v>
      </c>
      <c r="E32" s="1" t="s">
        <v>48</v>
      </c>
      <c r="F32" s="33" t="str">
        <f>IFERROR(VLOOKUP(TRIM(E32),ACTIVIDADES!$A$1:$D$17,2,FALSE),"NO ENCONTRADO")</f>
        <v>BENEFICIO</v>
      </c>
      <c r="G32" s="63">
        <v>1</v>
      </c>
      <c r="H32" s="38">
        <f>IFERROR(VLOOKUP(TRIM(E32),ACTIVIDADES!$A$1:$D$17,4,FALSE),"")</f>
        <v>75</v>
      </c>
      <c r="I32" s="35">
        <f t="shared" si="0"/>
        <v>75</v>
      </c>
    </row>
    <row r="33" spans="1:9" x14ac:dyDescent="0.3">
      <c r="A33" s="28">
        <v>46126</v>
      </c>
      <c r="B33" s="1">
        <v>4</v>
      </c>
      <c r="C33" s="40" t="s">
        <v>36</v>
      </c>
      <c r="D33" s="47" t="s">
        <v>49</v>
      </c>
      <c r="E33" s="47" t="s">
        <v>149</v>
      </c>
      <c r="F33" s="33" t="str">
        <f>IFERROR(VLOOKUP(TRIM(E33),ACTIVIDADES!$A$1:$D$17,2,FALSE),"NO ENCONTRADO")</f>
        <v>HACIENDA</v>
      </c>
      <c r="G33" s="63">
        <v>1</v>
      </c>
      <c r="H33" s="38">
        <f>IFERROR(VLOOKUP(TRIM(E33),ACTIVIDADES!$A$1:$D$17,4,FALSE),"")</f>
        <v>65</v>
      </c>
      <c r="I33" s="35">
        <f t="shared" si="0"/>
        <v>65</v>
      </c>
    </row>
    <row r="34" spans="1:9" x14ac:dyDescent="0.3">
      <c r="A34" s="28">
        <v>46126</v>
      </c>
      <c r="B34" s="1">
        <v>5</v>
      </c>
      <c r="C34" s="29" t="s">
        <v>38</v>
      </c>
      <c r="D34" s="47" t="s">
        <v>150</v>
      </c>
      <c r="E34" s="47" t="s">
        <v>149</v>
      </c>
      <c r="F34" s="33" t="str">
        <f>IFERROR(VLOOKUP(TRIM(E34),ACTIVIDADES!$A$1:$D$17,2,FALSE),"NO ENCONTRADO")</f>
        <v>HACIENDA</v>
      </c>
      <c r="G34" s="63">
        <v>1</v>
      </c>
      <c r="H34" s="38">
        <f>IFERROR(VLOOKUP(TRIM(E34),ACTIVIDADES!$A$1:$D$17,4,FALSE),"")</f>
        <v>65</v>
      </c>
      <c r="I34" s="35">
        <f t="shared" si="0"/>
        <v>65</v>
      </c>
    </row>
    <row r="35" spans="1:9" x14ac:dyDescent="0.3">
      <c r="A35" s="28">
        <v>46126</v>
      </c>
      <c r="B35" s="1">
        <v>6</v>
      </c>
      <c r="C35" s="24" t="s">
        <v>11</v>
      </c>
      <c r="D35" s="1" t="s">
        <v>47</v>
      </c>
      <c r="E35" s="1" t="s">
        <v>45</v>
      </c>
      <c r="F35" s="33" t="str">
        <f>IFERROR(VLOOKUP(TRIM(E35),ACTIVIDADES!$A$1:$D$17,2,FALSE),"NO ENCONTRADO")</f>
        <v>REPASO SOMBRA</v>
      </c>
      <c r="G35" s="63">
        <v>1</v>
      </c>
      <c r="H35" s="38">
        <f>IFERROR(VLOOKUP(TRIM(E35),ACTIVIDADES!$A$1:$D$17,4,FALSE),"")</f>
        <v>75</v>
      </c>
      <c r="I35" s="35">
        <f t="shared" si="0"/>
        <v>75</v>
      </c>
    </row>
    <row r="36" spans="1:9" x14ac:dyDescent="0.3">
      <c r="A36" s="28">
        <v>46126</v>
      </c>
      <c r="B36" s="1">
        <v>7</v>
      </c>
      <c r="C36" s="29" t="s">
        <v>12</v>
      </c>
      <c r="D36" s="1" t="s">
        <v>52</v>
      </c>
      <c r="E36" s="1" t="s">
        <v>45</v>
      </c>
      <c r="F36" s="33" t="str">
        <f>IFERROR(VLOOKUP(TRIM(E36),ACTIVIDADES!$A$1:$D$17,2,FALSE),"NO ENCONTRADO")</f>
        <v>REPASO SOMBRA</v>
      </c>
      <c r="G36" s="63">
        <v>1</v>
      </c>
      <c r="H36" s="38">
        <f>IFERROR(VLOOKUP(TRIM(E36),ACTIVIDADES!$A$1:$D$17,4,FALSE),"")</f>
        <v>75</v>
      </c>
      <c r="I36" s="35">
        <f t="shared" si="0"/>
        <v>75</v>
      </c>
    </row>
    <row r="37" spans="1:9" x14ac:dyDescent="0.3">
      <c r="A37" s="28">
        <v>46126</v>
      </c>
      <c r="B37" s="1">
        <v>8</v>
      </c>
      <c r="C37" s="24" t="s">
        <v>82</v>
      </c>
      <c r="D37" s="1" t="s">
        <v>52</v>
      </c>
      <c r="E37" s="1" t="s">
        <v>45</v>
      </c>
      <c r="F37" s="33" t="str">
        <f>IFERROR(VLOOKUP(TRIM(E37),ACTIVIDADES!$A$1:$D$17,2,FALSE),"NO ENCONTRADO")</f>
        <v>REPASO SOMBRA</v>
      </c>
      <c r="G37" s="63">
        <v>1</v>
      </c>
      <c r="H37" s="38">
        <f>IFERROR(VLOOKUP(TRIM(E37),ACTIVIDADES!$A$1:$D$17,4,FALSE),"")</f>
        <v>75</v>
      </c>
      <c r="I37" s="35">
        <f t="shared" si="0"/>
        <v>75</v>
      </c>
    </row>
    <row r="38" spans="1:9" x14ac:dyDescent="0.3">
      <c r="A38" s="28">
        <v>46126</v>
      </c>
      <c r="B38" s="1">
        <v>9</v>
      </c>
      <c r="C38" s="40" t="s">
        <v>14</v>
      </c>
      <c r="D38" s="1" t="s">
        <v>58</v>
      </c>
      <c r="E38" s="1" t="s">
        <v>79</v>
      </c>
      <c r="F38" s="33" t="str">
        <f>IFERROR(VLOOKUP(TRIM(E38),ACTIVIDADES!$A$1:$D$17,2,FALSE),"NO ENCONTRADO")</f>
        <v>REPASO SOMBRA</v>
      </c>
      <c r="G38" s="63">
        <v>1</v>
      </c>
      <c r="H38" s="38">
        <f>IFERROR(VLOOKUP(TRIM(E38),ACTIVIDADES!$A$1:$D$17,4,FALSE),"")</f>
        <v>75</v>
      </c>
      <c r="I38" s="35">
        <f t="shared" si="0"/>
        <v>75</v>
      </c>
    </row>
    <row r="39" spans="1:9" x14ac:dyDescent="0.3">
      <c r="A39" s="28">
        <v>46126</v>
      </c>
      <c r="B39" s="1">
        <v>12</v>
      </c>
      <c r="C39" s="24" t="s">
        <v>17</v>
      </c>
      <c r="D39" s="1" t="s">
        <v>52</v>
      </c>
      <c r="E39" s="1" t="s">
        <v>45</v>
      </c>
      <c r="F39" s="33" t="str">
        <f>IFERROR(VLOOKUP(TRIM(E39),ACTIVIDADES!$A$1:$D$17,2,FALSE),"NO ENCONTRADO")</f>
        <v>REPASO SOMBRA</v>
      </c>
      <c r="G39" s="63">
        <v>1</v>
      </c>
      <c r="H39" s="38">
        <f>IFERROR(VLOOKUP(TRIM(E39),ACTIVIDADES!$A$1:$D$17,4,FALSE),"")</f>
        <v>75</v>
      </c>
      <c r="I39" s="35">
        <f t="shared" si="0"/>
        <v>75</v>
      </c>
    </row>
    <row r="40" spans="1:9" x14ac:dyDescent="0.3">
      <c r="A40" s="28">
        <v>46126</v>
      </c>
      <c r="B40" s="1">
        <v>15</v>
      </c>
      <c r="C40" s="40" t="s">
        <v>20</v>
      </c>
      <c r="D40" s="1" t="s">
        <v>53</v>
      </c>
      <c r="E40" s="1" t="s">
        <v>53</v>
      </c>
      <c r="F40" s="33" t="str">
        <f>IFERROR(VLOOKUP(TRIM(E40),ACTIVIDADES!$A$1:$D$17,2,FALSE),"NO ENCONTRADO")</f>
        <v>BENEFICIO</v>
      </c>
      <c r="G40" s="63">
        <v>1</v>
      </c>
      <c r="H40" s="38">
        <f>IFERROR(VLOOKUP(TRIM(E40),ACTIVIDADES!$A$1:$D$17,4,FALSE),"")</f>
        <v>75</v>
      </c>
      <c r="I40" s="35">
        <f t="shared" si="0"/>
        <v>75</v>
      </c>
    </row>
    <row r="41" spans="1:9" x14ac:dyDescent="0.3">
      <c r="A41" s="28">
        <v>46126</v>
      </c>
      <c r="B41" s="1">
        <v>16</v>
      </c>
      <c r="C41" s="24" t="s">
        <v>90</v>
      </c>
      <c r="D41" s="1" t="s">
        <v>58</v>
      </c>
      <c r="E41" s="1" t="s">
        <v>79</v>
      </c>
      <c r="F41" s="33" t="str">
        <f>IFERROR(VLOOKUP(TRIM(E41),ACTIVIDADES!$A$1:$D$17,2,FALSE),"NO ENCONTRADO")</f>
        <v>REPASO SOMBRA</v>
      </c>
      <c r="G41" s="63">
        <v>1</v>
      </c>
      <c r="H41" s="38">
        <f>IFERROR(VLOOKUP(TRIM(E41),ACTIVIDADES!$A$1:$D$17,4,FALSE),"")</f>
        <v>75</v>
      </c>
      <c r="I41" s="35">
        <f t="shared" si="0"/>
        <v>75</v>
      </c>
    </row>
    <row r="42" spans="1:9" x14ac:dyDescent="0.3">
      <c r="A42" s="28">
        <v>46126</v>
      </c>
      <c r="B42" s="1">
        <v>17</v>
      </c>
      <c r="C42" s="24" t="s">
        <v>91</v>
      </c>
      <c r="D42" s="1" t="s">
        <v>52</v>
      </c>
      <c r="E42" s="1" t="s">
        <v>45</v>
      </c>
      <c r="F42" s="33" t="str">
        <f>IFERROR(VLOOKUP(TRIM(E42),ACTIVIDADES!$A$1:$D$17,2,FALSE),"NO ENCONTRADO")</f>
        <v>REPASO SOMBRA</v>
      </c>
      <c r="G42" s="63">
        <v>1</v>
      </c>
      <c r="H42" s="38">
        <f>IFERROR(VLOOKUP(TRIM(E42),ACTIVIDADES!$A$1:$D$17,4,FALSE),"")</f>
        <v>75</v>
      </c>
      <c r="I42" s="35">
        <f t="shared" si="0"/>
        <v>75</v>
      </c>
    </row>
    <row r="43" spans="1:9" x14ac:dyDescent="0.3">
      <c r="A43" s="28">
        <v>46126</v>
      </c>
      <c r="B43" s="1">
        <v>18</v>
      </c>
      <c r="C43" s="30" t="s">
        <v>23</v>
      </c>
      <c r="D43" s="1" t="s">
        <v>52</v>
      </c>
      <c r="E43" s="1" t="s">
        <v>45</v>
      </c>
      <c r="F43" s="33" t="str">
        <f>IFERROR(VLOOKUP(TRIM(E43),ACTIVIDADES!$A$1:$D$17,2,FALSE),"NO ENCONTRADO")</f>
        <v>REPASO SOMBRA</v>
      </c>
      <c r="G43" s="63">
        <v>1</v>
      </c>
      <c r="H43" s="38">
        <f>IFERROR(VLOOKUP(TRIM(E43),ACTIVIDADES!$A$1:$D$17,4,FALSE),"")</f>
        <v>75</v>
      </c>
      <c r="I43" s="35">
        <f t="shared" si="0"/>
        <v>75</v>
      </c>
    </row>
    <row r="44" spans="1:9" x14ac:dyDescent="0.3">
      <c r="A44" s="28">
        <v>46126</v>
      </c>
      <c r="B44" s="1">
        <v>19</v>
      </c>
      <c r="C44" s="24" t="s">
        <v>92</v>
      </c>
      <c r="D44" s="1" t="s">
        <v>52</v>
      </c>
      <c r="E44" s="1" t="s">
        <v>45</v>
      </c>
      <c r="F44" s="33" t="str">
        <f>IFERROR(VLOOKUP(TRIM(E44),ACTIVIDADES!$A$1:$D$17,2,FALSE),"NO ENCONTRADO")</f>
        <v>REPASO SOMBRA</v>
      </c>
      <c r="G44" s="63">
        <v>1</v>
      </c>
      <c r="H44" s="38">
        <f>IFERROR(VLOOKUP(TRIM(E44),ACTIVIDADES!$A$1:$D$17,4,FALSE),"")</f>
        <v>75</v>
      </c>
      <c r="I44" s="35">
        <f t="shared" si="0"/>
        <v>75</v>
      </c>
    </row>
    <row r="45" spans="1:9" x14ac:dyDescent="0.3">
      <c r="A45" s="28">
        <v>46126</v>
      </c>
      <c r="B45" s="1">
        <v>20</v>
      </c>
      <c r="C45" s="24" t="s">
        <v>25</v>
      </c>
      <c r="D45" s="1" t="s">
        <v>52</v>
      </c>
      <c r="E45" s="1" t="s">
        <v>45</v>
      </c>
      <c r="F45" s="33" t="str">
        <f>IFERROR(VLOOKUP(TRIM(E45),ACTIVIDADES!$A$1:$D$17,2,FALSE),"NO ENCONTRADO")</f>
        <v>REPASO SOMBRA</v>
      </c>
      <c r="G45" s="63">
        <v>1</v>
      </c>
      <c r="H45" s="38">
        <f>IFERROR(VLOOKUP(TRIM(E45),ACTIVIDADES!$A$1:$D$17,4,FALSE),"")</f>
        <v>75</v>
      </c>
      <c r="I45" s="35">
        <f t="shared" si="0"/>
        <v>75</v>
      </c>
    </row>
    <row r="46" spans="1:9" x14ac:dyDescent="0.3">
      <c r="A46" s="28">
        <v>46126</v>
      </c>
      <c r="B46" s="1">
        <v>22</v>
      </c>
      <c r="C46" s="24" t="s">
        <v>27</v>
      </c>
      <c r="D46" s="1" t="s">
        <v>54</v>
      </c>
      <c r="E46" s="1" t="s">
        <v>45</v>
      </c>
      <c r="F46" s="33" t="str">
        <f>IFERROR(VLOOKUP(TRIM(E46),ACTIVIDADES!$A$1:$D$17,2,FALSE),"NO ENCONTRADO")</f>
        <v>REPASO SOMBRA</v>
      </c>
      <c r="G46" s="63">
        <v>1</v>
      </c>
      <c r="H46" s="38">
        <f>IFERROR(VLOOKUP(TRIM(E46),ACTIVIDADES!$A$1:$D$17,4,FALSE),"")</f>
        <v>75</v>
      </c>
      <c r="I46" s="35">
        <f t="shared" si="0"/>
        <v>75</v>
      </c>
    </row>
    <row r="47" spans="1:9" x14ac:dyDescent="0.3">
      <c r="A47" s="28">
        <v>46126</v>
      </c>
      <c r="B47" s="1">
        <v>23</v>
      </c>
      <c r="C47" s="24" t="s">
        <v>96</v>
      </c>
      <c r="D47" s="1" t="s">
        <v>54</v>
      </c>
      <c r="E47" s="1" t="s">
        <v>45</v>
      </c>
      <c r="F47" s="33" t="str">
        <f>IFERROR(VLOOKUP(TRIM(E47),ACTIVIDADES!$A$1:$D$17,2,FALSE),"NO ENCONTRADO")</f>
        <v>REPASO SOMBRA</v>
      </c>
      <c r="G47" s="63">
        <v>1</v>
      </c>
      <c r="H47" s="38">
        <f>IFERROR(VLOOKUP(TRIM(E47),ACTIVIDADES!$A$1:$D$17,4,FALSE),"")</f>
        <v>75</v>
      </c>
      <c r="I47" s="35">
        <f t="shared" si="0"/>
        <v>75</v>
      </c>
    </row>
    <row r="48" spans="1:9" x14ac:dyDescent="0.3">
      <c r="A48" s="28">
        <v>46126</v>
      </c>
      <c r="B48" s="1">
        <v>25</v>
      </c>
      <c r="C48" s="24" t="s">
        <v>30</v>
      </c>
      <c r="D48" s="1" t="s">
        <v>55</v>
      </c>
      <c r="E48" s="1" t="s">
        <v>45</v>
      </c>
      <c r="F48" s="33" t="str">
        <f>IFERROR(VLOOKUP(TRIM(E48),ACTIVIDADES!$A$1:$D$17,2,FALSE),"NO ENCONTRADO")</f>
        <v>REPASO SOMBRA</v>
      </c>
      <c r="G48" s="63">
        <v>1</v>
      </c>
      <c r="H48" s="38">
        <f>IFERROR(VLOOKUP(TRIM(E48),ACTIVIDADES!$A$1:$D$17,4,FALSE),"")</f>
        <v>75</v>
      </c>
      <c r="I48" s="35">
        <f t="shared" si="0"/>
        <v>75</v>
      </c>
    </row>
    <row r="49" spans="1:9" x14ac:dyDescent="0.3">
      <c r="A49" s="28">
        <v>46126</v>
      </c>
      <c r="B49" s="1">
        <v>26</v>
      </c>
      <c r="C49" s="24" t="s">
        <v>99</v>
      </c>
      <c r="D49" s="1" t="s">
        <v>55</v>
      </c>
      <c r="E49" s="1" t="s">
        <v>45</v>
      </c>
      <c r="F49" s="33" t="str">
        <f>IFERROR(VLOOKUP(TRIM(E49),ACTIVIDADES!$A$1:$D$17,2,FALSE),"NO ENCONTRADO")</f>
        <v>REPASO SOMBRA</v>
      </c>
      <c r="G49" s="63">
        <v>1</v>
      </c>
      <c r="H49" s="38">
        <f>IFERROR(VLOOKUP(TRIM(E49),ACTIVIDADES!$A$1:$D$17,4,FALSE),"")</f>
        <v>75</v>
      </c>
      <c r="I49" s="35">
        <f t="shared" si="0"/>
        <v>75</v>
      </c>
    </row>
    <row r="50" spans="1:9" x14ac:dyDescent="0.3">
      <c r="A50" s="28">
        <v>46126</v>
      </c>
      <c r="B50" s="1">
        <v>27</v>
      </c>
      <c r="C50" s="24" t="s">
        <v>100</v>
      </c>
      <c r="D50" s="1" t="s">
        <v>55</v>
      </c>
      <c r="E50" s="1" t="s">
        <v>45</v>
      </c>
      <c r="F50" s="33" t="str">
        <f>IFERROR(VLOOKUP(TRIM(E50),ACTIVIDADES!$A$1:$D$17,2,FALSE),"NO ENCONTRADO")</f>
        <v>REPASO SOMBRA</v>
      </c>
      <c r="G50" s="63">
        <v>1</v>
      </c>
      <c r="H50" s="38">
        <f>IFERROR(VLOOKUP(TRIM(E50),ACTIVIDADES!$A$1:$D$17,4,FALSE),"")</f>
        <v>75</v>
      </c>
      <c r="I50" s="35">
        <f t="shared" si="0"/>
        <v>75</v>
      </c>
    </row>
    <row r="51" spans="1:9" x14ac:dyDescent="0.3">
      <c r="A51" s="28">
        <v>46126</v>
      </c>
      <c r="B51" s="1">
        <v>28</v>
      </c>
      <c r="C51" s="24" t="s">
        <v>33</v>
      </c>
      <c r="D51" s="1" t="s">
        <v>55</v>
      </c>
      <c r="E51" s="1" t="s">
        <v>45</v>
      </c>
      <c r="F51" s="33" t="str">
        <f>IFERROR(VLOOKUP(TRIM(E51),ACTIVIDADES!$A$1:$D$17,2,FALSE),"NO ENCONTRADO")</f>
        <v>REPASO SOMBRA</v>
      </c>
      <c r="G51" s="63">
        <v>1</v>
      </c>
      <c r="H51" s="38">
        <f>IFERROR(VLOOKUP(TRIM(E51),ACTIVIDADES!$A$1:$D$17,4,FALSE),"")</f>
        <v>75</v>
      </c>
      <c r="I51" s="35">
        <f t="shared" si="0"/>
        <v>75</v>
      </c>
    </row>
    <row r="52" spans="1:9" x14ac:dyDescent="0.3">
      <c r="A52" s="28">
        <v>46126</v>
      </c>
      <c r="B52" s="1">
        <v>29</v>
      </c>
      <c r="C52" s="24" t="s">
        <v>102</v>
      </c>
      <c r="D52" s="1" t="s">
        <v>54</v>
      </c>
      <c r="E52" s="1" t="s">
        <v>45</v>
      </c>
      <c r="F52" s="33" t="str">
        <f>IFERROR(VLOOKUP(TRIM(E52),ACTIVIDADES!$A$1:$D$17,2,FALSE),"NO ENCONTRADO")</f>
        <v>REPASO SOMBRA</v>
      </c>
      <c r="G52" s="63">
        <v>1</v>
      </c>
      <c r="H52" s="38">
        <f>IFERROR(VLOOKUP(TRIM(E52),ACTIVIDADES!$A$1:$D$17,4,FALSE),"")</f>
        <v>75</v>
      </c>
      <c r="I52" s="35">
        <f t="shared" si="0"/>
        <v>75</v>
      </c>
    </row>
    <row r="53" spans="1:9" x14ac:dyDescent="0.3">
      <c r="A53" s="28">
        <v>46126</v>
      </c>
      <c r="B53" s="1">
        <v>30</v>
      </c>
      <c r="C53" s="24" t="s">
        <v>35</v>
      </c>
      <c r="D53" s="1" t="s">
        <v>55</v>
      </c>
      <c r="E53" s="1" t="s">
        <v>45</v>
      </c>
      <c r="F53" s="33" t="str">
        <f>IFERROR(VLOOKUP(TRIM(E53),ACTIVIDADES!$A$1:$D$17,2,FALSE),"NO ENCONTRADO")</f>
        <v>REPASO SOMBRA</v>
      </c>
      <c r="G53" s="63">
        <v>1</v>
      </c>
      <c r="H53" s="38">
        <f>IFERROR(VLOOKUP(TRIM(E53),ACTIVIDADES!$A$1:$D$17,4,FALSE),"")</f>
        <v>75</v>
      </c>
      <c r="I53" s="35">
        <f t="shared" si="0"/>
        <v>75</v>
      </c>
    </row>
    <row r="54" spans="1:9" x14ac:dyDescent="0.3">
      <c r="A54" s="28">
        <v>46126</v>
      </c>
      <c r="B54" s="1">
        <v>31</v>
      </c>
      <c r="C54" s="24" t="s">
        <v>9</v>
      </c>
      <c r="D54" s="1" t="s">
        <v>54</v>
      </c>
      <c r="E54" s="1" t="s">
        <v>45</v>
      </c>
      <c r="F54" s="33" t="str">
        <f>IFERROR(VLOOKUP(TRIM(E54),ACTIVIDADES!$A$1:$D$17,2,FALSE),"NO ENCONTRADO")</f>
        <v>REPASO SOMBRA</v>
      </c>
      <c r="G54" s="63">
        <v>1</v>
      </c>
      <c r="H54" s="38">
        <f>IFERROR(VLOOKUP(TRIM(E54),ACTIVIDADES!$A$1:$D$17,4,FALSE),"")</f>
        <v>75</v>
      </c>
      <c r="I54" s="35">
        <f t="shared" si="0"/>
        <v>75</v>
      </c>
    </row>
    <row r="55" spans="1:9" x14ac:dyDescent="0.3">
      <c r="A55" s="28">
        <v>46126</v>
      </c>
      <c r="B55" s="1">
        <v>32</v>
      </c>
      <c r="C55" s="30" t="s">
        <v>37</v>
      </c>
      <c r="D55" s="1" t="s">
        <v>55</v>
      </c>
      <c r="E55" s="1" t="s">
        <v>45</v>
      </c>
      <c r="F55" s="33" t="str">
        <f>IFERROR(VLOOKUP(TRIM(E55),ACTIVIDADES!$A$1:$D$17,2,FALSE),"NO ENCONTRADO")</f>
        <v>REPASO SOMBRA</v>
      </c>
      <c r="G55" s="63">
        <v>1</v>
      </c>
      <c r="H55" s="38">
        <f>IFERROR(VLOOKUP(TRIM(E55),ACTIVIDADES!$A$1:$D$17,4,FALSE),"")</f>
        <v>75</v>
      </c>
      <c r="I55" s="35">
        <f t="shared" si="0"/>
        <v>75</v>
      </c>
    </row>
    <row r="56" spans="1:9" x14ac:dyDescent="0.3">
      <c r="A56" s="28">
        <v>46126</v>
      </c>
      <c r="B56" s="1">
        <v>33</v>
      </c>
      <c r="C56" s="24" t="s">
        <v>7</v>
      </c>
      <c r="D56" s="1" t="s">
        <v>54</v>
      </c>
      <c r="E56" s="1" t="s">
        <v>45</v>
      </c>
      <c r="F56" s="33" t="str">
        <f>IFERROR(VLOOKUP(TRIM(E56),ACTIVIDADES!$A$1:$D$17,2,FALSE),"NO ENCONTRADO")</f>
        <v>REPASO SOMBRA</v>
      </c>
      <c r="G56" s="63">
        <v>1</v>
      </c>
      <c r="H56" s="38">
        <f>IFERROR(VLOOKUP(TRIM(E56),ACTIVIDADES!$A$1:$D$17,4,FALSE),"")</f>
        <v>75</v>
      </c>
      <c r="I56" s="35">
        <f t="shared" si="0"/>
        <v>75</v>
      </c>
    </row>
    <row r="57" spans="1:9" x14ac:dyDescent="0.3">
      <c r="A57" s="28">
        <v>46126</v>
      </c>
      <c r="B57" s="1">
        <v>35</v>
      </c>
      <c r="C57" s="24" t="s">
        <v>108</v>
      </c>
      <c r="D57" s="1" t="s">
        <v>54</v>
      </c>
      <c r="E57" s="1" t="s">
        <v>45</v>
      </c>
      <c r="F57" s="33" t="str">
        <f>IFERROR(VLOOKUP(TRIM(E57),ACTIVIDADES!$A$1:$D$17,2,FALSE),"NO ENCONTRADO")</f>
        <v>REPASO SOMBRA</v>
      </c>
      <c r="G57" s="63">
        <v>1</v>
      </c>
      <c r="H57" s="38">
        <f>IFERROR(VLOOKUP(TRIM(E57),ACTIVIDADES!$A$1:$D$17,4,FALSE),"")</f>
        <v>75</v>
      </c>
      <c r="I57" s="35">
        <f t="shared" si="0"/>
        <v>75</v>
      </c>
    </row>
    <row r="58" spans="1:9" x14ac:dyDescent="0.3">
      <c r="A58" s="28">
        <v>46126</v>
      </c>
      <c r="B58" s="1">
        <v>37</v>
      </c>
      <c r="C58" s="24" t="s">
        <v>42</v>
      </c>
      <c r="D58" s="1" t="s">
        <v>54</v>
      </c>
      <c r="E58" s="1" t="s">
        <v>45</v>
      </c>
      <c r="F58" s="33" t="str">
        <f>IFERROR(VLOOKUP(TRIM(E58),ACTIVIDADES!$A$1:$D$17,2,FALSE),"NO ENCONTRADO")</f>
        <v>REPASO SOMBRA</v>
      </c>
      <c r="G58" s="63">
        <v>1</v>
      </c>
      <c r="H58" s="38">
        <f>IFERROR(VLOOKUP(TRIM(E58),ACTIVIDADES!$A$1:$D$17,4,FALSE),"")</f>
        <v>75</v>
      </c>
      <c r="I58" s="35">
        <f t="shared" si="0"/>
        <v>75</v>
      </c>
    </row>
    <row r="59" spans="1:9" x14ac:dyDescent="0.3">
      <c r="A59" s="28">
        <v>46126</v>
      </c>
      <c r="B59" s="1">
        <v>38</v>
      </c>
      <c r="C59" s="24" t="s">
        <v>43</v>
      </c>
      <c r="D59" s="1" t="s">
        <v>55</v>
      </c>
      <c r="E59" s="1" t="s">
        <v>45</v>
      </c>
      <c r="F59" s="33" t="str">
        <f>IFERROR(VLOOKUP(TRIM(E59),ACTIVIDADES!$A$1:$D$17,2,FALSE),"NO ENCONTRADO")</f>
        <v>REPASO SOMBRA</v>
      </c>
      <c r="G59" s="63">
        <v>1</v>
      </c>
      <c r="H59" s="38">
        <f>IFERROR(VLOOKUP(TRIM(E59),ACTIVIDADES!$A$1:$D$17,4,FALSE),"")</f>
        <v>75</v>
      </c>
      <c r="I59" s="35">
        <f t="shared" si="0"/>
        <v>75</v>
      </c>
    </row>
    <row r="60" spans="1:9" x14ac:dyDescent="0.3">
      <c r="A60" s="28">
        <v>46126</v>
      </c>
      <c r="B60" s="1">
        <v>39</v>
      </c>
      <c r="C60" s="24" t="s">
        <v>44</v>
      </c>
      <c r="D60" s="1" t="s">
        <v>55</v>
      </c>
      <c r="E60" s="1" t="s">
        <v>45</v>
      </c>
      <c r="F60" s="33" t="str">
        <f>IFERROR(VLOOKUP(TRIM(E60),ACTIVIDADES!$A$1:$D$17,2,FALSE),"NO ENCONTRADO")</f>
        <v>REPASO SOMBRA</v>
      </c>
      <c r="G60" s="63">
        <v>1</v>
      </c>
      <c r="H60" s="38">
        <f>IFERROR(VLOOKUP(TRIM(E60),ACTIVIDADES!$A$1:$D$17,4,FALSE),"")</f>
        <v>75</v>
      </c>
      <c r="I60" s="35">
        <f t="shared" si="0"/>
        <v>75</v>
      </c>
    </row>
    <row r="61" spans="1:9" x14ac:dyDescent="0.3">
      <c r="A61" s="28">
        <v>46157</v>
      </c>
      <c r="B61" s="1">
        <v>1</v>
      </c>
      <c r="C61" s="40" t="s">
        <v>6</v>
      </c>
      <c r="D61" s="1" t="s">
        <v>49</v>
      </c>
      <c r="E61" s="1" t="s">
        <v>49</v>
      </c>
      <c r="F61" s="33" t="str">
        <f>IFERROR(VLOOKUP(TRIM(E61),ACTIVIDADES!$A$1:$D$17,2,FALSE),"NO ENCONTRADO")</f>
        <v>CAPORAL</v>
      </c>
      <c r="G61" s="63">
        <v>1</v>
      </c>
      <c r="H61" s="38">
        <f>IFERROR(VLOOKUP(TRIM(E61),ACTIVIDADES!$A$1:$D$17,4,FALSE),"")</f>
        <v>100</v>
      </c>
      <c r="I61" s="35">
        <f t="shared" si="0"/>
        <v>100</v>
      </c>
    </row>
    <row r="62" spans="1:9" x14ac:dyDescent="0.3">
      <c r="A62" s="28">
        <v>46157</v>
      </c>
      <c r="B62" s="1">
        <v>2</v>
      </c>
      <c r="C62" s="29" t="s">
        <v>10</v>
      </c>
      <c r="D62" s="1" t="s">
        <v>49</v>
      </c>
      <c r="E62" s="1" t="s">
        <v>49</v>
      </c>
      <c r="F62" s="33" t="str">
        <f>IFERROR(VLOOKUP(TRIM(E62),ACTIVIDADES!$A$1:$D$17,2,FALSE),"NO ENCONTRADO")</f>
        <v>CAPORAL</v>
      </c>
      <c r="G62" s="63">
        <v>1</v>
      </c>
      <c r="H62" s="38">
        <f>IFERROR(VLOOKUP(TRIM(E62),ACTIVIDADES!$A$1:$D$17,4,FALSE),"")</f>
        <v>100</v>
      </c>
      <c r="I62" s="35">
        <f t="shared" si="0"/>
        <v>100</v>
      </c>
    </row>
    <row r="63" spans="1:9" x14ac:dyDescent="0.3">
      <c r="A63" s="28">
        <v>46157</v>
      </c>
      <c r="B63" s="1">
        <v>3</v>
      </c>
      <c r="C63" s="29" t="s">
        <v>22</v>
      </c>
      <c r="D63" s="53" t="s">
        <v>49</v>
      </c>
      <c r="E63" s="53" t="s">
        <v>49</v>
      </c>
      <c r="F63" s="33" t="str">
        <f>IFERROR(VLOOKUP(TRIM(E63),ACTIVIDADES!$A$1:$D$17,2,FALSE),"NO ENCONTRADO")</f>
        <v>CAPORAL</v>
      </c>
      <c r="G63" s="63">
        <v>1</v>
      </c>
      <c r="H63" s="38">
        <f>IFERROR(VLOOKUP(TRIM(E63),ACTIVIDADES!$A$1:$D$17,4,FALSE),"")</f>
        <v>100</v>
      </c>
      <c r="I63" s="35">
        <f t="shared" si="0"/>
        <v>100</v>
      </c>
    </row>
    <row r="64" spans="1:9" x14ac:dyDescent="0.3">
      <c r="A64" s="28">
        <v>46157</v>
      </c>
      <c r="B64" s="1">
        <v>4</v>
      </c>
      <c r="C64" s="40" t="s">
        <v>36</v>
      </c>
      <c r="D64" s="53" t="s">
        <v>150</v>
      </c>
      <c r="E64" s="47" t="s">
        <v>149</v>
      </c>
      <c r="F64" s="33" t="str">
        <f>IFERROR(VLOOKUP(TRIM(E64),ACTIVIDADES!$A$1:$D$17,2,FALSE),"NO ENCONTRADO")</f>
        <v>HACIENDA</v>
      </c>
      <c r="G64" s="63">
        <v>1</v>
      </c>
      <c r="H64" s="38">
        <f>IFERROR(VLOOKUP(TRIM(E64),ACTIVIDADES!$A$1:$D$17,4,FALSE),"")</f>
        <v>65</v>
      </c>
      <c r="I64" s="35">
        <f t="shared" si="0"/>
        <v>65</v>
      </c>
    </row>
    <row r="65" spans="1:9" x14ac:dyDescent="0.3">
      <c r="A65" s="28">
        <v>46157</v>
      </c>
      <c r="B65" s="1">
        <v>5</v>
      </c>
      <c r="C65" s="29" t="s">
        <v>38</v>
      </c>
      <c r="D65" s="47" t="s">
        <v>150</v>
      </c>
      <c r="E65" s="47" t="s">
        <v>149</v>
      </c>
      <c r="F65" s="33" t="str">
        <f>IFERROR(VLOOKUP(TRIM(E65),ACTIVIDADES!$A$1:$D$17,2,FALSE),"NO ENCONTRADO")</f>
        <v>HACIENDA</v>
      </c>
      <c r="G65" s="63">
        <v>1</v>
      </c>
      <c r="H65" s="38">
        <f>IFERROR(VLOOKUP(TRIM(E65),ACTIVIDADES!$A$1:$D$17,4,FALSE),"")</f>
        <v>65</v>
      </c>
      <c r="I65" s="35">
        <f t="shared" si="0"/>
        <v>65</v>
      </c>
    </row>
    <row r="66" spans="1:9" x14ac:dyDescent="0.3">
      <c r="A66" s="28">
        <v>46157</v>
      </c>
      <c r="B66" s="1">
        <v>6</v>
      </c>
      <c r="C66" s="24" t="s">
        <v>11</v>
      </c>
      <c r="D66" s="53" t="s">
        <v>151</v>
      </c>
      <c r="E66" s="53" t="s">
        <v>60</v>
      </c>
      <c r="F66" s="33" t="str">
        <f>IFERROR(VLOOKUP(TRIM(E66),ACTIVIDADES!$A$1:$D$17,2,FALSE),"NO ENCONTRADO")</f>
        <v>MANEJO DE SOMBRA</v>
      </c>
      <c r="G66" s="63">
        <v>1</v>
      </c>
      <c r="H66" s="38">
        <f>IFERROR(VLOOKUP(TRIM(E66),ACTIVIDADES!$A$1:$D$17,4,FALSE),"")</f>
        <v>75</v>
      </c>
      <c r="I66" s="35">
        <f t="shared" ref="I66:I129" si="1">IFERROR(G66*H66,"")</f>
        <v>75</v>
      </c>
    </row>
    <row r="67" spans="1:9" x14ac:dyDescent="0.3">
      <c r="A67" s="28">
        <v>46157</v>
      </c>
      <c r="B67" s="1">
        <v>7</v>
      </c>
      <c r="C67" s="54" t="s">
        <v>12</v>
      </c>
      <c r="D67" s="53" t="s">
        <v>46</v>
      </c>
      <c r="E67" s="53" t="s">
        <v>75</v>
      </c>
      <c r="F67" s="33" t="str">
        <f>IFERROR(VLOOKUP(TRIM(E67),ACTIVIDADES!$A$1:$D$17,2,FALSE),"NO ENCONTRADO")</f>
        <v>TRAZADO PARA SIEMBRA</v>
      </c>
      <c r="G67" s="63">
        <v>1</v>
      </c>
      <c r="H67" s="38">
        <f>IFERROR(VLOOKUP(TRIM(E67),ACTIVIDADES!$A$1:$D$17,4,FALSE),"")</f>
        <v>75</v>
      </c>
      <c r="I67" s="35">
        <f t="shared" si="1"/>
        <v>75</v>
      </c>
    </row>
    <row r="68" spans="1:9" x14ac:dyDescent="0.3">
      <c r="A68" s="28">
        <v>46157</v>
      </c>
      <c r="B68" s="1">
        <v>8</v>
      </c>
      <c r="C68" s="24" t="s">
        <v>82</v>
      </c>
      <c r="D68" s="53" t="s">
        <v>151</v>
      </c>
      <c r="E68" s="53" t="s">
        <v>60</v>
      </c>
      <c r="F68" s="33" t="str">
        <f>IFERROR(VLOOKUP(TRIM(E68),ACTIVIDADES!$A$1:$D$17,2,FALSE),"NO ENCONTRADO")</f>
        <v>MANEJO DE SOMBRA</v>
      </c>
      <c r="G68" s="63">
        <v>1</v>
      </c>
      <c r="H68" s="38">
        <f>IFERROR(VLOOKUP(TRIM(E68),ACTIVIDADES!$A$1:$D$17,4,FALSE),"")</f>
        <v>75</v>
      </c>
      <c r="I68" s="35">
        <f t="shared" si="1"/>
        <v>75</v>
      </c>
    </row>
    <row r="69" spans="1:9" x14ac:dyDescent="0.3">
      <c r="A69" s="28">
        <v>46157</v>
      </c>
      <c r="B69" s="1">
        <v>9</v>
      </c>
      <c r="C69" s="40" t="s">
        <v>14</v>
      </c>
      <c r="D69" s="53" t="s">
        <v>151</v>
      </c>
      <c r="E69" s="53" t="s">
        <v>60</v>
      </c>
      <c r="F69" s="33" t="str">
        <f>IFERROR(VLOOKUP(TRIM(E69),ACTIVIDADES!$A$1:$D$17,2,FALSE),"NO ENCONTRADO")</f>
        <v>MANEJO DE SOMBRA</v>
      </c>
      <c r="G69" s="63">
        <v>1</v>
      </c>
      <c r="H69" s="38">
        <f>IFERROR(VLOOKUP(TRIM(E69),ACTIVIDADES!$A$1:$D$17,4,FALSE),"")</f>
        <v>75</v>
      </c>
      <c r="I69" s="35">
        <f t="shared" si="1"/>
        <v>75</v>
      </c>
    </row>
    <row r="70" spans="1:9" x14ac:dyDescent="0.3">
      <c r="A70" s="28">
        <v>46157</v>
      </c>
      <c r="B70" s="1">
        <v>11</v>
      </c>
      <c r="C70" s="24" t="s">
        <v>85</v>
      </c>
      <c r="D70" s="53" t="s">
        <v>151</v>
      </c>
      <c r="E70" s="53" t="s">
        <v>60</v>
      </c>
      <c r="F70" s="33" t="str">
        <f>IFERROR(VLOOKUP(TRIM(E70),ACTIVIDADES!$A$1:$D$17,2,FALSE),"NO ENCONTRADO")</f>
        <v>MANEJO DE SOMBRA</v>
      </c>
      <c r="G70" s="63">
        <v>1</v>
      </c>
      <c r="H70" s="38">
        <f>IFERROR(VLOOKUP(TRIM(E70),ACTIVIDADES!$A$1:$D$17,4,FALSE),"")</f>
        <v>75</v>
      </c>
      <c r="I70" s="35">
        <f t="shared" si="1"/>
        <v>75</v>
      </c>
    </row>
    <row r="71" spans="1:9" x14ac:dyDescent="0.3">
      <c r="A71" s="28">
        <v>46157</v>
      </c>
      <c r="B71" s="1">
        <v>12</v>
      </c>
      <c r="C71" s="24" t="s">
        <v>17</v>
      </c>
      <c r="D71" s="53" t="s">
        <v>151</v>
      </c>
      <c r="E71" s="53" t="s">
        <v>60</v>
      </c>
      <c r="F71" s="33" t="str">
        <f>IFERROR(VLOOKUP(TRIM(E71),ACTIVIDADES!$A$1:$D$17,2,FALSE),"NO ENCONTRADO")</f>
        <v>MANEJO DE SOMBRA</v>
      </c>
      <c r="G71" s="63">
        <v>1</v>
      </c>
      <c r="H71" s="38">
        <f>IFERROR(VLOOKUP(TRIM(E71),ACTIVIDADES!$A$1:$D$17,4,FALSE),"")</f>
        <v>75</v>
      </c>
      <c r="I71" s="35">
        <f t="shared" si="1"/>
        <v>75</v>
      </c>
    </row>
    <row r="72" spans="1:9" x14ac:dyDescent="0.3">
      <c r="A72" s="28">
        <v>46157</v>
      </c>
      <c r="B72" s="1">
        <v>13</v>
      </c>
      <c r="C72" s="24" t="s">
        <v>18</v>
      </c>
      <c r="D72" s="53" t="s">
        <v>46</v>
      </c>
      <c r="E72" s="53" t="s">
        <v>75</v>
      </c>
      <c r="F72" s="33" t="str">
        <f>IFERROR(VLOOKUP(TRIM(E72),ACTIVIDADES!$A$1:$D$17,2,FALSE),"NO ENCONTRADO")</f>
        <v>TRAZADO PARA SIEMBRA</v>
      </c>
      <c r="G72" s="63">
        <v>1</v>
      </c>
      <c r="H72" s="38">
        <f>IFERROR(VLOOKUP(TRIM(E72),ACTIVIDADES!$A$1:$D$17,4,FALSE),"")</f>
        <v>75</v>
      </c>
      <c r="I72" s="35">
        <f t="shared" si="1"/>
        <v>75</v>
      </c>
    </row>
    <row r="73" spans="1:9" x14ac:dyDescent="0.3">
      <c r="A73" s="28">
        <v>46157</v>
      </c>
      <c r="B73" s="1">
        <v>14</v>
      </c>
      <c r="C73" s="24" t="s">
        <v>88</v>
      </c>
      <c r="D73" s="53" t="s">
        <v>46</v>
      </c>
      <c r="E73" s="53" t="s">
        <v>75</v>
      </c>
      <c r="F73" s="33" t="str">
        <f>IFERROR(VLOOKUP(TRIM(E73),ACTIVIDADES!$A$1:$D$17,2,FALSE),"NO ENCONTRADO")</f>
        <v>TRAZADO PARA SIEMBRA</v>
      </c>
      <c r="G73" s="63">
        <v>1</v>
      </c>
      <c r="H73" s="38">
        <f>IFERROR(VLOOKUP(TRIM(E73),ACTIVIDADES!$A$1:$D$17,4,FALSE),"")</f>
        <v>75</v>
      </c>
      <c r="I73" s="35">
        <f t="shared" si="1"/>
        <v>75</v>
      </c>
    </row>
    <row r="74" spans="1:9" x14ac:dyDescent="0.3">
      <c r="A74" s="28">
        <v>46157</v>
      </c>
      <c r="B74" s="1">
        <v>15</v>
      </c>
      <c r="C74" s="40" t="s">
        <v>20</v>
      </c>
      <c r="D74" s="53" t="s">
        <v>55</v>
      </c>
      <c r="E74" s="53" t="s">
        <v>65</v>
      </c>
      <c r="F74" s="33" t="str">
        <f>IFERROR(VLOOKUP(TRIM(E74),ACTIVIDADES!$A$1:$D$17,2,FALSE),"NO ENCONTRADO")</f>
        <v>CARBON</v>
      </c>
      <c r="G74" s="63">
        <v>1</v>
      </c>
      <c r="H74" s="38">
        <f>IFERROR(VLOOKUP(TRIM(E74),ACTIVIDADES!$A$1:$D$17,4,FALSE),"")</f>
        <v>75</v>
      </c>
      <c r="I74" s="35">
        <f t="shared" si="1"/>
        <v>75</v>
      </c>
    </row>
    <row r="75" spans="1:9" x14ac:dyDescent="0.3">
      <c r="A75" s="28">
        <v>46157</v>
      </c>
      <c r="B75" s="1">
        <v>16</v>
      </c>
      <c r="C75" s="24" t="s">
        <v>90</v>
      </c>
      <c r="D75" s="53" t="s">
        <v>151</v>
      </c>
      <c r="E75" s="53" t="s">
        <v>60</v>
      </c>
      <c r="F75" s="33" t="str">
        <f>IFERROR(VLOOKUP(TRIM(E75),ACTIVIDADES!$A$1:$D$17,2,FALSE),"NO ENCONTRADO")</f>
        <v>MANEJO DE SOMBRA</v>
      </c>
      <c r="G75" s="63">
        <v>1</v>
      </c>
      <c r="H75" s="38">
        <f>IFERROR(VLOOKUP(TRIM(E75),ACTIVIDADES!$A$1:$D$17,4,FALSE),"")</f>
        <v>75</v>
      </c>
      <c r="I75" s="35">
        <f t="shared" si="1"/>
        <v>75</v>
      </c>
    </row>
    <row r="76" spans="1:9" x14ac:dyDescent="0.3">
      <c r="A76" s="28">
        <v>46157</v>
      </c>
      <c r="B76" s="1">
        <v>17</v>
      </c>
      <c r="C76" s="24" t="s">
        <v>91</v>
      </c>
      <c r="D76" s="53" t="s">
        <v>151</v>
      </c>
      <c r="E76" s="53" t="s">
        <v>60</v>
      </c>
      <c r="F76" s="33" t="str">
        <f>IFERROR(VLOOKUP(TRIM(E76),ACTIVIDADES!$A$1:$D$17,2,FALSE),"NO ENCONTRADO")</f>
        <v>MANEJO DE SOMBRA</v>
      </c>
      <c r="G76" s="63">
        <v>1</v>
      </c>
      <c r="H76" s="38">
        <f>IFERROR(VLOOKUP(TRIM(E76),ACTIVIDADES!$A$1:$D$17,4,FALSE),"")</f>
        <v>75</v>
      </c>
      <c r="I76" s="35">
        <f t="shared" si="1"/>
        <v>75</v>
      </c>
    </row>
    <row r="77" spans="1:9" x14ac:dyDescent="0.3">
      <c r="A77" s="28">
        <v>46157</v>
      </c>
      <c r="B77" s="1">
        <v>18</v>
      </c>
      <c r="C77" s="30" t="s">
        <v>23</v>
      </c>
      <c r="D77" s="53" t="s">
        <v>151</v>
      </c>
      <c r="E77" s="53" t="s">
        <v>61</v>
      </c>
      <c r="F77" s="33" t="str">
        <f>IFERROR(VLOOKUP(TRIM(E77),ACTIVIDADES!$A$1:$D$17,2,FALSE),"NO ENCONTRADO")</f>
        <v>MANEJO DE SOMBRA</v>
      </c>
      <c r="G77" s="63">
        <v>1</v>
      </c>
      <c r="H77" s="38">
        <f>IFERROR(VLOOKUP(TRIM(E77),ACTIVIDADES!$A$1:$D$17,4,FALSE),"")</f>
        <v>75</v>
      </c>
      <c r="I77" s="35">
        <f t="shared" si="1"/>
        <v>75</v>
      </c>
    </row>
    <row r="78" spans="1:9" x14ac:dyDescent="0.3">
      <c r="A78" s="28">
        <v>46157</v>
      </c>
      <c r="B78" s="1">
        <v>19</v>
      </c>
      <c r="C78" s="53" t="s">
        <v>92</v>
      </c>
      <c r="D78" s="53" t="s">
        <v>52</v>
      </c>
      <c r="E78" s="53" t="s">
        <v>65</v>
      </c>
      <c r="F78" s="33" t="str">
        <f>IFERROR(VLOOKUP(TRIM(E78),ACTIVIDADES!$A$1:$D$17,2,FALSE),"NO ENCONTRADO")</f>
        <v>CARBON</v>
      </c>
      <c r="G78" s="63">
        <v>1</v>
      </c>
      <c r="H78" s="38">
        <f>IFERROR(VLOOKUP(TRIM(E78),ACTIVIDADES!$A$1:$D$17,4,FALSE),"")</f>
        <v>75</v>
      </c>
      <c r="I78" s="35">
        <f t="shared" si="1"/>
        <v>75</v>
      </c>
    </row>
    <row r="79" spans="1:9" x14ac:dyDescent="0.3">
      <c r="A79" s="28">
        <v>46157</v>
      </c>
      <c r="B79" s="1">
        <v>20</v>
      </c>
      <c r="C79" s="24" t="s">
        <v>25</v>
      </c>
      <c r="D79" s="53" t="s">
        <v>151</v>
      </c>
      <c r="E79" s="53" t="s">
        <v>61</v>
      </c>
      <c r="F79" s="33" t="str">
        <f>IFERROR(VLOOKUP(TRIM(E79),ACTIVIDADES!$A$1:$D$17,2,FALSE),"NO ENCONTRADO")</f>
        <v>MANEJO DE SOMBRA</v>
      </c>
      <c r="G79" s="63">
        <v>1</v>
      </c>
      <c r="H79" s="38">
        <f>IFERROR(VLOOKUP(TRIM(E79),ACTIVIDADES!$A$1:$D$17,4,FALSE),"")</f>
        <v>75</v>
      </c>
      <c r="I79" s="35">
        <f t="shared" si="1"/>
        <v>75</v>
      </c>
    </row>
    <row r="80" spans="1:9" x14ac:dyDescent="0.3">
      <c r="A80" s="28">
        <v>46157</v>
      </c>
      <c r="B80" s="1">
        <v>21</v>
      </c>
      <c r="C80" s="29" t="s">
        <v>26</v>
      </c>
      <c r="D80" s="53" t="s">
        <v>151</v>
      </c>
      <c r="E80" s="53" t="s">
        <v>61</v>
      </c>
      <c r="F80" s="33" t="str">
        <f>IFERROR(VLOOKUP(TRIM(E80),ACTIVIDADES!$A$1:$D$17,2,FALSE),"NO ENCONTRADO")</f>
        <v>MANEJO DE SOMBRA</v>
      </c>
      <c r="G80" s="63">
        <v>1</v>
      </c>
      <c r="H80" s="38">
        <f>IFERROR(VLOOKUP(TRIM(E80),ACTIVIDADES!$A$1:$D$17,4,FALSE),"")</f>
        <v>75</v>
      </c>
      <c r="I80" s="35">
        <f t="shared" si="1"/>
        <v>75</v>
      </c>
    </row>
    <row r="81" spans="1:9" x14ac:dyDescent="0.3">
      <c r="A81" s="28">
        <v>46157</v>
      </c>
      <c r="B81" s="1">
        <v>22</v>
      </c>
      <c r="C81" s="24" t="s">
        <v>27</v>
      </c>
      <c r="D81" s="53" t="s">
        <v>151</v>
      </c>
      <c r="E81" s="53" t="s">
        <v>60</v>
      </c>
      <c r="F81" s="33" t="str">
        <f>IFERROR(VLOOKUP(TRIM(E81),ACTIVIDADES!$A$1:$D$17,2,FALSE),"NO ENCONTRADO")</f>
        <v>MANEJO DE SOMBRA</v>
      </c>
      <c r="G81" s="63">
        <v>1</v>
      </c>
      <c r="H81" s="38">
        <f>IFERROR(VLOOKUP(TRIM(E81),ACTIVIDADES!$A$1:$D$17,4,FALSE),"")</f>
        <v>75</v>
      </c>
      <c r="I81" s="35">
        <f t="shared" si="1"/>
        <v>75</v>
      </c>
    </row>
    <row r="82" spans="1:9" x14ac:dyDescent="0.3">
      <c r="A82" s="28">
        <v>46157</v>
      </c>
      <c r="B82" s="1">
        <v>23</v>
      </c>
      <c r="C82" s="24" t="s">
        <v>96</v>
      </c>
      <c r="D82" s="53" t="s">
        <v>151</v>
      </c>
      <c r="E82" s="53" t="s">
        <v>61</v>
      </c>
      <c r="F82" s="33" t="str">
        <f>IFERROR(VLOOKUP(TRIM(E82),ACTIVIDADES!$A$1:$D$17,2,FALSE),"NO ENCONTRADO")</f>
        <v>MANEJO DE SOMBRA</v>
      </c>
      <c r="G82" s="63">
        <v>1</v>
      </c>
      <c r="H82" s="38">
        <f>IFERROR(VLOOKUP(TRIM(E82),ACTIVIDADES!$A$1:$D$17,4,FALSE),"")</f>
        <v>75</v>
      </c>
      <c r="I82" s="35">
        <f t="shared" si="1"/>
        <v>75</v>
      </c>
    </row>
    <row r="83" spans="1:9" x14ac:dyDescent="0.3">
      <c r="A83" s="28">
        <v>46157</v>
      </c>
      <c r="B83" s="1">
        <v>24</v>
      </c>
      <c r="C83" s="24" t="s">
        <v>29</v>
      </c>
      <c r="D83" s="53" t="s">
        <v>151</v>
      </c>
      <c r="E83" s="53" t="s">
        <v>61</v>
      </c>
      <c r="F83" s="33" t="str">
        <f>IFERROR(VLOOKUP(TRIM(E83),ACTIVIDADES!$A$1:$D$17,2,FALSE),"NO ENCONTRADO")</f>
        <v>MANEJO DE SOMBRA</v>
      </c>
      <c r="G83" s="63">
        <v>1</v>
      </c>
      <c r="H83" s="38">
        <f>IFERROR(VLOOKUP(TRIM(E83),ACTIVIDADES!$A$1:$D$17,4,FALSE),"")</f>
        <v>75</v>
      </c>
      <c r="I83" s="35">
        <f t="shared" si="1"/>
        <v>75</v>
      </c>
    </row>
    <row r="84" spans="1:9" x14ac:dyDescent="0.3">
      <c r="A84" s="28">
        <v>46157</v>
      </c>
      <c r="B84" s="1">
        <v>26</v>
      </c>
      <c r="C84" s="24" t="s">
        <v>99</v>
      </c>
      <c r="D84" s="53" t="s">
        <v>151</v>
      </c>
      <c r="E84" s="53" t="s">
        <v>61</v>
      </c>
      <c r="F84" s="33" t="str">
        <f>IFERROR(VLOOKUP(TRIM(E84),ACTIVIDADES!$A$1:$D$17,2,FALSE),"NO ENCONTRADO")</f>
        <v>MANEJO DE SOMBRA</v>
      </c>
      <c r="G84" s="63">
        <v>1</v>
      </c>
      <c r="H84" s="38">
        <f>IFERROR(VLOOKUP(TRIM(E84),ACTIVIDADES!$A$1:$D$17,4,FALSE),"")</f>
        <v>75</v>
      </c>
      <c r="I84" s="35">
        <f t="shared" si="1"/>
        <v>75</v>
      </c>
    </row>
    <row r="85" spans="1:9" x14ac:dyDescent="0.3">
      <c r="A85" s="28">
        <v>46157</v>
      </c>
      <c r="B85" s="1">
        <v>28</v>
      </c>
      <c r="C85" s="24" t="s">
        <v>33</v>
      </c>
      <c r="D85" s="53" t="s">
        <v>46</v>
      </c>
      <c r="E85" s="53" t="s">
        <v>77</v>
      </c>
      <c r="F85" s="33" t="str">
        <f>IFERROR(VLOOKUP(TRIM(E85),ACTIVIDADES!$A$1:$D$17,2,FALSE),"NO ENCONTRADO")</f>
        <v>TRAZADO PARA SIEMBRA</v>
      </c>
      <c r="G85" s="63">
        <v>1</v>
      </c>
      <c r="H85" s="38">
        <f>IFERROR(VLOOKUP(TRIM(E85),ACTIVIDADES!$A$1:$D$17,4,FALSE),"")</f>
        <v>75</v>
      </c>
      <c r="I85" s="35">
        <f t="shared" si="1"/>
        <v>75</v>
      </c>
    </row>
    <row r="86" spans="1:9" x14ac:dyDescent="0.3">
      <c r="A86" s="28">
        <v>46157</v>
      </c>
      <c r="B86" s="1">
        <v>29</v>
      </c>
      <c r="C86" s="24" t="s">
        <v>102</v>
      </c>
      <c r="D86" s="53" t="s">
        <v>151</v>
      </c>
      <c r="E86" s="53" t="s">
        <v>61</v>
      </c>
      <c r="F86" s="33" t="str">
        <f>IFERROR(VLOOKUP(TRIM(E86),ACTIVIDADES!$A$1:$D$17,2,FALSE),"NO ENCONTRADO")</f>
        <v>MANEJO DE SOMBRA</v>
      </c>
      <c r="G86" s="63">
        <v>1</v>
      </c>
      <c r="H86" s="38">
        <f>IFERROR(VLOOKUP(TRIM(E86),ACTIVIDADES!$A$1:$D$17,4,FALSE),"")</f>
        <v>75</v>
      </c>
      <c r="I86" s="35">
        <f t="shared" si="1"/>
        <v>75</v>
      </c>
    </row>
    <row r="87" spans="1:9" x14ac:dyDescent="0.3">
      <c r="A87" s="28">
        <v>46157</v>
      </c>
      <c r="B87" s="1">
        <v>30</v>
      </c>
      <c r="C87" s="24" t="s">
        <v>35</v>
      </c>
      <c r="D87" s="53" t="s">
        <v>46</v>
      </c>
      <c r="E87" s="53" t="s">
        <v>77</v>
      </c>
      <c r="F87" s="33" t="str">
        <f>IFERROR(VLOOKUP(TRIM(E87),ACTIVIDADES!$A$1:$D$17,2,FALSE),"NO ENCONTRADO")</f>
        <v>TRAZADO PARA SIEMBRA</v>
      </c>
      <c r="G87" s="63">
        <v>1</v>
      </c>
      <c r="H87" s="38">
        <f>IFERROR(VLOOKUP(TRIM(E87),ACTIVIDADES!$A$1:$D$17,4,FALSE),"")</f>
        <v>75</v>
      </c>
      <c r="I87" s="35">
        <f t="shared" si="1"/>
        <v>75</v>
      </c>
    </row>
    <row r="88" spans="1:9" x14ac:dyDescent="0.3">
      <c r="A88" s="28">
        <v>46157</v>
      </c>
      <c r="B88" s="1">
        <v>31</v>
      </c>
      <c r="C88" s="24" t="s">
        <v>9</v>
      </c>
      <c r="D88" s="53" t="s">
        <v>151</v>
      </c>
      <c r="E88" s="53" t="s">
        <v>61</v>
      </c>
      <c r="F88" s="33" t="str">
        <f>IFERROR(VLOOKUP(TRIM(E88),ACTIVIDADES!$A$1:$D$17,2,FALSE),"NO ENCONTRADO")</f>
        <v>MANEJO DE SOMBRA</v>
      </c>
      <c r="G88" s="63">
        <v>1</v>
      </c>
      <c r="H88" s="38">
        <f>IFERROR(VLOOKUP(TRIM(E88),ACTIVIDADES!$A$1:$D$17,4,FALSE),"")</f>
        <v>75</v>
      </c>
      <c r="I88" s="35">
        <f t="shared" si="1"/>
        <v>75</v>
      </c>
    </row>
    <row r="89" spans="1:9" x14ac:dyDescent="0.3">
      <c r="A89" s="28">
        <v>46157</v>
      </c>
      <c r="B89" s="1">
        <v>32</v>
      </c>
      <c r="C89" s="30" t="s">
        <v>37</v>
      </c>
      <c r="D89" s="53" t="s">
        <v>151</v>
      </c>
      <c r="E89" s="53" t="s">
        <v>50</v>
      </c>
      <c r="F89" s="33" t="str">
        <f>IFERROR(VLOOKUP(TRIM(E89),ACTIVIDADES!$A$1:$D$17,2,FALSE),"NO ENCONTRADO")</f>
        <v>MANTENIMIENTO GENERAL</v>
      </c>
      <c r="G89" s="63">
        <v>1</v>
      </c>
      <c r="H89" s="38">
        <f>IFERROR(VLOOKUP(TRIM(E89),ACTIVIDADES!$A$1:$D$17,4,FALSE),"")</f>
        <v>75</v>
      </c>
      <c r="I89" s="35">
        <f t="shared" si="1"/>
        <v>75</v>
      </c>
    </row>
    <row r="90" spans="1:9" x14ac:dyDescent="0.3">
      <c r="A90" s="28">
        <v>46157</v>
      </c>
      <c r="B90" s="1">
        <v>33</v>
      </c>
      <c r="C90" s="24" t="s">
        <v>7</v>
      </c>
      <c r="D90" s="53" t="s">
        <v>151</v>
      </c>
      <c r="E90" s="53" t="s">
        <v>61</v>
      </c>
      <c r="F90" s="33" t="str">
        <f>IFERROR(VLOOKUP(TRIM(E90),ACTIVIDADES!$A$1:$D$17,2,FALSE),"NO ENCONTRADO")</f>
        <v>MANEJO DE SOMBRA</v>
      </c>
      <c r="G90" s="63">
        <v>1</v>
      </c>
      <c r="H90" s="38">
        <f>IFERROR(VLOOKUP(TRIM(E90),ACTIVIDADES!$A$1:$D$17,4,FALSE),"")</f>
        <v>75</v>
      </c>
      <c r="I90" s="35">
        <f t="shared" si="1"/>
        <v>75</v>
      </c>
    </row>
    <row r="91" spans="1:9" x14ac:dyDescent="0.3">
      <c r="A91" s="28">
        <v>46157</v>
      </c>
      <c r="B91" s="1">
        <v>34</v>
      </c>
      <c r="C91" s="24" t="s">
        <v>107</v>
      </c>
      <c r="D91" s="53" t="s">
        <v>151</v>
      </c>
      <c r="E91" s="53" t="s">
        <v>60</v>
      </c>
      <c r="F91" s="33" t="str">
        <f>IFERROR(VLOOKUP(TRIM(E91),ACTIVIDADES!$A$1:$D$17,2,FALSE),"NO ENCONTRADO")</f>
        <v>MANEJO DE SOMBRA</v>
      </c>
      <c r="G91" s="63">
        <v>1</v>
      </c>
      <c r="H91" s="38">
        <f>IFERROR(VLOOKUP(TRIM(E91),ACTIVIDADES!$A$1:$D$17,4,FALSE),"")</f>
        <v>75</v>
      </c>
      <c r="I91" s="35">
        <f t="shared" si="1"/>
        <v>75</v>
      </c>
    </row>
    <row r="92" spans="1:9" x14ac:dyDescent="0.3">
      <c r="A92" s="28">
        <v>46157</v>
      </c>
      <c r="B92" s="1">
        <v>35</v>
      </c>
      <c r="C92" s="24" t="s">
        <v>108</v>
      </c>
      <c r="D92" s="53" t="s">
        <v>151</v>
      </c>
      <c r="E92" s="53" t="s">
        <v>60</v>
      </c>
      <c r="F92" s="33" t="str">
        <f>IFERROR(VLOOKUP(TRIM(E92),ACTIVIDADES!$A$1:$D$17,2,FALSE),"NO ENCONTRADO")</f>
        <v>MANEJO DE SOMBRA</v>
      </c>
      <c r="G92" s="63">
        <v>1</v>
      </c>
      <c r="H92" s="38">
        <f>IFERROR(VLOOKUP(TRIM(E92),ACTIVIDADES!$A$1:$D$17,4,FALSE),"")</f>
        <v>75</v>
      </c>
      <c r="I92" s="35">
        <f t="shared" si="1"/>
        <v>75</v>
      </c>
    </row>
    <row r="93" spans="1:9" x14ac:dyDescent="0.3">
      <c r="A93" s="28">
        <v>46157</v>
      </c>
      <c r="B93" s="1">
        <v>36</v>
      </c>
      <c r="C93" s="24" t="s">
        <v>109</v>
      </c>
      <c r="D93" s="53" t="s">
        <v>151</v>
      </c>
      <c r="E93" s="53" t="s">
        <v>60</v>
      </c>
      <c r="F93" s="33" t="str">
        <f>IFERROR(VLOOKUP(TRIM(E93),ACTIVIDADES!$A$1:$D$17,2,FALSE),"NO ENCONTRADO")</f>
        <v>MANEJO DE SOMBRA</v>
      </c>
      <c r="G93" s="63">
        <v>1</v>
      </c>
      <c r="H93" s="38">
        <f>IFERROR(VLOOKUP(TRIM(E93),ACTIVIDADES!$A$1:$D$17,4,FALSE),"")</f>
        <v>75</v>
      </c>
      <c r="I93" s="35">
        <f t="shared" si="1"/>
        <v>75</v>
      </c>
    </row>
    <row r="94" spans="1:9" x14ac:dyDescent="0.3">
      <c r="A94" s="28">
        <v>46157</v>
      </c>
      <c r="B94" s="1">
        <v>37</v>
      </c>
      <c r="C94" s="53" t="s">
        <v>42</v>
      </c>
      <c r="D94" s="53" t="s">
        <v>151</v>
      </c>
      <c r="E94" s="53" t="s">
        <v>60</v>
      </c>
      <c r="F94" s="33" t="str">
        <f>IFERROR(VLOOKUP(TRIM(E94),ACTIVIDADES!$A$1:$D$17,2,FALSE),"NO ENCONTRADO")</f>
        <v>MANEJO DE SOMBRA</v>
      </c>
      <c r="G94" s="63">
        <v>1</v>
      </c>
      <c r="H94" s="38">
        <f>IFERROR(VLOOKUP(TRIM(E94),ACTIVIDADES!$A$1:$D$17,4,FALSE),"")</f>
        <v>75</v>
      </c>
      <c r="I94" s="35">
        <f t="shared" si="1"/>
        <v>75</v>
      </c>
    </row>
    <row r="95" spans="1:9" x14ac:dyDescent="0.3">
      <c r="A95" s="28">
        <v>46157</v>
      </c>
      <c r="B95" s="1">
        <v>38</v>
      </c>
      <c r="C95" s="53" t="s">
        <v>43</v>
      </c>
      <c r="D95" s="53" t="s">
        <v>151</v>
      </c>
      <c r="E95" s="53" t="s">
        <v>60</v>
      </c>
      <c r="F95" s="33" t="str">
        <f>IFERROR(VLOOKUP(TRIM(E95),ACTIVIDADES!$A$1:$D$17,2,FALSE),"NO ENCONTRADO")</f>
        <v>MANEJO DE SOMBRA</v>
      </c>
      <c r="G95" s="63">
        <v>1</v>
      </c>
      <c r="H95" s="38">
        <f>IFERROR(VLOOKUP(TRIM(E95),ACTIVIDADES!$A$1:$D$17,4,FALSE),"")</f>
        <v>75</v>
      </c>
      <c r="I95" s="35">
        <f t="shared" si="1"/>
        <v>75</v>
      </c>
    </row>
    <row r="96" spans="1:9" x14ac:dyDescent="0.3">
      <c r="A96" s="28">
        <v>46157</v>
      </c>
      <c r="B96" s="1">
        <v>39</v>
      </c>
      <c r="C96" s="24" t="s">
        <v>44</v>
      </c>
      <c r="D96" s="53" t="s">
        <v>46</v>
      </c>
      <c r="E96" s="53" t="s">
        <v>75</v>
      </c>
      <c r="F96" s="33" t="str">
        <f>IFERROR(VLOOKUP(TRIM(E96),ACTIVIDADES!$A$1:$D$17,2,FALSE),"NO ENCONTRADO")</f>
        <v>TRAZADO PARA SIEMBRA</v>
      </c>
      <c r="G96" s="63">
        <v>1</v>
      </c>
      <c r="H96" s="38">
        <f>IFERROR(VLOOKUP(TRIM(E96),ACTIVIDADES!$A$1:$D$17,4,FALSE),"")</f>
        <v>75</v>
      </c>
      <c r="I96" s="35">
        <f t="shared" si="1"/>
        <v>75</v>
      </c>
    </row>
    <row r="97" spans="1:9" x14ac:dyDescent="0.3">
      <c r="A97" s="28">
        <v>46158</v>
      </c>
      <c r="B97" s="1">
        <v>1</v>
      </c>
      <c r="C97" s="40" t="s">
        <v>6</v>
      </c>
      <c r="D97" s="1" t="s">
        <v>49</v>
      </c>
      <c r="E97" s="1" t="s">
        <v>49</v>
      </c>
      <c r="F97" s="33" t="str">
        <f>IFERROR(VLOOKUP(TRIM(E97),ACTIVIDADES!$A$1:$D$17,2,FALSE),"NO ENCONTRADO")</f>
        <v>CAPORAL</v>
      </c>
      <c r="G97" s="63">
        <v>1</v>
      </c>
      <c r="H97" s="38">
        <f>IFERROR(VLOOKUP(TRIM(E97),ACTIVIDADES!$A$1:$D$17,4,FALSE),"")</f>
        <v>100</v>
      </c>
      <c r="I97" s="35">
        <f t="shared" si="1"/>
        <v>100</v>
      </c>
    </row>
    <row r="98" spans="1:9" x14ac:dyDescent="0.3">
      <c r="A98" s="28">
        <v>46158</v>
      </c>
      <c r="B98" s="1">
        <v>2</v>
      </c>
      <c r="C98" s="29" t="s">
        <v>10</v>
      </c>
      <c r="D98" s="1" t="s">
        <v>49</v>
      </c>
      <c r="E98" s="1" t="s">
        <v>49</v>
      </c>
      <c r="F98" s="33" t="str">
        <f>IFERROR(VLOOKUP(TRIM(E98),ACTIVIDADES!$A$1:$D$17,2,FALSE),"NO ENCONTRADO")</f>
        <v>CAPORAL</v>
      </c>
      <c r="G98" s="63">
        <v>1</v>
      </c>
      <c r="H98" s="38">
        <f>IFERROR(VLOOKUP(TRIM(E98),ACTIVIDADES!$A$1:$D$17,4,FALSE),"")</f>
        <v>100</v>
      </c>
      <c r="I98" s="35">
        <f t="shared" si="1"/>
        <v>100</v>
      </c>
    </row>
    <row r="99" spans="1:9" x14ac:dyDescent="0.3">
      <c r="A99" s="28">
        <v>46158</v>
      </c>
      <c r="B99" s="1">
        <v>3</v>
      </c>
      <c r="C99" s="29" t="s">
        <v>22</v>
      </c>
      <c r="D99" s="53" t="s">
        <v>49</v>
      </c>
      <c r="E99" s="53" t="s">
        <v>49</v>
      </c>
      <c r="F99" s="33" t="str">
        <f>IFERROR(VLOOKUP(TRIM(E99),ACTIVIDADES!$A$1:$D$17,2,FALSE),"NO ENCONTRADO")</f>
        <v>CAPORAL</v>
      </c>
      <c r="G99" s="63">
        <v>1</v>
      </c>
      <c r="H99" s="38">
        <f>IFERROR(VLOOKUP(TRIM(E99),ACTIVIDADES!$A$1:$D$17,4,FALSE),"")</f>
        <v>100</v>
      </c>
      <c r="I99" s="35">
        <f t="shared" si="1"/>
        <v>100</v>
      </c>
    </row>
    <row r="100" spans="1:9" x14ac:dyDescent="0.3">
      <c r="A100" s="28">
        <v>46158</v>
      </c>
      <c r="B100" s="1">
        <v>4</v>
      </c>
      <c r="C100" s="40" t="s">
        <v>36</v>
      </c>
      <c r="D100" s="53" t="s">
        <v>150</v>
      </c>
      <c r="E100" s="47" t="s">
        <v>149</v>
      </c>
      <c r="F100" s="33" t="str">
        <f>IFERROR(VLOOKUP(TRIM(E100),ACTIVIDADES!$A$1:$D$17,2,FALSE),"NO ENCONTRADO")</f>
        <v>HACIENDA</v>
      </c>
      <c r="G100" s="63">
        <v>1</v>
      </c>
      <c r="H100" s="38">
        <f>IFERROR(VLOOKUP(TRIM(E100),ACTIVIDADES!$A$1:$D$17,4,FALSE),"")</f>
        <v>65</v>
      </c>
      <c r="I100" s="35">
        <f t="shared" si="1"/>
        <v>65</v>
      </c>
    </row>
    <row r="101" spans="1:9" x14ac:dyDescent="0.3">
      <c r="A101" s="28">
        <v>46158</v>
      </c>
      <c r="B101" s="1">
        <v>5</v>
      </c>
      <c r="C101" s="29" t="s">
        <v>38</v>
      </c>
      <c r="D101" s="47" t="s">
        <v>150</v>
      </c>
      <c r="E101" s="47" t="s">
        <v>149</v>
      </c>
      <c r="F101" s="33" t="str">
        <f>IFERROR(VLOOKUP(TRIM(E101),ACTIVIDADES!$A$1:$D$17,2,FALSE),"NO ENCONTRADO")</f>
        <v>HACIENDA</v>
      </c>
      <c r="G101" s="63">
        <v>1</v>
      </c>
      <c r="H101" s="38">
        <f>IFERROR(VLOOKUP(TRIM(E101),ACTIVIDADES!$A$1:$D$17,4,FALSE),"")</f>
        <v>65</v>
      </c>
      <c r="I101" s="35">
        <f t="shared" si="1"/>
        <v>65</v>
      </c>
    </row>
    <row r="102" spans="1:9" x14ac:dyDescent="0.3">
      <c r="A102" s="28">
        <v>46158</v>
      </c>
      <c r="B102" s="1">
        <v>6</v>
      </c>
      <c r="C102" s="24" t="s">
        <v>11</v>
      </c>
      <c r="D102" s="53" t="s">
        <v>151</v>
      </c>
      <c r="E102" s="53" t="s">
        <v>60</v>
      </c>
      <c r="F102" s="33" t="str">
        <f>IFERROR(VLOOKUP(TRIM(E102),ACTIVIDADES!$A$1:$D$17,2,FALSE),"NO ENCONTRADO")</f>
        <v>MANEJO DE SOMBRA</v>
      </c>
      <c r="G102" s="63">
        <v>1</v>
      </c>
      <c r="H102" s="38">
        <f>IFERROR(VLOOKUP(TRIM(E102),ACTIVIDADES!$A$1:$D$17,4,FALSE),"")</f>
        <v>75</v>
      </c>
      <c r="I102" s="35">
        <f t="shared" si="1"/>
        <v>75</v>
      </c>
    </row>
    <row r="103" spans="1:9" x14ac:dyDescent="0.3">
      <c r="A103" s="28">
        <v>46158</v>
      </c>
      <c r="B103" s="1">
        <v>7</v>
      </c>
      <c r="C103" s="54" t="s">
        <v>12</v>
      </c>
      <c r="D103" s="53" t="s">
        <v>151</v>
      </c>
      <c r="E103" s="53" t="s">
        <v>60</v>
      </c>
      <c r="F103" s="33" t="str">
        <f>IFERROR(VLOOKUP(TRIM(E103),ACTIVIDADES!$A$1:$D$17,2,FALSE),"NO ENCONTRADO")</f>
        <v>MANEJO DE SOMBRA</v>
      </c>
      <c r="G103" s="63">
        <v>1</v>
      </c>
      <c r="H103" s="38">
        <f>IFERROR(VLOOKUP(TRIM(E103),ACTIVIDADES!$A$1:$D$17,4,FALSE),"")</f>
        <v>75</v>
      </c>
      <c r="I103" s="35">
        <f t="shared" si="1"/>
        <v>75</v>
      </c>
    </row>
    <row r="104" spans="1:9" x14ac:dyDescent="0.3">
      <c r="A104" s="28">
        <v>46158</v>
      </c>
      <c r="B104" s="1">
        <v>8</v>
      </c>
      <c r="C104" s="24" t="s">
        <v>82</v>
      </c>
      <c r="D104" s="53" t="s">
        <v>151</v>
      </c>
      <c r="E104" s="53" t="s">
        <v>60</v>
      </c>
      <c r="F104" s="33" t="str">
        <f>IFERROR(VLOOKUP(TRIM(E104),ACTIVIDADES!$A$1:$D$17,2,FALSE),"NO ENCONTRADO")</f>
        <v>MANEJO DE SOMBRA</v>
      </c>
      <c r="G104" s="63">
        <v>1</v>
      </c>
      <c r="H104" s="38">
        <f>IFERROR(VLOOKUP(TRIM(E104),ACTIVIDADES!$A$1:$D$17,4,FALSE),"")</f>
        <v>75</v>
      </c>
      <c r="I104" s="35">
        <f t="shared" si="1"/>
        <v>75</v>
      </c>
    </row>
    <row r="105" spans="1:9" x14ac:dyDescent="0.3">
      <c r="A105" s="28">
        <v>46158</v>
      </c>
      <c r="B105" s="1">
        <v>9</v>
      </c>
      <c r="C105" s="40" t="s">
        <v>14</v>
      </c>
      <c r="D105" s="53" t="s">
        <v>63</v>
      </c>
      <c r="E105" s="53" t="s">
        <v>116</v>
      </c>
      <c r="F105" s="33" t="str">
        <f>IFERROR(VLOOKUP(TRIM(E105),ACTIVIDADES!$A$1:$D$17,2,FALSE),"NO ENCONTRADO")</f>
        <v>APLICACION DE FUNGICIDA</v>
      </c>
      <c r="G105" s="63">
        <v>1</v>
      </c>
      <c r="H105" s="38">
        <f>IFERROR(VLOOKUP(TRIM(E105),ACTIVIDADES!$A$1:$D$17,4,FALSE),"")</f>
        <v>75</v>
      </c>
      <c r="I105" s="35">
        <f t="shared" si="1"/>
        <v>75</v>
      </c>
    </row>
    <row r="106" spans="1:9" x14ac:dyDescent="0.3">
      <c r="A106" s="28">
        <v>46158</v>
      </c>
      <c r="B106" s="1">
        <v>10</v>
      </c>
      <c r="C106" s="24" t="s">
        <v>84</v>
      </c>
      <c r="D106" s="53" t="s">
        <v>151</v>
      </c>
      <c r="E106" s="53" t="s">
        <v>60</v>
      </c>
      <c r="F106" s="33" t="str">
        <f>IFERROR(VLOOKUP(TRIM(E106),ACTIVIDADES!$A$1:$D$17,2,FALSE),"NO ENCONTRADO")</f>
        <v>MANEJO DE SOMBRA</v>
      </c>
      <c r="G106" s="63">
        <v>1</v>
      </c>
      <c r="H106" s="38">
        <f>IFERROR(VLOOKUP(TRIM(E106),ACTIVIDADES!$A$1:$D$17,4,FALSE),"")</f>
        <v>75</v>
      </c>
      <c r="I106" s="35">
        <f t="shared" si="1"/>
        <v>75</v>
      </c>
    </row>
    <row r="107" spans="1:9" x14ac:dyDescent="0.3">
      <c r="A107" s="28">
        <v>46158</v>
      </c>
      <c r="B107" s="1">
        <v>11</v>
      </c>
      <c r="C107" s="24" t="s">
        <v>85</v>
      </c>
      <c r="D107" s="53" t="s">
        <v>151</v>
      </c>
      <c r="E107" s="53" t="s">
        <v>60</v>
      </c>
      <c r="F107" s="33" t="str">
        <f>IFERROR(VLOOKUP(TRIM(E107),ACTIVIDADES!$A$1:$D$17,2,FALSE),"NO ENCONTRADO")</f>
        <v>MANEJO DE SOMBRA</v>
      </c>
      <c r="G107" s="63">
        <v>1</v>
      </c>
      <c r="H107" s="38">
        <f>IFERROR(VLOOKUP(TRIM(E107),ACTIVIDADES!$A$1:$D$17,4,FALSE),"")</f>
        <v>75</v>
      </c>
      <c r="I107" s="35">
        <f t="shared" si="1"/>
        <v>75</v>
      </c>
    </row>
    <row r="108" spans="1:9" x14ac:dyDescent="0.3">
      <c r="A108" s="28">
        <v>46158</v>
      </c>
      <c r="B108" s="1">
        <v>13</v>
      </c>
      <c r="C108" s="24" t="s">
        <v>18</v>
      </c>
      <c r="D108" s="53" t="s">
        <v>153</v>
      </c>
      <c r="E108" s="53" t="s">
        <v>50</v>
      </c>
      <c r="F108" s="33" t="str">
        <f>IFERROR(VLOOKUP(TRIM(E108),ACTIVIDADES!$A$1:$D$17,2,FALSE),"NO ENCONTRADO")</f>
        <v>MANTENIMIENTO GENERAL</v>
      </c>
      <c r="G108" s="63">
        <v>1</v>
      </c>
      <c r="H108" s="38">
        <f>IFERROR(VLOOKUP(TRIM(E108),ACTIVIDADES!$A$1:$D$17,4,FALSE),"")</f>
        <v>75</v>
      </c>
      <c r="I108" s="35">
        <f t="shared" si="1"/>
        <v>75</v>
      </c>
    </row>
    <row r="109" spans="1:9" x14ac:dyDescent="0.3">
      <c r="A109" s="28">
        <v>46158</v>
      </c>
      <c r="B109" s="1">
        <v>14</v>
      </c>
      <c r="C109" s="24" t="s">
        <v>88</v>
      </c>
      <c r="D109" s="53" t="s">
        <v>153</v>
      </c>
      <c r="E109" s="53" t="s">
        <v>50</v>
      </c>
      <c r="F109" s="33" t="str">
        <f>IFERROR(VLOOKUP(TRIM(E109),ACTIVIDADES!$A$1:$D$17,2,FALSE),"NO ENCONTRADO")</f>
        <v>MANTENIMIENTO GENERAL</v>
      </c>
      <c r="G109" s="63">
        <v>1</v>
      </c>
      <c r="H109" s="38">
        <f>IFERROR(VLOOKUP(TRIM(E109),ACTIVIDADES!$A$1:$D$17,4,FALSE),"")</f>
        <v>75</v>
      </c>
      <c r="I109" s="35">
        <f t="shared" si="1"/>
        <v>75</v>
      </c>
    </row>
    <row r="110" spans="1:9" x14ac:dyDescent="0.3">
      <c r="A110" s="28">
        <v>46158</v>
      </c>
      <c r="B110" s="1">
        <v>15</v>
      </c>
      <c r="C110" s="40" t="s">
        <v>20</v>
      </c>
      <c r="D110" s="1" t="s">
        <v>57</v>
      </c>
      <c r="E110" s="53" t="s">
        <v>50</v>
      </c>
      <c r="F110" s="33" t="str">
        <f>IFERROR(VLOOKUP(TRIM(E110),ACTIVIDADES!$A$1:$D$17,2,FALSE),"NO ENCONTRADO")</f>
        <v>MANTENIMIENTO GENERAL</v>
      </c>
      <c r="G110" s="63">
        <v>1</v>
      </c>
      <c r="H110" s="38">
        <f>IFERROR(VLOOKUP(TRIM(E110),ACTIVIDADES!$A$1:$D$17,4,FALSE),"")</f>
        <v>75</v>
      </c>
      <c r="I110" s="35">
        <f t="shared" si="1"/>
        <v>75</v>
      </c>
    </row>
    <row r="111" spans="1:9" x14ac:dyDescent="0.3">
      <c r="A111" s="28">
        <v>46158</v>
      </c>
      <c r="B111" s="1">
        <v>16</v>
      </c>
      <c r="C111" s="24" t="s">
        <v>90</v>
      </c>
      <c r="D111" s="53" t="s">
        <v>63</v>
      </c>
      <c r="E111" s="53" t="s">
        <v>116</v>
      </c>
      <c r="F111" s="33" t="str">
        <f>IFERROR(VLOOKUP(TRIM(E111),ACTIVIDADES!$A$1:$D$17,2,FALSE),"NO ENCONTRADO")</f>
        <v>APLICACION DE FUNGICIDA</v>
      </c>
      <c r="G111" s="63">
        <v>1</v>
      </c>
      <c r="H111" s="38">
        <f>IFERROR(VLOOKUP(TRIM(E111),ACTIVIDADES!$A$1:$D$17,4,FALSE),"")</f>
        <v>75</v>
      </c>
      <c r="I111" s="35">
        <f t="shared" si="1"/>
        <v>75</v>
      </c>
    </row>
    <row r="112" spans="1:9" x14ac:dyDescent="0.3">
      <c r="A112" s="28">
        <v>46158</v>
      </c>
      <c r="B112" s="1">
        <v>17</v>
      </c>
      <c r="C112" s="24" t="s">
        <v>91</v>
      </c>
      <c r="D112" s="53" t="s">
        <v>151</v>
      </c>
      <c r="E112" s="53" t="s">
        <v>60</v>
      </c>
      <c r="F112" s="33" t="str">
        <f>IFERROR(VLOOKUP(TRIM(E112),ACTIVIDADES!$A$1:$D$17,2,FALSE),"NO ENCONTRADO")</f>
        <v>MANEJO DE SOMBRA</v>
      </c>
      <c r="G112" s="63">
        <v>1</v>
      </c>
      <c r="H112" s="38">
        <f>IFERROR(VLOOKUP(TRIM(E112),ACTIVIDADES!$A$1:$D$17,4,FALSE),"")</f>
        <v>75</v>
      </c>
      <c r="I112" s="35">
        <f t="shared" si="1"/>
        <v>75</v>
      </c>
    </row>
    <row r="113" spans="1:9" x14ac:dyDescent="0.3">
      <c r="A113" s="28">
        <v>46158</v>
      </c>
      <c r="B113" s="1">
        <v>18</v>
      </c>
      <c r="C113" s="30" t="s">
        <v>23</v>
      </c>
      <c r="D113" s="53" t="s">
        <v>151</v>
      </c>
      <c r="E113" s="53" t="s">
        <v>60</v>
      </c>
      <c r="F113" s="33" t="str">
        <f>IFERROR(VLOOKUP(TRIM(E113),ACTIVIDADES!$A$1:$D$17,2,FALSE),"NO ENCONTRADO")</f>
        <v>MANEJO DE SOMBRA</v>
      </c>
      <c r="G113" s="63">
        <v>1</v>
      </c>
      <c r="H113" s="38">
        <f>IFERROR(VLOOKUP(TRIM(E113),ACTIVIDADES!$A$1:$D$17,4,FALSE),"")</f>
        <v>75</v>
      </c>
      <c r="I113" s="35">
        <f t="shared" si="1"/>
        <v>75</v>
      </c>
    </row>
    <row r="114" spans="1:9" x14ac:dyDescent="0.3">
      <c r="A114" s="28">
        <v>46158</v>
      </c>
      <c r="B114" s="1">
        <v>19</v>
      </c>
      <c r="C114" s="53" t="s">
        <v>92</v>
      </c>
      <c r="D114" s="53" t="s">
        <v>46</v>
      </c>
      <c r="E114" s="53" t="s">
        <v>50</v>
      </c>
      <c r="F114" s="33" t="str">
        <f>IFERROR(VLOOKUP(TRIM(E114),ACTIVIDADES!$A$1:$D$17,2,FALSE),"NO ENCONTRADO")</f>
        <v>MANTENIMIENTO GENERAL</v>
      </c>
      <c r="G114" s="63">
        <v>1</v>
      </c>
      <c r="H114" s="38">
        <f>IFERROR(VLOOKUP(TRIM(E114),ACTIVIDADES!$A$1:$D$17,4,FALSE),"")</f>
        <v>75</v>
      </c>
      <c r="I114" s="35">
        <f t="shared" si="1"/>
        <v>75</v>
      </c>
    </row>
    <row r="115" spans="1:9" x14ac:dyDescent="0.3">
      <c r="A115" s="28">
        <v>46158</v>
      </c>
      <c r="B115" s="1">
        <v>20</v>
      </c>
      <c r="C115" s="24" t="s">
        <v>25</v>
      </c>
      <c r="D115" s="53" t="s">
        <v>151</v>
      </c>
      <c r="E115" s="53" t="s">
        <v>60</v>
      </c>
      <c r="F115" s="33" t="str">
        <f>IFERROR(VLOOKUP(TRIM(E115),ACTIVIDADES!$A$1:$D$17,2,FALSE),"NO ENCONTRADO")</f>
        <v>MANEJO DE SOMBRA</v>
      </c>
      <c r="G115" s="63">
        <v>1</v>
      </c>
      <c r="H115" s="38">
        <f>IFERROR(VLOOKUP(TRIM(E115),ACTIVIDADES!$A$1:$D$17,4,FALSE),"")</f>
        <v>75</v>
      </c>
      <c r="I115" s="35">
        <f t="shared" si="1"/>
        <v>75</v>
      </c>
    </row>
    <row r="116" spans="1:9" x14ac:dyDescent="0.3">
      <c r="A116" s="28">
        <v>46158</v>
      </c>
      <c r="B116" s="1">
        <v>21</v>
      </c>
      <c r="C116" s="29" t="s">
        <v>26</v>
      </c>
      <c r="D116" s="53" t="s">
        <v>151</v>
      </c>
      <c r="E116" s="53" t="s">
        <v>60</v>
      </c>
      <c r="F116" s="33" t="str">
        <f>IFERROR(VLOOKUP(TRIM(E116),ACTIVIDADES!$A$1:$D$17,2,FALSE),"NO ENCONTRADO")</f>
        <v>MANEJO DE SOMBRA</v>
      </c>
      <c r="G116" s="63">
        <v>1</v>
      </c>
      <c r="H116" s="38">
        <f>IFERROR(VLOOKUP(TRIM(E116),ACTIVIDADES!$A$1:$D$17,4,FALSE),"")</f>
        <v>75</v>
      </c>
      <c r="I116" s="35">
        <f t="shared" si="1"/>
        <v>75</v>
      </c>
    </row>
    <row r="117" spans="1:9" x14ac:dyDescent="0.3">
      <c r="A117" s="28">
        <v>46158</v>
      </c>
      <c r="B117" s="1">
        <v>22</v>
      </c>
      <c r="C117" s="24" t="s">
        <v>27</v>
      </c>
      <c r="D117" s="53" t="s">
        <v>151</v>
      </c>
      <c r="E117" s="53" t="s">
        <v>60</v>
      </c>
      <c r="F117" s="33" t="str">
        <f>IFERROR(VLOOKUP(TRIM(E117),ACTIVIDADES!$A$1:$D$17,2,FALSE),"NO ENCONTRADO")</f>
        <v>MANEJO DE SOMBRA</v>
      </c>
      <c r="G117" s="63">
        <v>1</v>
      </c>
      <c r="H117" s="38">
        <f>IFERROR(VLOOKUP(TRIM(E117),ACTIVIDADES!$A$1:$D$17,4,FALSE),"")</f>
        <v>75</v>
      </c>
      <c r="I117" s="35">
        <f t="shared" si="1"/>
        <v>75</v>
      </c>
    </row>
    <row r="118" spans="1:9" x14ac:dyDescent="0.3">
      <c r="A118" s="28">
        <v>46158</v>
      </c>
      <c r="B118" s="1">
        <v>23</v>
      </c>
      <c r="C118" s="24" t="s">
        <v>96</v>
      </c>
      <c r="D118" s="53" t="s">
        <v>151</v>
      </c>
      <c r="E118" s="53" t="s">
        <v>61</v>
      </c>
      <c r="F118" s="33" t="str">
        <f>IFERROR(VLOOKUP(TRIM(E118),ACTIVIDADES!$A$1:$D$17,2,FALSE),"NO ENCONTRADO")</f>
        <v>MANEJO DE SOMBRA</v>
      </c>
      <c r="G118" s="63">
        <v>1</v>
      </c>
      <c r="H118" s="38">
        <f>IFERROR(VLOOKUP(TRIM(E118),ACTIVIDADES!$A$1:$D$17,4,FALSE),"")</f>
        <v>75</v>
      </c>
      <c r="I118" s="35">
        <f t="shared" si="1"/>
        <v>75</v>
      </c>
    </row>
    <row r="119" spans="1:9" x14ac:dyDescent="0.3">
      <c r="A119" s="28">
        <v>46158</v>
      </c>
      <c r="B119" s="1">
        <v>24</v>
      </c>
      <c r="C119" s="24" t="s">
        <v>29</v>
      </c>
      <c r="D119" s="53" t="s">
        <v>151</v>
      </c>
      <c r="E119" s="53" t="s">
        <v>61</v>
      </c>
      <c r="F119" s="33" t="str">
        <f>IFERROR(VLOOKUP(TRIM(E119),ACTIVIDADES!$A$1:$D$17,2,FALSE),"NO ENCONTRADO")</f>
        <v>MANEJO DE SOMBRA</v>
      </c>
      <c r="G119" s="63">
        <v>1</v>
      </c>
      <c r="H119" s="38">
        <f>IFERROR(VLOOKUP(TRIM(E119),ACTIVIDADES!$A$1:$D$17,4,FALSE),"")</f>
        <v>75</v>
      </c>
      <c r="I119" s="35">
        <f t="shared" si="1"/>
        <v>75</v>
      </c>
    </row>
    <row r="120" spans="1:9" x14ac:dyDescent="0.3">
      <c r="A120" s="28">
        <v>46158</v>
      </c>
      <c r="B120" s="1">
        <v>28</v>
      </c>
      <c r="C120" s="24" t="s">
        <v>33</v>
      </c>
      <c r="D120" s="53" t="s">
        <v>151</v>
      </c>
      <c r="E120" s="53" t="s">
        <v>60</v>
      </c>
      <c r="F120" s="33" t="str">
        <f>IFERROR(VLOOKUP(TRIM(E120),ACTIVIDADES!$A$1:$D$17,2,FALSE),"NO ENCONTRADO")</f>
        <v>MANEJO DE SOMBRA</v>
      </c>
      <c r="G120" s="63">
        <v>1</v>
      </c>
      <c r="H120" s="38">
        <f>IFERROR(VLOOKUP(TRIM(E120),ACTIVIDADES!$A$1:$D$17,4,FALSE),"")</f>
        <v>75</v>
      </c>
      <c r="I120" s="35">
        <f t="shared" si="1"/>
        <v>75</v>
      </c>
    </row>
    <row r="121" spans="1:9" x14ac:dyDescent="0.3">
      <c r="A121" s="28">
        <v>46158</v>
      </c>
      <c r="B121" s="1">
        <v>29</v>
      </c>
      <c r="C121" s="24" t="s">
        <v>102</v>
      </c>
      <c r="D121" s="53" t="s">
        <v>151</v>
      </c>
      <c r="E121" s="53" t="s">
        <v>60</v>
      </c>
      <c r="F121" s="33" t="str">
        <f>IFERROR(VLOOKUP(TRIM(E121),ACTIVIDADES!$A$1:$D$17,2,FALSE),"NO ENCONTRADO")</f>
        <v>MANEJO DE SOMBRA</v>
      </c>
      <c r="G121" s="63">
        <v>1</v>
      </c>
      <c r="H121" s="38">
        <f>IFERROR(VLOOKUP(TRIM(E121),ACTIVIDADES!$A$1:$D$17,4,FALSE),"")</f>
        <v>75</v>
      </c>
      <c r="I121" s="35">
        <f t="shared" si="1"/>
        <v>75</v>
      </c>
    </row>
    <row r="122" spans="1:9" x14ac:dyDescent="0.3">
      <c r="A122" s="28">
        <v>46158</v>
      </c>
      <c r="B122" s="1">
        <v>30</v>
      </c>
      <c r="C122" s="24" t="s">
        <v>35</v>
      </c>
      <c r="D122" s="53" t="s">
        <v>151</v>
      </c>
      <c r="E122" s="53" t="s">
        <v>60</v>
      </c>
      <c r="F122" s="33" t="str">
        <f>IFERROR(VLOOKUP(TRIM(E122),ACTIVIDADES!$A$1:$D$17,2,FALSE),"NO ENCONTRADO")</f>
        <v>MANEJO DE SOMBRA</v>
      </c>
      <c r="G122" s="63">
        <v>1</v>
      </c>
      <c r="H122" s="38">
        <f>IFERROR(VLOOKUP(TRIM(E122),ACTIVIDADES!$A$1:$D$17,4,FALSE),"")</f>
        <v>75</v>
      </c>
      <c r="I122" s="35">
        <f t="shared" si="1"/>
        <v>75</v>
      </c>
    </row>
    <row r="123" spans="1:9" x14ac:dyDescent="0.3">
      <c r="A123" s="28">
        <v>46158</v>
      </c>
      <c r="B123" s="1">
        <v>31</v>
      </c>
      <c r="C123" s="24" t="s">
        <v>9</v>
      </c>
      <c r="D123" s="53" t="s">
        <v>151</v>
      </c>
      <c r="E123" s="53" t="s">
        <v>60</v>
      </c>
      <c r="F123" s="33" t="str">
        <f>IFERROR(VLOOKUP(TRIM(E123),ACTIVIDADES!$A$1:$D$17,2,FALSE),"NO ENCONTRADO")</f>
        <v>MANEJO DE SOMBRA</v>
      </c>
      <c r="G123" s="63">
        <v>1</v>
      </c>
      <c r="H123" s="38">
        <f>IFERROR(VLOOKUP(TRIM(E123),ACTIVIDADES!$A$1:$D$17,4,FALSE),"")</f>
        <v>75</v>
      </c>
      <c r="I123" s="35">
        <f t="shared" si="1"/>
        <v>75</v>
      </c>
    </row>
    <row r="124" spans="1:9" x14ac:dyDescent="0.3">
      <c r="A124" s="28">
        <v>46158</v>
      </c>
      <c r="B124" s="1">
        <v>34</v>
      </c>
      <c r="C124" s="24" t="s">
        <v>107</v>
      </c>
      <c r="D124" s="53" t="s">
        <v>151</v>
      </c>
      <c r="E124" s="53" t="s">
        <v>60</v>
      </c>
      <c r="F124" s="33" t="str">
        <f>IFERROR(VLOOKUP(TRIM(E124),ACTIVIDADES!$A$1:$D$17,2,FALSE),"NO ENCONTRADO")</f>
        <v>MANEJO DE SOMBRA</v>
      </c>
      <c r="G124" s="63">
        <v>1</v>
      </c>
      <c r="H124" s="38">
        <f>IFERROR(VLOOKUP(TRIM(E124),ACTIVIDADES!$A$1:$D$17,4,FALSE),"")</f>
        <v>75</v>
      </c>
      <c r="I124" s="35">
        <f t="shared" si="1"/>
        <v>75</v>
      </c>
    </row>
    <row r="125" spans="1:9" x14ac:dyDescent="0.3">
      <c r="A125" s="28">
        <v>46158</v>
      </c>
      <c r="B125" s="1">
        <v>35</v>
      </c>
      <c r="C125" s="24" t="s">
        <v>108</v>
      </c>
      <c r="D125" s="53" t="s">
        <v>151</v>
      </c>
      <c r="E125" s="53" t="s">
        <v>60</v>
      </c>
      <c r="F125" s="33" t="str">
        <f>IFERROR(VLOOKUP(TRIM(E125),ACTIVIDADES!$A$1:$D$17,2,FALSE),"NO ENCONTRADO")</f>
        <v>MANEJO DE SOMBRA</v>
      </c>
      <c r="G125" s="63">
        <v>1</v>
      </c>
      <c r="H125" s="38">
        <f>IFERROR(VLOOKUP(TRIM(E125),ACTIVIDADES!$A$1:$D$17,4,FALSE),"")</f>
        <v>75</v>
      </c>
      <c r="I125" s="35">
        <f t="shared" si="1"/>
        <v>75</v>
      </c>
    </row>
    <row r="126" spans="1:9" x14ac:dyDescent="0.3">
      <c r="A126" s="28">
        <v>46158</v>
      </c>
      <c r="B126" s="1">
        <v>36</v>
      </c>
      <c r="C126" s="24" t="s">
        <v>109</v>
      </c>
      <c r="D126" s="53" t="s">
        <v>151</v>
      </c>
      <c r="E126" s="53" t="s">
        <v>60</v>
      </c>
      <c r="F126" s="33" t="str">
        <f>IFERROR(VLOOKUP(TRIM(E126),ACTIVIDADES!$A$1:$D$17,2,FALSE),"NO ENCONTRADO")</f>
        <v>MANEJO DE SOMBRA</v>
      </c>
      <c r="G126" s="63">
        <v>1</v>
      </c>
      <c r="H126" s="38">
        <f>IFERROR(VLOOKUP(TRIM(E126),ACTIVIDADES!$A$1:$D$17,4,FALSE),"")</f>
        <v>75</v>
      </c>
      <c r="I126" s="35">
        <f t="shared" si="1"/>
        <v>75</v>
      </c>
    </row>
    <row r="127" spans="1:9" x14ac:dyDescent="0.3">
      <c r="A127" s="28">
        <v>46158</v>
      </c>
      <c r="B127" s="1">
        <v>39</v>
      </c>
      <c r="C127" s="24" t="s">
        <v>44</v>
      </c>
      <c r="D127" s="53" t="s">
        <v>153</v>
      </c>
      <c r="E127" s="53" t="s">
        <v>50</v>
      </c>
      <c r="F127" s="33" t="str">
        <f>IFERROR(VLOOKUP(TRIM(E127),ACTIVIDADES!$A$1:$D$17,2,FALSE),"NO ENCONTRADO")</f>
        <v>MANTENIMIENTO GENERAL</v>
      </c>
      <c r="G127" s="63">
        <v>1</v>
      </c>
      <c r="H127" s="38">
        <f>IFERROR(VLOOKUP(TRIM(E127),ACTIVIDADES!$A$1:$D$17,4,FALSE),"")</f>
        <v>75</v>
      </c>
      <c r="I127" s="35">
        <f t="shared" si="1"/>
        <v>75</v>
      </c>
    </row>
    <row r="128" spans="1:9" x14ac:dyDescent="0.3">
      <c r="A128" s="28">
        <v>46160</v>
      </c>
      <c r="B128" s="1">
        <v>1</v>
      </c>
      <c r="C128" s="40" t="s">
        <v>6</v>
      </c>
      <c r="D128" s="1" t="s">
        <v>49</v>
      </c>
      <c r="E128" s="1" t="s">
        <v>49</v>
      </c>
      <c r="F128" s="33" t="str">
        <f>IFERROR(VLOOKUP(TRIM(E128),ACTIVIDADES!$A$1:$D$17,2,FALSE),"NO ENCONTRADO")</f>
        <v>CAPORAL</v>
      </c>
      <c r="G128" s="63">
        <v>1</v>
      </c>
      <c r="H128" s="38">
        <f>IFERROR(VLOOKUP(TRIM(E128),ACTIVIDADES!$A$1:$D$17,4,FALSE),"")</f>
        <v>100</v>
      </c>
      <c r="I128" s="35">
        <f t="shared" si="1"/>
        <v>100</v>
      </c>
    </row>
    <row r="129" spans="1:9" x14ac:dyDescent="0.3">
      <c r="A129" s="28">
        <v>46160</v>
      </c>
      <c r="B129" s="1">
        <v>4</v>
      </c>
      <c r="C129" s="40" t="s">
        <v>36</v>
      </c>
      <c r="D129" s="53" t="s">
        <v>150</v>
      </c>
      <c r="E129" s="47" t="s">
        <v>149</v>
      </c>
      <c r="F129" s="33" t="str">
        <f>IFERROR(VLOOKUP(TRIM(E129),ACTIVIDADES!$A$1:$D$17,2,FALSE),"NO ENCONTRADO")</f>
        <v>HACIENDA</v>
      </c>
      <c r="G129" s="63">
        <v>1</v>
      </c>
      <c r="H129" s="38">
        <f>IFERROR(VLOOKUP(TRIM(E129),ACTIVIDADES!$A$1:$D$17,4,FALSE),"")</f>
        <v>65</v>
      </c>
      <c r="I129" s="35">
        <f t="shared" si="1"/>
        <v>65</v>
      </c>
    </row>
    <row r="130" spans="1:9" x14ac:dyDescent="0.3">
      <c r="A130" s="28">
        <v>46160</v>
      </c>
      <c r="B130" s="1">
        <v>5</v>
      </c>
      <c r="C130" s="29" t="s">
        <v>38</v>
      </c>
      <c r="D130" s="47" t="s">
        <v>150</v>
      </c>
      <c r="E130" s="47" t="s">
        <v>149</v>
      </c>
      <c r="F130" s="33" t="str">
        <f>IFERROR(VLOOKUP(TRIM(E130),ACTIVIDADES!$A$1:$D$17,2,FALSE),"NO ENCONTRADO")</f>
        <v>HACIENDA</v>
      </c>
      <c r="G130" s="63">
        <v>1</v>
      </c>
      <c r="H130" s="38">
        <f>IFERROR(VLOOKUP(TRIM(E130),ACTIVIDADES!$A$1:$D$17,4,FALSE),"")</f>
        <v>65</v>
      </c>
      <c r="I130" s="35">
        <f t="shared" ref="I130:I193" si="2">IFERROR(G130*H130,"")</f>
        <v>65</v>
      </c>
    </row>
    <row r="131" spans="1:9" x14ac:dyDescent="0.3">
      <c r="A131" s="28">
        <v>46161</v>
      </c>
      <c r="B131" s="1">
        <v>1</v>
      </c>
      <c r="C131" s="40" t="s">
        <v>6</v>
      </c>
      <c r="D131" s="1" t="s">
        <v>49</v>
      </c>
      <c r="E131" s="1" t="s">
        <v>49</v>
      </c>
      <c r="F131" s="33" t="str">
        <f>IFERROR(VLOOKUP(TRIM(E131),ACTIVIDADES!$A$1:$D$17,2,FALSE),"NO ENCONTRADO")</f>
        <v>CAPORAL</v>
      </c>
      <c r="G131" s="63">
        <v>1</v>
      </c>
      <c r="H131" s="38">
        <f>IFERROR(VLOOKUP(TRIM(E131),ACTIVIDADES!$A$1:$D$17,4,FALSE),"")</f>
        <v>100</v>
      </c>
      <c r="I131" s="35">
        <f t="shared" si="2"/>
        <v>100</v>
      </c>
    </row>
    <row r="132" spans="1:9" x14ac:dyDescent="0.3">
      <c r="A132" s="28">
        <v>46161</v>
      </c>
      <c r="B132" s="1">
        <v>2</v>
      </c>
      <c r="C132" s="29" t="s">
        <v>10</v>
      </c>
      <c r="D132" s="1" t="s">
        <v>49</v>
      </c>
      <c r="E132" s="1" t="s">
        <v>49</v>
      </c>
      <c r="F132" s="33" t="str">
        <f>IFERROR(VLOOKUP(TRIM(E132),ACTIVIDADES!$A$1:$D$17,2,FALSE),"NO ENCONTRADO")</f>
        <v>CAPORAL</v>
      </c>
      <c r="G132" s="63">
        <v>1</v>
      </c>
      <c r="H132" s="38">
        <f>IFERROR(VLOOKUP(TRIM(E132),ACTIVIDADES!$A$1:$D$17,4,FALSE),"")</f>
        <v>100</v>
      </c>
      <c r="I132" s="35">
        <f t="shared" si="2"/>
        <v>100</v>
      </c>
    </row>
    <row r="133" spans="1:9" x14ac:dyDescent="0.3">
      <c r="A133" s="28">
        <v>46161</v>
      </c>
      <c r="B133" s="1">
        <v>3</v>
      </c>
      <c r="C133" s="29" t="s">
        <v>22</v>
      </c>
      <c r="D133" s="53" t="s">
        <v>49</v>
      </c>
      <c r="E133" s="53" t="s">
        <v>49</v>
      </c>
      <c r="F133" s="33" t="str">
        <f>IFERROR(VLOOKUP(TRIM(E133),ACTIVIDADES!$A$1:$D$17,2,FALSE),"NO ENCONTRADO")</f>
        <v>CAPORAL</v>
      </c>
      <c r="G133" s="63">
        <v>1</v>
      </c>
      <c r="H133" s="38">
        <f>IFERROR(VLOOKUP(TRIM(E133),ACTIVIDADES!$A$1:$D$17,4,FALSE),"")</f>
        <v>100</v>
      </c>
      <c r="I133" s="35">
        <f t="shared" si="2"/>
        <v>100</v>
      </c>
    </row>
    <row r="134" spans="1:9" x14ac:dyDescent="0.3">
      <c r="A134" s="28">
        <v>46161</v>
      </c>
      <c r="B134" s="1">
        <v>4</v>
      </c>
      <c r="C134" s="40" t="s">
        <v>36</v>
      </c>
      <c r="D134" s="53" t="s">
        <v>150</v>
      </c>
      <c r="E134" s="47" t="s">
        <v>149</v>
      </c>
      <c r="F134" s="33" t="str">
        <f>IFERROR(VLOOKUP(TRIM(E134),ACTIVIDADES!$A$1:$D$17,2,FALSE),"NO ENCONTRADO")</f>
        <v>HACIENDA</v>
      </c>
      <c r="G134" s="63">
        <v>1</v>
      </c>
      <c r="H134" s="38">
        <f>IFERROR(VLOOKUP(TRIM(E134),ACTIVIDADES!$A$1:$D$17,4,FALSE),"")</f>
        <v>65</v>
      </c>
      <c r="I134" s="35">
        <f t="shared" si="2"/>
        <v>65</v>
      </c>
    </row>
    <row r="135" spans="1:9" x14ac:dyDescent="0.3">
      <c r="A135" s="28">
        <v>46161</v>
      </c>
      <c r="B135" s="1">
        <v>5</v>
      </c>
      <c r="C135" s="29" t="s">
        <v>38</v>
      </c>
      <c r="D135" s="47" t="s">
        <v>150</v>
      </c>
      <c r="E135" s="47" t="s">
        <v>149</v>
      </c>
      <c r="F135" s="33" t="str">
        <f>IFERROR(VLOOKUP(TRIM(E135),ACTIVIDADES!$A$1:$D$17,2,FALSE),"NO ENCONTRADO")</f>
        <v>HACIENDA</v>
      </c>
      <c r="G135" s="63">
        <v>1</v>
      </c>
      <c r="H135" s="38">
        <f>IFERROR(VLOOKUP(TRIM(E135),ACTIVIDADES!$A$1:$D$17,4,FALSE),"")</f>
        <v>65</v>
      </c>
      <c r="I135" s="35">
        <f t="shared" si="2"/>
        <v>65</v>
      </c>
    </row>
    <row r="136" spans="1:9" x14ac:dyDescent="0.3">
      <c r="A136" s="28">
        <v>46161</v>
      </c>
      <c r="B136" s="1">
        <v>6</v>
      </c>
      <c r="C136" s="24" t="s">
        <v>11</v>
      </c>
      <c r="D136" s="53" t="s">
        <v>151</v>
      </c>
      <c r="E136" s="53" t="s">
        <v>60</v>
      </c>
      <c r="F136" s="33" t="str">
        <f>IFERROR(VLOOKUP(TRIM(E136),ACTIVIDADES!$A$1:$D$17,2,FALSE),"NO ENCONTRADO")</f>
        <v>MANEJO DE SOMBRA</v>
      </c>
      <c r="G136" s="63">
        <v>1</v>
      </c>
      <c r="H136" s="38">
        <f>IFERROR(VLOOKUP(TRIM(E136),ACTIVIDADES!$A$1:$D$17,4,FALSE),"")</f>
        <v>75</v>
      </c>
      <c r="I136" s="35">
        <f t="shared" si="2"/>
        <v>75</v>
      </c>
    </row>
    <row r="137" spans="1:9" x14ac:dyDescent="0.3">
      <c r="A137" s="28">
        <v>46161</v>
      </c>
      <c r="B137" s="1">
        <v>7</v>
      </c>
      <c r="C137" s="54" t="s">
        <v>12</v>
      </c>
      <c r="D137" s="53" t="s">
        <v>57</v>
      </c>
      <c r="E137" s="53" t="s">
        <v>75</v>
      </c>
      <c r="F137" s="33" t="str">
        <f>IFERROR(VLOOKUP(TRIM(E137),ACTIVIDADES!$A$1:$D$17,2,FALSE),"NO ENCONTRADO")</f>
        <v>TRAZADO PARA SIEMBRA</v>
      </c>
      <c r="G137" s="63">
        <v>1</v>
      </c>
      <c r="H137" s="38">
        <f>IFERROR(VLOOKUP(TRIM(E137),ACTIVIDADES!$A$1:$D$17,4,FALSE),"")</f>
        <v>75</v>
      </c>
      <c r="I137" s="35">
        <f t="shared" si="2"/>
        <v>75</v>
      </c>
    </row>
    <row r="138" spans="1:9" x14ac:dyDescent="0.3">
      <c r="A138" s="28">
        <v>46161</v>
      </c>
      <c r="B138" s="1">
        <v>8</v>
      </c>
      <c r="C138" s="56" t="s">
        <v>82</v>
      </c>
      <c r="D138" s="53" t="s">
        <v>47</v>
      </c>
      <c r="E138" s="53" t="s">
        <v>60</v>
      </c>
      <c r="F138" s="33" t="str">
        <f>IFERROR(VLOOKUP(TRIM(E138),ACTIVIDADES!$A$1:$D$17,2,FALSE),"NO ENCONTRADO")</f>
        <v>MANEJO DE SOMBRA</v>
      </c>
      <c r="G138" s="63">
        <v>1</v>
      </c>
      <c r="H138" s="38">
        <f>IFERROR(VLOOKUP(TRIM(E138),ACTIVIDADES!$A$1:$D$17,4,FALSE),"")</f>
        <v>75</v>
      </c>
      <c r="I138" s="35">
        <f t="shared" si="2"/>
        <v>75</v>
      </c>
    </row>
    <row r="139" spans="1:9" x14ac:dyDescent="0.3">
      <c r="A139" s="28">
        <v>46161</v>
      </c>
      <c r="B139" s="1">
        <v>9</v>
      </c>
      <c r="C139" s="40" t="s">
        <v>14</v>
      </c>
      <c r="D139" s="53" t="s">
        <v>63</v>
      </c>
      <c r="E139" s="53" t="s">
        <v>116</v>
      </c>
      <c r="F139" s="33" t="str">
        <f>IFERROR(VLOOKUP(TRIM(E139),ACTIVIDADES!$A$1:$D$17,2,FALSE),"NO ENCONTRADO")</f>
        <v>APLICACION DE FUNGICIDA</v>
      </c>
      <c r="G139" s="63">
        <v>1</v>
      </c>
      <c r="H139" s="38">
        <f>IFERROR(VLOOKUP(TRIM(E139),ACTIVIDADES!$A$1:$D$17,4,FALSE),"")</f>
        <v>75</v>
      </c>
      <c r="I139" s="35">
        <f t="shared" si="2"/>
        <v>75</v>
      </c>
    </row>
    <row r="140" spans="1:9" x14ac:dyDescent="0.3">
      <c r="A140" s="28">
        <v>46161</v>
      </c>
      <c r="B140" s="1">
        <v>11</v>
      </c>
      <c r="C140" s="24" t="s">
        <v>85</v>
      </c>
      <c r="D140" s="53" t="s">
        <v>151</v>
      </c>
      <c r="E140" s="53" t="s">
        <v>60</v>
      </c>
      <c r="F140" s="33" t="str">
        <f>IFERROR(VLOOKUP(TRIM(E140),ACTIVIDADES!$A$1:$D$17,2,FALSE),"NO ENCONTRADO")</f>
        <v>MANEJO DE SOMBRA</v>
      </c>
      <c r="G140" s="63">
        <v>1</v>
      </c>
      <c r="H140" s="38">
        <f>IFERROR(VLOOKUP(TRIM(E140),ACTIVIDADES!$A$1:$D$17,4,FALSE),"")</f>
        <v>75</v>
      </c>
      <c r="I140" s="35">
        <f t="shared" si="2"/>
        <v>75</v>
      </c>
    </row>
    <row r="141" spans="1:9" x14ac:dyDescent="0.3">
      <c r="A141" s="28">
        <v>46161</v>
      </c>
      <c r="B141" s="1">
        <v>12</v>
      </c>
      <c r="C141" s="24" t="s">
        <v>17</v>
      </c>
      <c r="D141" s="53" t="s">
        <v>151</v>
      </c>
      <c r="E141" s="53" t="s">
        <v>61</v>
      </c>
      <c r="F141" s="33" t="str">
        <f>IFERROR(VLOOKUP(TRIM(E141),ACTIVIDADES!$A$1:$D$17,2,FALSE),"NO ENCONTRADO")</f>
        <v>MANEJO DE SOMBRA</v>
      </c>
      <c r="G141" s="63">
        <v>1</v>
      </c>
      <c r="H141" s="38">
        <f>IFERROR(VLOOKUP(TRIM(E141),ACTIVIDADES!$A$1:$D$17,4,FALSE),"")</f>
        <v>75</v>
      </c>
      <c r="I141" s="35">
        <f t="shared" si="2"/>
        <v>75</v>
      </c>
    </row>
    <row r="142" spans="1:9" x14ac:dyDescent="0.3">
      <c r="A142" s="28">
        <v>46161</v>
      </c>
      <c r="B142" s="1">
        <v>13</v>
      </c>
      <c r="C142" s="24" t="s">
        <v>18</v>
      </c>
      <c r="D142" s="53" t="s">
        <v>46</v>
      </c>
      <c r="E142" s="53" t="s">
        <v>77</v>
      </c>
      <c r="F142" s="33" t="str">
        <f>IFERROR(VLOOKUP(TRIM(E142),ACTIVIDADES!$A$1:$D$17,2,FALSE),"NO ENCONTRADO")</f>
        <v>TRAZADO PARA SIEMBRA</v>
      </c>
      <c r="G142" s="63">
        <v>1</v>
      </c>
      <c r="H142" s="38">
        <f>IFERROR(VLOOKUP(TRIM(E142),ACTIVIDADES!$A$1:$D$17,4,FALSE),"")</f>
        <v>75</v>
      </c>
      <c r="I142" s="35">
        <f t="shared" si="2"/>
        <v>75</v>
      </c>
    </row>
    <row r="143" spans="1:9" x14ac:dyDescent="0.3">
      <c r="A143" s="28">
        <v>46161</v>
      </c>
      <c r="B143" s="1">
        <v>14</v>
      </c>
      <c r="C143" s="24" t="s">
        <v>88</v>
      </c>
      <c r="D143" s="53" t="s">
        <v>46</v>
      </c>
      <c r="E143" s="53" t="s">
        <v>75</v>
      </c>
      <c r="F143" s="33" t="str">
        <f>IFERROR(VLOOKUP(TRIM(E143),ACTIVIDADES!$A$1:$D$17,2,FALSE),"NO ENCONTRADO")</f>
        <v>TRAZADO PARA SIEMBRA</v>
      </c>
      <c r="G143" s="63">
        <v>1</v>
      </c>
      <c r="H143" s="38">
        <f>IFERROR(VLOOKUP(TRIM(E143),ACTIVIDADES!$A$1:$D$17,4,FALSE),"")</f>
        <v>75</v>
      </c>
      <c r="I143" s="35">
        <f t="shared" si="2"/>
        <v>75</v>
      </c>
    </row>
    <row r="144" spans="1:9" x14ac:dyDescent="0.3">
      <c r="A144" s="28">
        <v>46161</v>
      </c>
      <c r="B144" s="1">
        <v>15</v>
      </c>
      <c r="C144" s="40" t="s">
        <v>20</v>
      </c>
      <c r="D144" s="53" t="s">
        <v>47</v>
      </c>
      <c r="E144" s="53" t="s">
        <v>60</v>
      </c>
      <c r="F144" s="33" t="str">
        <f>IFERROR(VLOOKUP(TRIM(E144),ACTIVIDADES!$A$1:$D$17,2,FALSE),"NO ENCONTRADO")</f>
        <v>MANEJO DE SOMBRA</v>
      </c>
      <c r="G144" s="63">
        <v>1</v>
      </c>
      <c r="H144" s="38">
        <f>IFERROR(VLOOKUP(TRIM(E144),ACTIVIDADES!$A$1:$D$17,4,FALSE),"")</f>
        <v>75</v>
      </c>
      <c r="I144" s="35">
        <f t="shared" si="2"/>
        <v>75</v>
      </c>
    </row>
    <row r="145" spans="1:9" x14ac:dyDescent="0.3">
      <c r="A145" s="28">
        <v>46161</v>
      </c>
      <c r="B145" s="1">
        <v>16</v>
      </c>
      <c r="C145" s="24" t="s">
        <v>90</v>
      </c>
      <c r="D145" s="53" t="s">
        <v>63</v>
      </c>
      <c r="E145" s="53" t="s">
        <v>116</v>
      </c>
      <c r="F145" s="33" t="str">
        <f>IFERROR(VLOOKUP(TRIM(E145),ACTIVIDADES!$A$1:$D$17,2,FALSE),"NO ENCONTRADO")</f>
        <v>APLICACION DE FUNGICIDA</v>
      </c>
      <c r="G145" s="63">
        <v>1</v>
      </c>
      <c r="H145" s="38">
        <f>IFERROR(VLOOKUP(TRIM(E145),ACTIVIDADES!$A$1:$D$17,4,FALSE),"")</f>
        <v>75</v>
      </c>
      <c r="I145" s="35">
        <f t="shared" si="2"/>
        <v>75</v>
      </c>
    </row>
    <row r="146" spans="1:9" x14ac:dyDescent="0.3">
      <c r="A146" s="28">
        <v>46161</v>
      </c>
      <c r="B146" s="1">
        <v>17</v>
      </c>
      <c r="C146" s="24" t="s">
        <v>91</v>
      </c>
      <c r="D146" s="53" t="s">
        <v>151</v>
      </c>
      <c r="E146" s="53" t="s">
        <v>60</v>
      </c>
      <c r="F146" s="33" t="str">
        <f>IFERROR(VLOOKUP(TRIM(E146),ACTIVIDADES!$A$1:$D$17,2,FALSE),"NO ENCONTRADO")</f>
        <v>MANEJO DE SOMBRA</v>
      </c>
      <c r="G146" s="63">
        <v>1</v>
      </c>
      <c r="H146" s="38">
        <f>IFERROR(VLOOKUP(TRIM(E146),ACTIVIDADES!$A$1:$D$17,4,FALSE),"")</f>
        <v>75</v>
      </c>
      <c r="I146" s="35">
        <f t="shared" si="2"/>
        <v>75</v>
      </c>
    </row>
    <row r="147" spans="1:9" x14ac:dyDescent="0.3">
      <c r="A147" s="28">
        <v>46161</v>
      </c>
      <c r="B147" s="1">
        <v>18</v>
      </c>
      <c r="C147" s="30" t="s">
        <v>23</v>
      </c>
      <c r="D147" s="53" t="s">
        <v>63</v>
      </c>
      <c r="E147" s="53" t="s">
        <v>50</v>
      </c>
      <c r="F147" s="33" t="str">
        <f>IFERROR(VLOOKUP(TRIM(E147),ACTIVIDADES!$A$1:$D$17,2,FALSE),"NO ENCONTRADO")</f>
        <v>MANTENIMIENTO GENERAL</v>
      </c>
      <c r="G147" s="63">
        <v>1</v>
      </c>
      <c r="H147" s="38">
        <f>IFERROR(VLOOKUP(TRIM(E147),ACTIVIDADES!$A$1:$D$17,4,FALSE),"")</f>
        <v>75</v>
      </c>
      <c r="I147" s="35">
        <f t="shared" si="2"/>
        <v>75</v>
      </c>
    </row>
    <row r="148" spans="1:9" x14ac:dyDescent="0.3">
      <c r="A148" s="28">
        <v>46161</v>
      </c>
      <c r="B148" s="1">
        <v>19</v>
      </c>
      <c r="C148" s="53" t="s">
        <v>92</v>
      </c>
      <c r="D148" s="53" t="s">
        <v>46</v>
      </c>
      <c r="E148" s="53" t="s">
        <v>75</v>
      </c>
      <c r="F148" s="33" t="str">
        <f>IFERROR(VLOOKUP(TRIM(E148),ACTIVIDADES!$A$1:$D$17,2,FALSE),"NO ENCONTRADO")</f>
        <v>TRAZADO PARA SIEMBRA</v>
      </c>
      <c r="G148" s="63">
        <v>1</v>
      </c>
      <c r="H148" s="38">
        <f>IFERROR(VLOOKUP(TRIM(E148),ACTIVIDADES!$A$1:$D$17,4,FALSE),"")</f>
        <v>75</v>
      </c>
      <c r="I148" s="35">
        <f t="shared" si="2"/>
        <v>75</v>
      </c>
    </row>
    <row r="149" spans="1:9" x14ac:dyDescent="0.3">
      <c r="A149" s="28">
        <v>46161</v>
      </c>
      <c r="B149" s="1">
        <v>20</v>
      </c>
      <c r="C149" s="24" t="s">
        <v>25</v>
      </c>
      <c r="D149" s="1" t="s">
        <v>46</v>
      </c>
      <c r="E149" s="53" t="s">
        <v>75</v>
      </c>
      <c r="F149" s="33" t="str">
        <f>IFERROR(VLOOKUP(TRIM(E149),ACTIVIDADES!$A$1:$D$17,2,FALSE),"NO ENCONTRADO")</f>
        <v>TRAZADO PARA SIEMBRA</v>
      </c>
      <c r="G149" s="63">
        <v>1</v>
      </c>
      <c r="H149" s="38">
        <f>IFERROR(VLOOKUP(TRIM(E149),ACTIVIDADES!$A$1:$D$17,4,FALSE),"")</f>
        <v>75</v>
      </c>
      <c r="I149" s="35">
        <f t="shared" si="2"/>
        <v>75</v>
      </c>
    </row>
    <row r="150" spans="1:9" x14ac:dyDescent="0.3">
      <c r="A150" s="28">
        <v>46161</v>
      </c>
      <c r="B150" s="1">
        <v>21</v>
      </c>
      <c r="C150" s="29" t="s">
        <v>26</v>
      </c>
      <c r="D150" s="1" t="s">
        <v>46</v>
      </c>
      <c r="E150" s="53" t="s">
        <v>75</v>
      </c>
      <c r="F150" s="33" t="str">
        <f>IFERROR(VLOOKUP(TRIM(E150),ACTIVIDADES!$A$1:$D$17,2,FALSE),"NO ENCONTRADO")</f>
        <v>TRAZADO PARA SIEMBRA</v>
      </c>
      <c r="G150" s="63">
        <v>1</v>
      </c>
      <c r="H150" s="38">
        <f>IFERROR(VLOOKUP(TRIM(E150),ACTIVIDADES!$A$1:$D$17,4,FALSE),"")</f>
        <v>75</v>
      </c>
      <c r="I150" s="35">
        <f t="shared" si="2"/>
        <v>75</v>
      </c>
    </row>
    <row r="151" spans="1:9" x14ac:dyDescent="0.3">
      <c r="A151" s="28">
        <v>46161</v>
      </c>
      <c r="B151" s="1">
        <v>22</v>
      </c>
      <c r="C151" s="24" t="s">
        <v>27</v>
      </c>
      <c r="D151" s="53" t="s">
        <v>151</v>
      </c>
      <c r="E151" s="53" t="s">
        <v>60</v>
      </c>
      <c r="F151" s="33" t="str">
        <f>IFERROR(VLOOKUP(TRIM(E151),ACTIVIDADES!$A$1:$D$17,2,FALSE),"NO ENCONTRADO")</f>
        <v>MANEJO DE SOMBRA</v>
      </c>
      <c r="G151" s="63">
        <v>1</v>
      </c>
      <c r="H151" s="38">
        <f>IFERROR(VLOOKUP(TRIM(E151),ACTIVIDADES!$A$1:$D$17,4,FALSE),"")</f>
        <v>75</v>
      </c>
      <c r="I151" s="35">
        <f t="shared" si="2"/>
        <v>75</v>
      </c>
    </row>
    <row r="152" spans="1:9" x14ac:dyDescent="0.3">
      <c r="A152" s="28">
        <v>46161</v>
      </c>
      <c r="B152" s="1">
        <v>23</v>
      </c>
      <c r="C152" s="24" t="s">
        <v>96</v>
      </c>
      <c r="D152" s="53" t="s">
        <v>151</v>
      </c>
      <c r="E152" s="53" t="s">
        <v>60</v>
      </c>
      <c r="F152" s="33" t="str">
        <f>IFERROR(VLOOKUP(TRIM(E152),ACTIVIDADES!$A$1:$D$17,2,FALSE),"NO ENCONTRADO")</f>
        <v>MANEJO DE SOMBRA</v>
      </c>
      <c r="G152" s="63">
        <v>1</v>
      </c>
      <c r="H152" s="38">
        <f>IFERROR(VLOOKUP(TRIM(E152),ACTIVIDADES!$A$1:$D$17,4,FALSE),"")</f>
        <v>75</v>
      </c>
      <c r="I152" s="35">
        <f t="shared" si="2"/>
        <v>75</v>
      </c>
    </row>
    <row r="153" spans="1:9" x14ac:dyDescent="0.3">
      <c r="A153" s="28">
        <v>46161</v>
      </c>
      <c r="B153" s="1">
        <v>24</v>
      </c>
      <c r="C153" s="24" t="s">
        <v>29</v>
      </c>
      <c r="D153" s="53" t="s">
        <v>151</v>
      </c>
      <c r="E153" s="53" t="s">
        <v>60</v>
      </c>
      <c r="F153" s="33" t="str">
        <f>IFERROR(VLOOKUP(TRIM(E153),ACTIVIDADES!$A$1:$D$17,2,FALSE),"NO ENCONTRADO")</f>
        <v>MANEJO DE SOMBRA</v>
      </c>
      <c r="G153" s="63">
        <v>1</v>
      </c>
      <c r="H153" s="38">
        <f>IFERROR(VLOOKUP(TRIM(E153),ACTIVIDADES!$A$1:$D$17,4,FALSE),"")</f>
        <v>75</v>
      </c>
      <c r="I153" s="35">
        <f t="shared" si="2"/>
        <v>75</v>
      </c>
    </row>
    <row r="154" spans="1:9" x14ac:dyDescent="0.3">
      <c r="A154" s="28">
        <v>46161</v>
      </c>
      <c r="B154" s="1">
        <v>25</v>
      </c>
      <c r="C154" s="24" t="s">
        <v>30</v>
      </c>
      <c r="D154" s="53" t="s">
        <v>151</v>
      </c>
      <c r="E154" s="53" t="s">
        <v>60</v>
      </c>
      <c r="F154" s="33" t="str">
        <f>IFERROR(VLOOKUP(TRIM(E154),ACTIVIDADES!$A$1:$D$17,2,FALSE),"NO ENCONTRADO")</f>
        <v>MANEJO DE SOMBRA</v>
      </c>
      <c r="G154" s="63">
        <v>1</v>
      </c>
      <c r="H154" s="38">
        <f>IFERROR(VLOOKUP(TRIM(E154),ACTIVIDADES!$A$1:$D$17,4,FALSE),"")</f>
        <v>75</v>
      </c>
      <c r="I154" s="35">
        <f t="shared" si="2"/>
        <v>75</v>
      </c>
    </row>
    <row r="155" spans="1:9" x14ac:dyDescent="0.3">
      <c r="A155" s="28">
        <v>46161</v>
      </c>
      <c r="B155" s="1">
        <v>26</v>
      </c>
      <c r="C155" s="24" t="s">
        <v>99</v>
      </c>
      <c r="D155" s="53" t="s">
        <v>151</v>
      </c>
      <c r="E155" s="53" t="s">
        <v>60</v>
      </c>
      <c r="F155" s="33" t="str">
        <f>IFERROR(VLOOKUP(TRIM(E155),ACTIVIDADES!$A$1:$D$17,2,FALSE),"NO ENCONTRADO")</f>
        <v>MANEJO DE SOMBRA</v>
      </c>
      <c r="G155" s="63">
        <v>1</v>
      </c>
      <c r="H155" s="38">
        <f>IFERROR(VLOOKUP(TRIM(E155),ACTIVIDADES!$A$1:$D$17,4,FALSE),"")</f>
        <v>75</v>
      </c>
      <c r="I155" s="35">
        <f t="shared" si="2"/>
        <v>75</v>
      </c>
    </row>
    <row r="156" spans="1:9" x14ac:dyDescent="0.3">
      <c r="A156" s="28">
        <v>46161</v>
      </c>
      <c r="B156" s="1">
        <v>28</v>
      </c>
      <c r="C156" s="24" t="s">
        <v>33</v>
      </c>
      <c r="D156" s="53" t="s">
        <v>46</v>
      </c>
      <c r="E156" s="53" t="s">
        <v>75</v>
      </c>
      <c r="F156" s="33" t="str">
        <f>IFERROR(VLOOKUP(TRIM(E156),ACTIVIDADES!$A$1:$D$17,2,FALSE),"NO ENCONTRADO")</f>
        <v>TRAZADO PARA SIEMBRA</v>
      </c>
      <c r="G156" s="63">
        <v>1</v>
      </c>
      <c r="H156" s="38">
        <f>IFERROR(VLOOKUP(TRIM(E156),ACTIVIDADES!$A$1:$D$17,4,FALSE),"")</f>
        <v>75</v>
      </c>
      <c r="I156" s="35">
        <f t="shared" si="2"/>
        <v>75</v>
      </c>
    </row>
    <row r="157" spans="1:9" x14ac:dyDescent="0.3">
      <c r="A157" s="28">
        <v>46161</v>
      </c>
      <c r="B157" s="1">
        <v>29</v>
      </c>
      <c r="C157" s="24" t="s">
        <v>102</v>
      </c>
      <c r="D157" s="53" t="s">
        <v>47</v>
      </c>
      <c r="E157" s="53" t="s">
        <v>60</v>
      </c>
      <c r="F157" s="33" t="str">
        <f>IFERROR(VLOOKUP(TRIM(E157),ACTIVIDADES!$A$1:$D$17,2,FALSE),"NO ENCONTRADO")</f>
        <v>MANEJO DE SOMBRA</v>
      </c>
      <c r="G157" s="63">
        <v>1</v>
      </c>
      <c r="H157" s="38">
        <f>IFERROR(VLOOKUP(TRIM(E157),ACTIVIDADES!$A$1:$D$17,4,FALSE),"")</f>
        <v>75</v>
      </c>
      <c r="I157" s="35">
        <f t="shared" si="2"/>
        <v>75</v>
      </c>
    </row>
    <row r="158" spans="1:9" x14ac:dyDescent="0.3">
      <c r="A158" s="28">
        <v>46161</v>
      </c>
      <c r="B158" s="1">
        <v>30</v>
      </c>
      <c r="C158" s="24" t="s">
        <v>35</v>
      </c>
      <c r="D158" s="53" t="s">
        <v>46</v>
      </c>
      <c r="E158" s="53" t="s">
        <v>75</v>
      </c>
      <c r="F158" s="33" t="str">
        <f>IFERROR(VLOOKUP(TRIM(E158),ACTIVIDADES!$A$1:$D$17,2,FALSE),"NO ENCONTRADO")</f>
        <v>TRAZADO PARA SIEMBRA</v>
      </c>
      <c r="G158" s="63">
        <v>1</v>
      </c>
      <c r="H158" s="38">
        <f>IFERROR(VLOOKUP(TRIM(E158),ACTIVIDADES!$A$1:$D$17,4,FALSE),"")</f>
        <v>75</v>
      </c>
      <c r="I158" s="35">
        <f t="shared" si="2"/>
        <v>75</v>
      </c>
    </row>
    <row r="159" spans="1:9" x14ac:dyDescent="0.3">
      <c r="A159" s="28">
        <v>46161</v>
      </c>
      <c r="B159" s="1">
        <v>31</v>
      </c>
      <c r="C159" s="24" t="s">
        <v>9</v>
      </c>
      <c r="D159" s="53" t="s">
        <v>46</v>
      </c>
      <c r="E159" s="53" t="s">
        <v>75</v>
      </c>
      <c r="F159" s="33" t="str">
        <f>IFERROR(VLOOKUP(TRIM(E159),ACTIVIDADES!$A$1:$D$17,2,FALSE),"NO ENCONTRADO")</f>
        <v>TRAZADO PARA SIEMBRA</v>
      </c>
      <c r="G159" s="63">
        <v>1</v>
      </c>
      <c r="H159" s="38">
        <f>IFERROR(VLOOKUP(TRIM(E159),ACTIVIDADES!$A$1:$D$17,4,FALSE),"")</f>
        <v>75</v>
      </c>
      <c r="I159" s="35">
        <f t="shared" si="2"/>
        <v>75</v>
      </c>
    </row>
    <row r="160" spans="1:9" x14ac:dyDescent="0.3">
      <c r="A160" s="28">
        <v>46161</v>
      </c>
      <c r="B160" s="1">
        <v>32</v>
      </c>
      <c r="C160" s="24" t="s">
        <v>7</v>
      </c>
      <c r="D160" s="53" t="s">
        <v>151</v>
      </c>
      <c r="E160" s="53" t="s">
        <v>60</v>
      </c>
      <c r="F160" s="33" t="str">
        <f>IFERROR(VLOOKUP(TRIM(E160),ACTIVIDADES!$A$1:$D$17,2,FALSE),"NO ENCONTRADO")</f>
        <v>MANEJO DE SOMBRA</v>
      </c>
      <c r="G160" s="63">
        <v>1</v>
      </c>
      <c r="H160" s="38">
        <f>IFERROR(VLOOKUP(TRIM(E160),ACTIVIDADES!$A$1:$D$17,4,FALSE),"")</f>
        <v>75</v>
      </c>
      <c r="I160" s="35">
        <f t="shared" si="2"/>
        <v>75</v>
      </c>
    </row>
    <row r="161" spans="1:9" x14ac:dyDescent="0.3">
      <c r="A161" s="28">
        <v>46161</v>
      </c>
      <c r="B161" s="1">
        <v>33</v>
      </c>
      <c r="C161" s="24" t="s">
        <v>107</v>
      </c>
      <c r="D161" s="53" t="s">
        <v>151</v>
      </c>
      <c r="E161" s="53" t="s">
        <v>60</v>
      </c>
      <c r="F161" s="33" t="str">
        <f>IFERROR(VLOOKUP(TRIM(E161),ACTIVIDADES!$A$1:$D$17,2,FALSE),"NO ENCONTRADO")</f>
        <v>MANEJO DE SOMBRA</v>
      </c>
      <c r="G161" s="63">
        <v>1</v>
      </c>
      <c r="H161" s="38">
        <f>IFERROR(VLOOKUP(TRIM(E161),ACTIVIDADES!$A$1:$D$17,4,FALSE),"")</f>
        <v>75</v>
      </c>
      <c r="I161" s="35">
        <f t="shared" si="2"/>
        <v>75</v>
      </c>
    </row>
    <row r="162" spans="1:9" x14ac:dyDescent="0.3">
      <c r="A162" s="28">
        <v>46161</v>
      </c>
      <c r="B162" s="1">
        <v>34</v>
      </c>
      <c r="C162" s="24" t="s">
        <v>108</v>
      </c>
      <c r="D162" s="53" t="s">
        <v>151</v>
      </c>
      <c r="E162" s="53" t="s">
        <v>60</v>
      </c>
      <c r="F162" s="33" t="str">
        <f>IFERROR(VLOOKUP(TRIM(E162),ACTIVIDADES!$A$1:$D$17,2,FALSE),"NO ENCONTRADO")</f>
        <v>MANEJO DE SOMBRA</v>
      </c>
      <c r="G162" s="63">
        <v>1</v>
      </c>
      <c r="H162" s="38">
        <f>IFERROR(VLOOKUP(TRIM(E162),ACTIVIDADES!$A$1:$D$17,4,FALSE),"")</f>
        <v>75</v>
      </c>
      <c r="I162" s="35">
        <f t="shared" si="2"/>
        <v>75</v>
      </c>
    </row>
    <row r="163" spans="1:9" x14ac:dyDescent="0.3">
      <c r="A163" s="28">
        <v>46161</v>
      </c>
      <c r="B163" s="1">
        <v>35</v>
      </c>
      <c r="C163" s="24" t="s">
        <v>109</v>
      </c>
      <c r="D163" s="53" t="s">
        <v>151</v>
      </c>
      <c r="E163" s="53" t="s">
        <v>60</v>
      </c>
      <c r="F163" s="33" t="str">
        <f>IFERROR(VLOOKUP(TRIM(E163),ACTIVIDADES!$A$1:$D$17,2,FALSE),"NO ENCONTRADO")</f>
        <v>MANEJO DE SOMBRA</v>
      </c>
      <c r="G163" s="63">
        <v>1</v>
      </c>
      <c r="H163" s="38">
        <f>IFERROR(VLOOKUP(TRIM(E163),ACTIVIDADES!$A$1:$D$17,4,FALSE),"")</f>
        <v>75</v>
      </c>
      <c r="I163" s="35">
        <f t="shared" si="2"/>
        <v>75</v>
      </c>
    </row>
    <row r="164" spans="1:9" x14ac:dyDescent="0.3">
      <c r="A164" s="28">
        <v>46161</v>
      </c>
      <c r="B164" s="1">
        <v>36</v>
      </c>
      <c r="C164" s="53" t="s">
        <v>42</v>
      </c>
      <c r="D164" s="53" t="s">
        <v>46</v>
      </c>
      <c r="E164" s="53" t="s">
        <v>75</v>
      </c>
      <c r="F164" s="33" t="str">
        <f>IFERROR(VLOOKUP(TRIM(E164),ACTIVIDADES!$A$1:$D$17,2,FALSE),"NO ENCONTRADO")</f>
        <v>TRAZADO PARA SIEMBRA</v>
      </c>
      <c r="G164" s="63">
        <v>1</v>
      </c>
      <c r="H164" s="38">
        <f>IFERROR(VLOOKUP(TRIM(E164),ACTIVIDADES!$A$1:$D$17,4,FALSE),"")</f>
        <v>75</v>
      </c>
      <c r="I164" s="35">
        <f t="shared" si="2"/>
        <v>75</v>
      </c>
    </row>
    <row r="165" spans="1:9" x14ac:dyDescent="0.3">
      <c r="A165" s="28">
        <v>46161</v>
      </c>
      <c r="B165" s="1">
        <v>39</v>
      </c>
      <c r="C165" s="24" t="s">
        <v>44</v>
      </c>
      <c r="D165" s="53" t="s">
        <v>46</v>
      </c>
      <c r="E165" s="53" t="s">
        <v>75</v>
      </c>
      <c r="F165" s="33" t="str">
        <f>IFERROR(VLOOKUP(TRIM(E165),ACTIVIDADES!$A$1:$D$17,2,FALSE),"NO ENCONTRADO")</f>
        <v>TRAZADO PARA SIEMBRA</v>
      </c>
      <c r="G165" s="63">
        <v>1</v>
      </c>
      <c r="H165" s="38">
        <f>IFERROR(VLOOKUP(TRIM(E165),ACTIVIDADES!$A$1:$D$17,4,FALSE),"")</f>
        <v>75</v>
      </c>
      <c r="I165" s="35">
        <f t="shared" si="2"/>
        <v>75</v>
      </c>
    </row>
    <row r="166" spans="1:9" x14ac:dyDescent="0.3">
      <c r="A166" s="28">
        <v>46162</v>
      </c>
      <c r="B166" s="1">
        <v>1</v>
      </c>
      <c r="C166" s="40" t="s">
        <v>6</v>
      </c>
      <c r="D166" s="1" t="s">
        <v>49</v>
      </c>
      <c r="E166" s="1" t="s">
        <v>49</v>
      </c>
      <c r="F166" s="33" t="str">
        <f>IFERROR(VLOOKUP(TRIM(E166),ACTIVIDADES!$A$1:$D$17,2,FALSE),"NO ENCONTRADO")</f>
        <v>CAPORAL</v>
      </c>
      <c r="G166" s="63">
        <v>1</v>
      </c>
      <c r="H166" s="38">
        <f>IFERROR(VLOOKUP(TRIM(E166),ACTIVIDADES!$A$1:$D$17,4,FALSE),"")</f>
        <v>100</v>
      </c>
      <c r="I166" s="35">
        <f t="shared" si="2"/>
        <v>100</v>
      </c>
    </row>
    <row r="167" spans="1:9" x14ac:dyDescent="0.3">
      <c r="A167" s="28">
        <v>46162</v>
      </c>
      <c r="B167" s="1">
        <v>2</v>
      </c>
      <c r="C167" s="29" t="s">
        <v>10</v>
      </c>
      <c r="D167" s="1" t="s">
        <v>49</v>
      </c>
      <c r="E167" s="1" t="s">
        <v>49</v>
      </c>
      <c r="F167" s="33" t="str">
        <f>IFERROR(VLOOKUP(TRIM(E167),ACTIVIDADES!$A$1:$D$17,2,FALSE),"NO ENCONTRADO")</f>
        <v>CAPORAL</v>
      </c>
      <c r="G167" s="63">
        <v>1</v>
      </c>
      <c r="H167" s="38">
        <f>IFERROR(VLOOKUP(TRIM(E167),ACTIVIDADES!$A$1:$D$17,4,FALSE),"")</f>
        <v>100</v>
      </c>
      <c r="I167" s="35">
        <f t="shared" si="2"/>
        <v>100</v>
      </c>
    </row>
    <row r="168" spans="1:9" x14ac:dyDescent="0.3">
      <c r="A168" s="28">
        <v>46162</v>
      </c>
      <c r="B168" s="1">
        <v>3</v>
      </c>
      <c r="C168" s="29" t="s">
        <v>22</v>
      </c>
      <c r="D168" s="53" t="s">
        <v>49</v>
      </c>
      <c r="E168" s="53" t="s">
        <v>49</v>
      </c>
      <c r="F168" s="33" t="str">
        <f>IFERROR(VLOOKUP(TRIM(E168),ACTIVIDADES!$A$1:$D$17,2,FALSE),"NO ENCONTRADO")</f>
        <v>CAPORAL</v>
      </c>
      <c r="G168" s="63">
        <v>1</v>
      </c>
      <c r="H168" s="38">
        <f>IFERROR(VLOOKUP(TRIM(E168),ACTIVIDADES!$A$1:$D$17,4,FALSE),"")</f>
        <v>100</v>
      </c>
      <c r="I168" s="35">
        <f t="shared" si="2"/>
        <v>100</v>
      </c>
    </row>
    <row r="169" spans="1:9" x14ac:dyDescent="0.3">
      <c r="A169" s="28">
        <v>46162</v>
      </c>
      <c r="B169" s="1">
        <v>4</v>
      </c>
      <c r="C169" s="40" t="s">
        <v>36</v>
      </c>
      <c r="D169" s="53" t="s">
        <v>150</v>
      </c>
      <c r="E169" s="47" t="s">
        <v>149</v>
      </c>
      <c r="F169" s="33" t="str">
        <f>IFERROR(VLOOKUP(TRIM(E169),ACTIVIDADES!$A$1:$D$17,2,FALSE),"NO ENCONTRADO")</f>
        <v>HACIENDA</v>
      </c>
      <c r="G169" s="63">
        <v>1</v>
      </c>
      <c r="H169" s="38">
        <f>IFERROR(VLOOKUP(TRIM(E169),ACTIVIDADES!$A$1:$D$17,4,FALSE),"")</f>
        <v>65</v>
      </c>
      <c r="I169" s="35">
        <f t="shared" si="2"/>
        <v>65</v>
      </c>
    </row>
    <row r="170" spans="1:9" x14ac:dyDescent="0.3">
      <c r="A170" s="28">
        <v>46162</v>
      </c>
      <c r="B170" s="1">
        <v>5</v>
      </c>
      <c r="C170" s="29" t="s">
        <v>38</v>
      </c>
      <c r="D170" s="47" t="s">
        <v>150</v>
      </c>
      <c r="E170" s="47" t="s">
        <v>149</v>
      </c>
      <c r="F170" s="33" t="str">
        <f>IFERROR(VLOOKUP(TRIM(E170),ACTIVIDADES!$A$1:$D$17,2,FALSE),"NO ENCONTRADO")</f>
        <v>HACIENDA</v>
      </c>
      <c r="G170" s="63">
        <v>1</v>
      </c>
      <c r="H170" s="38">
        <f>IFERROR(VLOOKUP(TRIM(E170),ACTIVIDADES!$A$1:$D$17,4,FALSE),"")</f>
        <v>65</v>
      </c>
      <c r="I170" s="35">
        <f t="shared" si="2"/>
        <v>65</v>
      </c>
    </row>
    <row r="171" spans="1:9" x14ac:dyDescent="0.3">
      <c r="A171" s="28">
        <v>46162</v>
      </c>
      <c r="B171" s="1">
        <v>6</v>
      </c>
      <c r="C171" s="24" t="s">
        <v>11</v>
      </c>
      <c r="D171" s="55" t="s">
        <v>47</v>
      </c>
      <c r="E171" s="53" t="s">
        <v>60</v>
      </c>
      <c r="F171" s="33" t="str">
        <f>IFERROR(VLOOKUP(TRIM(E171),ACTIVIDADES!$A$1:$D$17,2,FALSE),"NO ENCONTRADO")</f>
        <v>MANEJO DE SOMBRA</v>
      </c>
      <c r="G171" s="63">
        <v>1</v>
      </c>
      <c r="H171" s="38">
        <f>IFERROR(VLOOKUP(TRIM(E171),ACTIVIDADES!$A$1:$D$17,4,FALSE),"")</f>
        <v>75</v>
      </c>
      <c r="I171" s="35">
        <f t="shared" si="2"/>
        <v>75</v>
      </c>
    </row>
    <row r="172" spans="1:9" x14ac:dyDescent="0.3">
      <c r="A172" s="28">
        <v>46162</v>
      </c>
      <c r="B172" s="1">
        <v>7</v>
      </c>
      <c r="C172" s="54" t="s">
        <v>12</v>
      </c>
      <c r="D172" s="55" t="s">
        <v>46</v>
      </c>
      <c r="E172" s="53" t="s">
        <v>75</v>
      </c>
      <c r="F172" s="33" t="str">
        <f>IFERROR(VLOOKUP(TRIM(E172),ACTIVIDADES!$A$1:$D$17,2,FALSE),"NO ENCONTRADO")</f>
        <v>TRAZADO PARA SIEMBRA</v>
      </c>
      <c r="G172" s="63">
        <v>1</v>
      </c>
      <c r="H172" s="38">
        <f>IFERROR(VLOOKUP(TRIM(E172),ACTIVIDADES!$A$1:$D$17,4,FALSE),"")</f>
        <v>75</v>
      </c>
      <c r="I172" s="35">
        <f t="shared" si="2"/>
        <v>75</v>
      </c>
    </row>
    <row r="173" spans="1:9" x14ac:dyDescent="0.3">
      <c r="A173" s="28">
        <v>46162</v>
      </c>
      <c r="B173" s="1">
        <v>8</v>
      </c>
      <c r="C173" s="24" t="s">
        <v>84</v>
      </c>
      <c r="D173" s="53" t="s">
        <v>151</v>
      </c>
      <c r="E173" s="53" t="s">
        <v>60</v>
      </c>
      <c r="F173" s="33" t="str">
        <f>IFERROR(VLOOKUP(TRIM(E173),ACTIVIDADES!$A$1:$D$17,2,FALSE),"NO ENCONTRADO")</f>
        <v>MANEJO DE SOMBRA</v>
      </c>
      <c r="G173" s="63">
        <v>1</v>
      </c>
      <c r="H173" s="38">
        <f>IFERROR(VLOOKUP(TRIM(E173),ACTIVIDADES!$A$1:$D$17,4,FALSE),"")</f>
        <v>75</v>
      </c>
      <c r="I173" s="35">
        <f t="shared" si="2"/>
        <v>75</v>
      </c>
    </row>
    <row r="174" spans="1:9" x14ac:dyDescent="0.3">
      <c r="A174" s="28">
        <v>46162</v>
      </c>
      <c r="B174" s="1">
        <v>9</v>
      </c>
      <c r="C174" s="55" t="s">
        <v>82</v>
      </c>
      <c r="D174" s="55" t="s">
        <v>47</v>
      </c>
      <c r="E174" s="53" t="s">
        <v>60</v>
      </c>
      <c r="F174" s="33" t="str">
        <f>IFERROR(VLOOKUP(TRIM(E174),ACTIVIDADES!$A$1:$D$17,2,FALSE),"NO ENCONTRADO")</f>
        <v>MANEJO DE SOMBRA</v>
      </c>
      <c r="G174" s="63">
        <v>1</v>
      </c>
      <c r="H174" s="38">
        <f>IFERROR(VLOOKUP(TRIM(E174),ACTIVIDADES!$A$1:$D$17,4,FALSE),"")</f>
        <v>75</v>
      </c>
      <c r="I174" s="35">
        <f t="shared" si="2"/>
        <v>75</v>
      </c>
    </row>
    <row r="175" spans="1:9" x14ac:dyDescent="0.3">
      <c r="A175" s="28">
        <v>46162</v>
      </c>
      <c r="B175" s="1">
        <v>10</v>
      </c>
      <c r="C175" s="40" t="s">
        <v>14</v>
      </c>
      <c r="D175" s="55" t="s">
        <v>55</v>
      </c>
      <c r="E175" s="53" t="s">
        <v>116</v>
      </c>
      <c r="F175" s="33" t="str">
        <f>IFERROR(VLOOKUP(TRIM(E175),ACTIVIDADES!$A$1:$D$17,2,FALSE),"NO ENCONTRADO")</f>
        <v>APLICACION DE FUNGICIDA</v>
      </c>
      <c r="G175" s="63">
        <v>1</v>
      </c>
      <c r="H175" s="38">
        <f>IFERROR(VLOOKUP(TRIM(E175),ACTIVIDADES!$A$1:$D$17,4,FALSE),"")</f>
        <v>75</v>
      </c>
      <c r="I175" s="35">
        <f t="shared" si="2"/>
        <v>75</v>
      </c>
    </row>
    <row r="176" spans="1:9" x14ac:dyDescent="0.3">
      <c r="A176" s="28">
        <v>46162</v>
      </c>
      <c r="B176" s="1">
        <v>12</v>
      </c>
      <c r="C176" s="24" t="s">
        <v>85</v>
      </c>
      <c r="D176" s="55" t="s">
        <v>47</v>
      </c>
      <c r="E176" s="53" t="s">
        <v>60</v>
      </c>
      <c r="F176" s="33" t="str">
        <f>IFERROR(VLOOKUP(TRIM(E176),ACTIVIDADES!$A$1:$D$17,2,FALSE),"NO ENCONTRADO")</f>
        <v>MANEJO DE SOMBRA</v>
      </c>
      <c r="G176" s="63">
        <v>1</v>
      </c>
      <c r="H176" s="38">
        <f>IFERROR(VLOOKUP(TRIM(E176),ACTIVIDADES!$A$1:$D$17,4,FALSE),"")</f>
        <v>75</v>
      </c>
      <c r="I176" s="35">
        <f t="shared" si="2"/>
        <v>75</v>
      </c>
    </row>
    <row r="177" spans="1:9" x14ac:dyDescent="0.3">
      <c r="A177" s="28">
        <v>46162</v>
      </c>
      <c r="B177" s="1">
        <v>13</v>
      </c>
      <c r="C177" s="24" t="s">
        <v>17</v>
      </c>
      <c r="D177" s="55" t="s">
        <v>47</v>
      </c>
      <c r="E177" s="53" t="s">
        <v>61</v>
      </c>
      <c r="F177" s="33" t="str">
        <f>IFERROR(VLOOKUP(TRIM(E177),ACTIVIDADES!$A$1:$D$17,2,FALSE),"NO ENCONTRADO")</f>
        <v>MANEJO DE SOMBRA</v>
      </c>
      <c r="G177" s="63">
        <v>1</v>
      </c>
      <c r="H177" s="38">
        <f>IFERROR(VLOOKUP(TRIM(E177),ACTIVIDADES!$A$1:$D$17,4,FALSE),"")</f>
        <v>75</v>
      </c>
      <c r="I177" s="35">
        <f t="shared" si="2"/>
        <v>75</v>
      </c>
    </row>
    <row r="178" spans="1:9" x14ac:dyDescent="0.3">
      <c r="A178" s="28">
        <v>46162</v>
      </c>
      <c r="B178" s="1">
        <v>14</v>
      </c>
      <c r="C178" s="24" t="s">
        <v>18</v>
      </c>
      <c r="D178" s="53" t="s">
        <v>46</v>
      </c>
      <c r="E178" s="53" t="s">
        <v>77</v>
      </c>
      <c r="F178" s="33" t="str">
        <f>IFERROR(VLOOKUP(TRIM(E178),ACTIVIDADES!$A$1:$D$17,2,FALSE),"NO ENCONTRADO")</f>
        <v>TRAZADO PARA SIEMBRA</v>
      </c>
      <c r="G178" s="63">
        <v>1</v>
      </c>
      <c r="H178" s="38">
        <f>IFERROR(VLOOKUP(TRIM(E178),ACTIVIDADES!$A$1:$D$17,4,FALSE),"")</f>
        <v>75</v>
      </c>
      <c r="I178" s="35">
        <f t="shared" si="2"/>
        <v>75</v>
      </c>
    </row>
    <row r="179" spans="1:9" x14ac:dyDescent="0.3">
      <c r="A179" s="28">
        <v>46162</v>
      </c>
      <c r="B179" s="1">
        <v>15</v>
      </c>
      <c r="C179" s="24" t="s">
        <v>88</v>
      </c>
      <c r="D179" s="55" t="s">
        <v>47</v>
      </c>
      <c r="E179" s="55" t="s">
        <v>60</v>
      </c>
      <c r="F179" s="33" t="str">
        <f>IFERROR(VLOOKUP(TRIM(E179),ACTIVIDADES!$A$1:$D$17,2,FALSE),"NO ENCONTRADO")</f>
        <v>MANEJO DE SOMBRA</v>
      </c>
      <c r="G179" s="63">
        <v>1</v>
      </c>
      <c r="H179" s="38">
        <f>IFERROR(VLOOKUP(TRIM(E179),ACTIVIDADES!$A$1:$D$17,4,FALSE),"")</f>
        <v>75</v>
      </c>
      <c r="I179" s="35">
        <f t="shared" si="2"/>
        <v>75</v>
      </c>
    </row>
    <row r="180" spans="1:9" x14ac:dyDescent="0.3">
      <c r="A180" s="28">
        <v>46162</v>
      </c>
      <c r="B180" s="1">
        <v>16</v>
      </c>
      <c r="C180" s="40" t="s">
        <v>20</v>
      </c>
      <c r="D180" s="55" t="s">
        <v>55</v>
      </c>
      <c r="E180" s="55" t="s">
        <v>65</v>
      </c>
      <c r="F180" s="33" t="str">
        <f>IFERROR(VLOOKUP(TRIM(E180),ACTIVIDADES!$A$1:$D$17,2,FALSE),"NO ENCONTRADO")</f>
        <v>CARBON</v>
      </c>
      <c r="G180" s="63">
        <v>1</v>
      </c>
      <c r="H180" s="38">
        <f>IFERROR(VLOOKUP(TRIM(E180),ACTIVIDADES!$A$1:$D$17,4,FALSE),"")</f>
        <v>75</v>
      </c>
      <c r="I180" s="35">
        <f t="shared" si="2"/>
        <v>75</v>
      </c>
    </row>
    <row r="181" spans="1:9" x14ac:dyDescent="0.3">
      <c r="A181" s="28">
        <v>46162</v>
      </c>
      <c r="B181" s="1">
        <v>17</v>
      </c>
      <c r="C181" s="24" t="s">
        <v>90</v>
      </c>
      <c r="D181" s="55" t="s">
        <v>55</v>
      </c>
      <c r="E181" s="53" t="s">
        <v>116</v>
      </c>
      <c r="F181" s="33" t="str">
        <f>IFERROR(VLOOKUP(TRIM(E181),ACTIVIDADES!$A$1:$D$17,2,FALSE),"NO ENCONTRADO")</f>
        <v>APLICACION DE FUNGICIDA</v>
      </c>
      <c r="G181" s="63">
        <v>1</v>
      </c>
      <c r="H181" s="38">
        <f>IFERROR(VLOOKUP(TRIM(E181),ACTIVIDADES!$A$1:$D$17,4,FALSE),"")</f>
        <v>75</v>
      </c>
      <c r="I181" s="35">
        <f t="shared" si="2"/>
        <v>75</v>
      </c>
    </row>
    <row r="182" spans="1:9" x14ac:dyDescent="0.3">
      <c r="A182" s="28">
        <v>46162</v>
      </c>
      <c r="B182" s="1">
        <v>18</v>
      </c>
      <c r="C182" s="24" t="s">
        <v>91</v>
      </c>
      <c r="D182" s="55" t="s">
        <v>47</v>
      </c>
      <c r="E182" s="53" t="s">
        <v>60</v>
      </c>
      <c r="F182" s="33" t="str">
        <f>IFERROR(VLOOKUP(TRIM(E182),ACTIVIDADES!$A$1:$D$17,2,FALSE),"NO ENCONTRADO")</f>
        <v>MANEJO DE SOMBRA</v>
      </c>
      <c r="G182" s="63">
        <v>1</v>
      </c>
      <c r="H182" s="38">
        <f>IFERROR(VLOOKUP(TRIM(E182),ACTIVIDADES!$A$1:$D$17,4,FALSE),"")</f>
        <v>75</v>
      </c>
      <c r="I182" s="35">
        <f t="shared" si="2"/>
        <v>75</v>
      </c>
    </row>
    <row r="183" spans="1:9" x14ac:dyDescent="0.3">
      <c r="A183" s="28">
        <v>46162</v>
      </c>
      <c r="B183" s="1">
        <v>19</v>
      </c>
      <c r="C183" s="30" t="s">
        <v>23</v>
      </c>
      <c r="D183" s="55" t="s">
        <v>47</v>
      </c>
      <c r="E183" s="55" t="s">
        <v>60</v>
      </c>
      <c r="F183" s="33" t="str">
        <f>IFERROR(VLOOKUP(TRIM(E183),ACTIVIDADES!$A$1:$D$17,2,FALSE),"NO ENCONTRADO")</f>
        <v>MANEJO DE SOMBRA</v>
      </c>
      <c r="G183" s="63">
        <v>1</v>
      </c>
      <c r="H183" s="38">
        <f>IFERROR(VLOOKUP(TRIM(E183),ACTIVIDADES!$A$1:$D$17,4,FALSE),"")</f>
        <v>75</v>
      </c>
      <c r="I183" s="35">
        <f t="shared" si="2"/>
        <v>75</v>
      </c>
    </row>
    <row r="184" spans="1:9" x14ac:dyDescent="0.3">
      <c r="A184" s="28">
        <v>46162</v>
      </c>
      <c r="B184" s="1">
        <v>21</v>
      </c>
      <c r="C184" s="24" t="s">
        <v>25</v>
      </c>
      <c r="D184" s="55" t="s">
        <v>47</v>
      </c>
      <c r="E184" s="55" t="s">
        <v>60</v>
      </c>
      <c r="F184" s="33" t="str">
        <f>IFERROR(VLOOKUP(TRIM(E184),ACTIVIDADES!$A$1:$D$17,2,FALSE),"NO ENCONTRADO")</f>
        <v>MANEJO DE SOMBRA</v>
      </c>
      <c r="G184" s="63">
        <v>1</v>
      </c>
      <c r="H184" s="38">
        <f>IFERROR(VLOOKUP(TRIM(E184),ACTIVIDADES!$A$1:$D$17,4,FALSE),"")</f>
        <v>75</v>
      </c>
      <c r="I184" s="35">
        <f t="shared" si="2"/>
        <v>75</v>
      </c>
    </row>
    <row r="185" spans="1:9" x14ac:dyDescent="0.3">
      <c r="A185" s="28">
        <v>46162</v>
      </c>
      <c r="B185" s="1">
        <v>22</v>
      </c>
      <c r="C185" s="29" t="s">
        <v>26</v>
      </c>
      <c r="D185" s="55" t="s">
        <v>47</v>
      </c>
      <c r="E185" s="55" t="s">
        <v>60</v>
      </c>
      <c r="F185" s="33" t="str">
        <f>IFERROR(VLOOKUP(TRIM(E185),ACTIVIDADES!$A$1:$D$17,2,FALSE),"NO ENCONTRADO")</f>
        <v>MANEJO DE SOMBRA</v>
      </c>
      <c r="G185" s="63">
        <v>1</v>
      </c>
      <c r="H185" s="38">
        <f>IFERROR(VLOOKUP(TRIM(E185),ACTIVIDADES!$A$1:$D$17,4,FALSE),"")</f>
        <v>75</v>
      </c>
      <c r="I185" s="35">
        <f t="shared" si="2"/>
        <v>75</v>
      </c>
    </row>
    <row r="186" spans="1:9" x14ac:dyDescent="0.3">
      <c r="A186" s="28">
        <v>46162</v>
      </c>
      <c r="B186" s="1">
        <v>23</v>
      </c>
      <c r="C186" s="24" t="s">
        <v>27</v>
      </c>
      <c r="D186" s="55" t="s">
        <v>47</v>
      </c>
      <c r="E186" s="55" t="s">
        <v>60</v>
      </c>
      <c r="F186" s="33" t="str">
        <f>IFERROR(VLOOKUP(TRIM(E186),ACTIVIDADES!$A$1:$D$17,2,FALSE),"NO ENCONTRADO")</f>
        <v>MANEJO DE SOMBRA</v>
      </c>
      <c r="G186" s="63">
        <v>1</v>
      </c>
      <c r="H186" s="38">
        <f>IFERROR(VLOOKUP(TRIM(E186),ACTIVIDADES!$A$1:$D$17,4,FALSE),"")</f>
        <v>75</v>
      </c>
      <c r="I186" s="35">
        <f t="shared" si="2"/>
        <v>75</v>
      </c>
    </row>
    <row r="187" spans="1:9" x14ac:dyDescent="0.3">
      <c r="A187" s="28">
        <v>46162</v>
      </c>
      <c r="B187" s="1">
        <v>24</v>
      </c>
      <c r="C187" s="24" t="s">
        <v>96</v>
      </c>
      <c r="D187" s="55" t="s">
        <v>47</v>
      </c>
      <c r="E187" s="55" t="s">
        <v>60</v>
      </c>
      <c r="F187" s="33" t="str">
        <f>IFERROR(VLOOKUP(TRIM(E187),ACTIVIDADES!$A$1:$D$17,2,FALSE),"NO ENCONTRADO")</f>
        <v>MANEJO DE SOMBRA</v>
      </c>
      <c r="G187" s="63">
        <v>1</v>
      </c>
      <c r="H187" s="38">
        <f>IFERROR(VLOOKUP(TRIM(E187),ACTIVIDADES!$A$1:$D$17,4,FALSE),"")</f>
        <v>75</v>
      </c>
      <c r="I187" s="35">
        <f t="shared" si="2"/>
        <v>75</v>
      </c>
    </row>
    <row r="188" spans="1:9" x14ac:dyDescent="0.3">
      <c r="A188" s="28">
        <v>46162</v>
      </c>
      <c r="B188" s="1">
        <v>25</v>
      </c>
      <c r="C188" s="24" t="s">
        <v>29</v>
      </c>
      <c r="D188" s="55" t="s">
        <v>46</v>
      </c>
      <c r="E188" s="55" t="s">
        <v>75</v>
      </c>
      <c r="F188" s="33" t="str">
        <f>IFERROR(VLOOKUP(TRIM(E188),ACTIVIDADES!$A$1:$D$17,2,FALSE),"NO ENCONTRADO")</f>
        <v>TRAZADO PARA SIEMBRA</v>
      </c>
      <c r="G188" s="63">
        <v>1</v>
      </c>
      <c r="H188" s="38">
        <f>IFERROR(VLOOKUP(TRIM(E188),ACTIVIDADES!$A$1:$D$17,4,FALSE),"")</f>
        <v>75</v>
      </c>
      <c r="I188" s="35">
        <f t="shared" si="2"/>
        <v>75</v>
      </c>
    </row>
    <row r="189" spans="1:9" x14ac:dyDescent="0.3">
      <c r="A189" s="28">
        <v>46162</v>
      </c>
      <c r="B189" s="1">
        <v>26</v>
      </c>
      <c r="C189" s="24" t="s">
        <v>30</v>
      </c>
      <c r="D189" s="55" t="s">
        <v>46</v>
      </c>
      <c r="E189" s="55" t="s">
        <v>75</v>
      </c>
      <c r="F189" s="33" t="str">
        <f>IFERROR(VLOOKUP(TRIM(E189),ACTIVIDADES!$A$1:$D$17,2,FALSE),"NO ENCONTRADO")</f>
        <v>TRAZADO PARA SIEMBRA</v>
      </c>
      <c r="G189" s="63">
        <v>1</v>
      </c>
      <c r="H189" s="38">
        <f>IFERROR(VLOOKUP(TRIM(E189),ACTIVIDADES!$A$1:$D$17,4,FALSE),"")</f>
        <v>75</v>
      </c>
      <c r="I189" s="35">
        <f t="shared" si="2"/>
        <v>75</v>
      </c>
    </row>
    <row r="190" spans="1:9" x14ac:dyDescent="0.3">
      <c r="A190" s="28">
        <v>46162</v>
      </c>
      <c r="B190" s="1">
        <v>27</v>
      </c>
      <c r="C190" s="24" t="s">
        <v>99</v>
      </c>
      <c r="D190" s="55" t="s">
        <v>52</v>
      </c>
      <c r="E190" s="55" t="s">
        <v>65</v>
      </c>
      <c r="F190" s="33" t="str">
        <f>IFERROR(VLOOKUP(TRIM(E190),ACTIVIDADES!$A$1:$D$17,2,FALSE),"NO ENCONTRADO")</f>
        <v>CARBON</v>
      </c>
      <c r="G190" s="63">
        <v>1</v>
      </c>
      <c r="H190" s="38">
        <f>IFERROR(VLOOKUP(TRIM(E190),ACTIVIDADES!$A$1:$D$17,4,FALSE),"")</f>
        <v>75</v>
      </c>
      <c r="I190" s="35">
        <f t="shared" si="2"/>
        <v>75</v>
      </c>
    </row>
    <row r="191" spans="1:9" x14ac:dyDescent="0.3">
      <c r="A191" s="28">
        <v>46162</v>
      </c>
      <c r="B191" s="1">
        <v>28</v>
      </c>
      <c r="C191" s="24" t="s">
        <v>33</v>
      </c>
      <c r="D191" s="55" t="s">
        <v>46</v>
      </c>
      <c r="E191" s="55" t="s">
        <v>75</v>
      </c>
      <c r="F191" s="33" t="str">
        <f>IFERROR(VLOOKUP(TRIM(E191),ACTIVIDADES!$A$1:$D$17,2,FALSE),"NO ENCONTRADO")</f>
        <v>TRAZADO PARA SIEMBRA</v>
      </c>
      <c r="G191" s="63">
        <v>1</v>
      </c>
      <c r="H191" s="38">
        <f>IFERROR(VLOOKUP(TRIM(E191),ACTIVIDADES!$A$1:$D$17,4,FALSE),"")</f>
        <v>75</v>
      </c>
      <c r="I191" s="35">
        <f t="shared" si="2"/>
        <v>75</v>
      </c>
    </row>
    <row r="192" spans="1:9" x14ac:dyDescent="0.3">
      <c r="A192" s="28">
        <v>46162</v>
      </c>
      <c r="B192" s="1">
        <v>29</v>
      </c>
      <c r="C192" s="24" t="s">
        <v>102</v>
      </c>
      <c r="D192" s="55" t="s">
        <v>47</v>
      </c>
      <c r="E192" s="55" t="s">
        <v>60</v>
      </c>
      <c r="F192" s="33" t="str">
        <f>IFERROR(VLOOKUP(TRIM(E192),ACTIVIDADES!$A$1:$D$17,2,FALSE),"NO ENCONTRADO")</f>
        <v>MANEJO DE SOMBRA</v>
      </c>
      <c r="G192" s="63">
        <v>1</v>
      </c>
      <c r="H192" s="38">
        <f>IFERROR(VLOOKUP(TRIM(E192),ACTIVIDADES!$A$1:$D$17,4,FALSE),"")</f>
        <v>75</v>
      </c>
      <c r="I192" s="35">
        <f t="shared" si="2"/>
        <v>75</v>
      </c>
    </row>
    <row r="193" spans="1:9" x14ac:dyDescent="0.3">
      <c r="A193" s="28">
        <v>46162</v>
      </c>
      <c r="B193" s="1">
        <v>30</v>
      </c>
      <c r="C193" s="24" t="s">
        <v>35</v>
      </c>
      <c r="D193" s="53" t="s">
        <v>46</v>
      </c>
      <c r="E193" s="53" t="s">
        <v>75</v>
      </c>
      <c r="F193" s="33" t="str">
        <f>IFERROR(VLOOKUP(TRIM(E193),ACTIVIDADES!$A$1:$D$17,2,FALSE),"NO ENCONTRADO")</f>
        <v>TRAZADO PARA SIEMBRA</v>
      </c>
      <c r="G193" s="63">
        <v>1</v>
      </c>
      <c r="H193" s="38">
        <f>IFERROR(VLOOKUP(TRIM(E193),ACTIVIDADES!$A$1:$D$17,4,FALSE),"")</f>
        <v>75</v>
      </c>
      <c r="I193" s="35">
        <f t="shared" si="2"/>
        <v>75</v>
      </c>
    </row>
    <row r="194" spans="1:9" x14ac:dyDescent="0.3">
      <c r="A194" s="28">
        <v>46162</v>
      </c>
      <c r="B194" s="1">
        <v>31</v>
      </c>
      <c r="C194" s="24" t="s">
        <v>9</v>
      </c>
      <c r="D194" s="55" t="s">
        <v>47</v>
      </c>
      <c r="E194" s="55" t="s">
        <v>60</v>
      </c>
      <c r="F194" s="33" t="str">
        <f>IFERROR(VLOOKUP(TRIM(E194),ACTIVIDADES!$A$1:$D$17,2,FALSE),"NO ENCONTRADO")</f>
        <v>MANEJO DE SOMBRA</v>
      </c>
      <c r="G194" s="63">
        <v>1</v>
      </c>
      <c r="H194" s="38">
        <f>IFERROR(VLOOKUP(TRIM(E194),ACTIVIDADES!$A$1:$D$17,4,FALSE),"")</f>
        <v>75</v>
      </c>
      <c r="I194" s="35">
        <f t="shared" ref="I194:I257" si="3">IFERROR(G194*H194,"")</f>
        <v>75</v>
      </c>
    </row>
    <row r="195" spans="1:9" x14ac:dyDescent="0.3">
      <c r="A195" s="28">
        <v>46162</v>
      </c>
      <c r="B195" s="1">
        <v>32</v>
      </c>
      <c r="C195" s="55" t="s">
        <v>37</v>
      </c>
      <c r="D195" s="55" t="s">
        <v>47</v>
      </c>
      <c r="E195" s="55" t="s">
        <v>60</v>
      </c>
      <c r="F195" s="33" t="str">
        <f>IFERROR(VLOOKUP(TRIM(E195),ACTIVIDADES!$A$1:$D$17,2,FALSE),"NO ENCONTRADO")</f>
        <v>MANEJO DE SOMBRA</v>
      </c>
      <c r="G195" s="63">
        <v>1</v>
      </c>
      <c r="H195" s="38">
        <f>IFERROR(VLOOKUP(TRIM(E195),ACTIVIDADES!$A$1:$D$17,4,FALSE),"")</f>
        <v>75</v>
      </c>
      <c r="I195" s="35">
        <f t="shared" si="3"/>
        <v>75</v>
      </c>
    </row>
    <row r="196" spans="1:9" x14ac:dyDescent="0.3">
      <c r="A196" s="28">
        <v>46162</v>
      </c>
      <c r="B196" s="1">
        <v>33</v>
      </c>
      <c r="C196" s="24" t="s">
        <v>7</v>
      </c>
      <c r="D196" s="55" t="s">
        <v>47</v>
      </c>
      <c r="E196" s="55" t="s">
        <v>60</v>
      </c>
      <c r="F196" s="33" t="str">
        <f>IFERROR(VLOOKUP(TRIM(E196),ACTIVIDADES!$A$1:$D$17,2,FALSE),"NO ENCONTRADO")</f>
        <v>MANEJO DE SOMBRA</v>
      </c>
      <c r="G196" s="63">
        <v>1</v>
      </c>
      <c r="H196" s="38">
        <f>IFERROR(VLOOKUP(TRIM(E196),ACTIVIDADES!$A$1:$D$17,4,FALSE),"")</f>
        <v>75</v>
      </c>
      <c r="I196" s="35">
        <f t="shared" si="3"/>
        <v>75</v>
      </c>
    </row>
    <row r="197" spans="1:9" x14ac:dyDescent="0.3">
      <c r="A197" s="28">
        <v>46162</v>
      </c>
      <c r="B197" s="1">
        <v>34</v>
      </c>
      <c r="C197" s="24" t="s">
        <v>107</v>
      </c>
      <c r="D197" s="55" t="s">
        <v>47</v>
      </c>
      <c r="E197" s="55" t="s">
        <v>60</v>
      </c>
      <c r="F197" s="33" t="str">
        <f>IFERROR(VLOOKUP(TRIM(E197),ACTIVIDADES!$A$1:$D$17,2,FALSE),"NO ENCONTRADO")</f>
        <v>MANEJO DE SOMBRA</v>
      </c>
      <c r="G197" s="63">
        <v>1</v>
      </c>
      <c r="H197" s="38">
        <f>IFERROR(VLOOKUP(TRIM(E197),ACTIVIDADES!$A$1:$D$17,4,FALSE),"")</f>
        <v>75</v>
      </c>
      <c r="I197" s="35">
        <f t="shared" si="3"/>
        <v>75</v>
      </c>
    </row>
    <row r="198" spans="1:9" x14ac:dyDescent="0.3">
      <c r="A198" s="28">
        <v>46162</v>
      </c>
      <c r="B198" s="1">
        <v>35</v>
      </c>
      <c r="C198" s="24" t="s">
        <v>108</v>
      </c>
      <c r="D198" s="55" t="s">
        <v>47</v>
      </c>
      <c r="E198" s="55" t="s">
        <v>60</v>
      </c>
      <c r="F198" s="33" t="str">
        <f>IFERROR(VLOOKUP(TRIM(E198),ACTIVIDADES!$A$1:$D$17,2,FALSE),"NO ENCONTRADO")</f>
        <v>MANEJO DE SOMBRA</v>
      </c>
      <c r="G198" s="63">
        <v>1</v>
      </c>
      <c r="H198" s="38">
        <f>IFERROR(VLOOKUP(TRIM(E198),ACTIVIDADES!$A$1:$D$17,4,FALSE),"")</f>
        <v>75</v>
      </c>
      <c r="I198" s="35">
        <f t="shared" si="3"/>
        <v>75</v>
      </c>
    </row>
    <row r="199" spans="1:9" x14ac:dyDescent="0.3">
      <c r="A199" s="28">
        <v>46162</v>
      </c>
      <c r="B199" s="1">
        <v>37</v>
      </c>
      <c r="C199" s="53" t="s">
        <v>42</v>
      </c>
      <c r="D199" s="55" t="s">
        <v>47</v>
      </c>
      <c r="E199" s="55" t="s">
        <v>60</v>
      </c>
      <c r="F199" s="33" t="str">
        <f>IFERROR(VLOOKUP(TRIM(E199),ACTIVIDADES!$A$1:$D$17,2,FALSE),"NO ENCONTRADO")</f>
        <v>MANEJO DE SOMBRA</v>
      </c>
      <c r="G199" s="63">
        <v>1</v>
      </c>
      <c r="H199" s="38">
        <f>IFERROR(VLOOKUP(TRIM(E199),ACTIVIDADES!$A$1:$D$17,4,FALSE),"")</f>
        <v>75</v>
      </c>
      <c r="I199" s="35">
        <f t="shared" si="3"/>
        <v>75</v>
      </c>
    </row>
    <row r="200" spans="1:9" x14ac:dyDescent="0.3">
      <c r="A200" s="28">
        <v>46162</v>
      </c>
      <c r="B200" s="1">
        <v>38</v>
      </c>
      <c r="C200" s="55" t="s">
        <v>43</v>
      </c>
      <c r="D200" s="55" t="s">
        <v>47</v>
      </c>
      <c r="E200" s="55" t="s">
        <v>60</v>
      </c>
      <c r="F200" s="33" t="str">
        <f>IFERROR(VLOOKUP(TRIM(E200),ACTIVIDADES!$A$1:$D$17,2,FALSE),"NO ENCONTRADO")</f>
        <v>MANEJO DE SOMBRA</v>
      </c>
      <c r="G200" s="63">
        <v>1</v>
      </c>
      <c r="H200" s="38">
        <f>IFERROR(VLOOKUP(TRIM(E200),ACTIVIDADES!$A$1:$D$17,4,FALSE),"")</f>
        <v>75</v>
      </c>
      <c r="I200" s="35">
        <f t="shared" si="3"/>
        <v>75</v>
      </c>
    </row>
    <row r="201" spans="1:9" x14ac:dyDescent="0.3">
      <c r="A201" s="28">
        <v>46162</v>
      </c>
      <c r="B201" s="1">
        <v>39</v>
      </c>
      <c r="C201" s="24" t="s">
        <v>44</v>
      </c>
      <c r="D201" s="53" t="s">
        <v>46</v>
      </c>
      <c r="E201" s="53" t="s">
        <v>75</v>
      </c>
      <c r="F201" s="33" t="str">
        <f>IFERROR(VLOOKUP(TRIM(E201),ACTIVIDADES!$A$1:$D$17,2,FALSE),"NO ENCONTRADO")</f>
        <v>TRAZADO PARA SIEMBRA</v>
      </c>
      <c r="G201" s="63">
        <v>1</v>
      </c>
      <c r="H201" s="38">
        <f>IFERROR(VLOOKUP(TRIM(E201),ACTIVIDADES!$A$1:$D$17,4,FALSE),"")</f>
        <v>75</v>
      </c>
      <c r="I201" s="35">
        <f t="shared" si="3"/>
        <v>75</v>
      </c>
    </row>
    <row r="202" spans="1:9" x14ac:dyDescent="0.3">
      <c r="A202" s="28">
        <v>46163</v>
      </c>
      <c r="B202" s="1">
        <v>1</v>
      </c>
      <c r="C202" s="40" t="s">
        <v>6</v>
      </c>
      <c r="D202" s="1" t="s">
        <v>49</v>
      </c>
      <c r="E202" s="1" t="s">
        <v>49</v>
      </c>
      <c r="F202" s="33" t="str">
        <f>IFERROR(VLOOKUP(TRIM(E202),ACTIVIDADES!$A$1:$D$17,2,FALSE),"NO ENCONTRADO")</f>
        <v>CAPORAL</v>
      </c>
      <c r="G202" s="63">
        <v>1</v>
      </c>
      <c r="H202" s="38">
        <f>IFERROR(VLOOKUP(TRIM(E202),ACTIVIDADES!$A$1:$D$17,4,FALSE),"")</f>
        <v>100</v>
      </c>
      <c r="I202" s="35">
        <f t="shared" si="3"/>
        <v>100</v>
      </c>
    </row>
    <row r="203" spans="1:9" x14ac:dyDescent="0.3">
      <c r="A203" s="28">
        <v>46163</v>
      </c>
      <c r="B203" s="1">
        <v>2</v>
      </c>
      <c r="C203" s="29" t="s">
        <v>10</v>
      </c>
      <c r="D203" s="1" t="s">
        <v>49</v>
      </c>
      <c r="E203" s="1" t="s">
        <v>49</v>
      </c>
      <c r="F203" s="33" t="str">
        <f>IFERROR(VLOOKUP(TRIM(E203),ACTIVIDADES!$A$1:$D$17,2,FALSE),"NO ENCONTRADO")</f>
        <v>CAPORAL</v>
      </c>
      <c r="G203" s="63">
        <v>1</v>
      </c>
      <c r="H203" s="38">
        <f>IFERROR(VLOOKUP(TRIM(E203),ACTIVIDADES!$A$1:$D$17,4,FALSE),"")</f>
        <v>100</v>
      </c>
      <c r="I203" s="35">
        <f t="shared" si="3"/>
        <v>100</v>
      </c>
    </row>
    <row r="204" spans="1:9" x14ac:dyDescent="0.3">
      <c r="A204" s="28">
        <v>46163</v>
      </c>
      <c r="B204" s="1">
        <v>3</v>
      </c>
      <c r="C204" s="29" t="s">
        <v>22</v>
      </c>
      <c r="D204" s="53" t="s">
        <v>49</v>
      </c>
      <c r="E204" s="53" t="s">
        <v>49</v>
      </c>
      <c r="F204" s="33" t="str">
        <f>IFERROR(VLOOKUP(TRIM(E204),ACTIVIDADES!$A$1:$D$17,2,FALSE),"NO ENCONTRADO")</f>
        <v>CAPORAL</v>
      </c>
      <c r="G204" s="63">
        <v>1</v>
      </c>
      <c r="H204" s="38">
        <f>IFERROR(VLOOKUP(TRIM(E204),ACTIVIDADES!$A$1:$D$17,4,FALSE),"")</f>
        <v>100</v>
      </c>
      <c r="I204" s="35">
        <f t="shared" si="3"/>
        <v>100</v>
      </c>
    </row>
    <row r="205" spans="1:9" x14ac:dyDescent="0.3">
      <c r="A205" s="28">
        <v>46163</v>
      </c>
      <c r="B205" s="1">
        <v>4</v>
      </c>
      <c r="C205" s="40" t="s">
        <v>36</v>
      </c>
      <c r="D205" s="53" t="s">
        <v>150</v>
      </c>
      <c r="E205" s="47" t="s">
        <v>149</v>
      </c>
      <c r="F205" s="33" t="str">
        <f>IFERROR(VLOOKUP(TRIM(E205),ACTIVIDADES!$A$1:$D$17,2,FALSE),"NO ENCONTRADO")</f>
        <v>HACIENDA</v>
      </c>
      <c r="G205" s="63">
        <v>1</v>
      </c>
      <c r="H205" s="38">
        <f>IFERROR(VLOOKUP(TRIM(E205),ACTIVIDADES!$A$1:$D$17,4,FALSE),"")</f>
        <v>65</v>
      </c>
      <c r="I205" s="35">
        <f t="shared" si="3"/>
        <v>65</v>
      </c>
    </row>
    <row r="206" spans="1:9" x14ac:dyDescent="0.3">
      <c r="A206" s="28">
        <v>46163</v>
      </c>
      <c r="B206" s="1">
        <v>5</v>
      </c>
      <c r="C206" s="29" t="s">
        <v>38</v>
      </c>
      <c r="D206" s="47" t="s">
        <v>150</v>
      </c>
      <c r="E206" s="47" t="s">
        <v>149</v>
      </c>
      <c r="F206" s="33" t="str">
        <f>IFERROR(VLOOKUP(TRIM(E206),ACTIVIDADES!$A$1:$D$17,2,FALSE),"NO ENCONTRADO")</f>
        <v>HACIENDA</v>
      </c>
      <c r="G206" s="63">
        <v>1</v>
      </c>
      <c r="H206" s="38">
        <f>IFERROR(VLOOKUP(TRIM(E206),ACTIVIDADES!$A$1:$D$17,4,FALSE),"")</f>
        <v>65</v>
      </c>
      <c r="I206" s="35">
        <f t="shared" si="3"/>
        <v>65</v>
      </c>
    </row>
    <row r="207" spans="1:9" x14ac:dyDescent="0.3">
      <c r="A207" s="28">
        <v>46163</v>
      </c>
      <c r="B207" s="1">
        <v>6</v>
      </c>
      <c r="C207" s="24" t="s">
        <v>11</v>
      </c>
      <c r="D207" s="55" t="s">
        <v>47</v>
      </c>
      <c r="E207" s="53" t="s">
        <v>60</v>
      </c>
      <c r="F207" s="33" t="str">
        <f>IFERROR(VLOOKUP(TRIM(E207),ACTIVIDADES!$A$1:$D$17,2,FALSE),"NO ENCONTRADO")</f>
        <v>MANEJO DE SOMBRA</v>
      </c>
      <c r="G207" s="63">
        <v>1</v>
      </c>
      <c r="H207" s="38">
        <f>IFERROR(VLOOKUP(TRIM(E207),ACTIVIDADES!$A$1:$D$17,4,FALSE),"")</f>
        <v>75</v>
      </c>
      <c r="I207" s="35">
        <f t="shared" si="3"/>
        <v>75</v>
      </c>
    </row>
    <row r="208" spans="1:9" x14ac:dyDescent="0.3">
      <c r="A208" s="28">
        <v>46163</v>
      </c>
      <c r="B208" s="1">
        <v>7</v>
      </c>
      <c r="C208" s="54" t="s">
        <v>12</v>
      </c>
      <c r="D208" s="55" t="s">
        <v>46</v>
      </c>
      <c r="E208" s="53" t="s">
        <v>75</v>
      </c>
      <c r="F208" s="33" t="str">
        <f>IFERROR(VLOOKUP(TRIM(E208),ACTIVIDADES!$A$1:$D$17,2,FALSE),"NO ENCONTRADO")</f>
        <v>TRAZADO PARA SIEMBRA</v>
      </c>
      <c r="G208" s="63">
        <v>1</v>
      </c>
      <c r="H208" s="38">
        <f>IFERROR(VLOOKUP(TRIM(E208),ACTIVIDADES!$A$1:$D$17,4,FALSE),"")</f>
        <v>75</v>
      </c>
      <c r="I208" s="35">
        <f t="shared" si="3"/>
        <v>75</v>
      </c>
    </row>
    <row r="209" spans="1:9" x14ac:dyDescent="0.3">
      <c r="A209" s="28">
        <v>46163</v>
      </c>
      <c r="B209" s="1">
        <v>8</v>
      </c>
      <c r="C209" s="24" t="s">
        <v>84</v>
      </c>
      <c r="D209" s="55" t="s">
        <v>47</v>
      </c>
      <c r="E209" s="53" t="s">
        <v>60</v>
      </c>
      <c r="F209" s="33" t="str">
        <f>IFERROR(VLOOKUP(TRIM(E209),ACTIVIDADES!$A$1:$D$17,2,FALSE),"NO ENCONTRADO")</f>
        <v>MANEJO DE SOMBRA</v>
      </c>
      <c r="G209" s="63">
        <v>1</v>
      </c>
      <c r="H209" s="38">
        <f>IFERROR(VLOOKUP(TRIM(E209),ACTIVIDADES!$A$1:$D$17,4,FALSE),"")</f>
        <v>75</v>
      </c>
      <c r="I209" s="35">
        <f t="shared" si="3"/>
        <v>75</v>
      </c>
    </row>
    <row r="210" spans="1:9" x14ac:dyDescent="0.3">
      <c r="A210" s="28">
        <v>46163</v>
      </c>
      <c r="B210" s="1">
        <v>9</v>
      </c>
      <c r="C210" s="55" t="s">
        <v>82</v>
      </c>
      <c r="D210" s="55" t="s">
        <v>47</v>
      </c>
      <c r="E210" s="53" t="s">
        <v>60</v>
      </c>
      <c r="F210" s="33" t="str">
        <f>IFERROR(VLOOKUP(TRIM(E210),ACTIVIDADES!$A$1:$D$17,2,FALSE),"NO ENCONTRADO")</f>
        <v>MANEJO DE SOMBRA</v>
      </c>
      <c r="G210" s="63">
        <v>1</v>
      </c>
      <c r="H210" s="38">
        <f>IFERROR(VLOOKUP(TRIM(E210),ACTIVIDADES!$A$1:$D$17,4,FALSE),"")</f>
        <v>75</v>
      </c>
      <c r="I210" s="35">
        <f t="shared" si="3"/>
        <v>75</v>
      </c>
    </row>
    <row r="211" spans="1:9" x14ac:dyDescent="0.3">
      <c r="A211" s="28">
        <v>46163</v>
      </c>
      <c r="B211" s="1">
        <v>10</v>
      </c>
      <c r="C211" s="40" t="s">
        <v>14</v>
      </c>
      <c r="D211" s="55" t="s">
        <v>55</v>
      </c>
      <c r="E211" s="53" t="s">
        <v>116</v>
      </c>
      <c r="F211" s="33" t="str">
        <f>IFERROR(VLOOKUP(TRIM(E211),ACTIVIDADES!$A$1:$D$17,2,FALSE),"NO ENCONTRADO")</f>
        <v>APLICACION DE FUNGICIDA</v>
      </c>
      <c r="G211" s="63">
        <v>1</v>
      </c>
      <c r="H211" s="38">
        <f>IFERROR(VLOOKUP(TRIM(E211),ACTIVIDADES!$A$1:$D$17,4,FALSE),"")</f>
        <v>75</v>
      </c>
      <c r="I211" s="35">
        <f t="shared" si="3"/>
        <v>75</v>
      </c>
    </row>
    <row r="212" spans="1:9" x14ac:dyDescent="0.3">
      <c r="A212" s="28">
        <v>46163</v>
      </c>
      <c r="B212" s="1">
        <v>12</v>
      </c>
      <c r="C212" s="24" t="s">
        <v>85</v>
      </c>
      <c r="D212" s="55" t="s">
        <v>47</v>
      </c>
      <c r="E212" s="53" t="s">
        <v>60</v>
      </c>
      <c r="F212" s="33" t="str">
        <f>IFERROR(VLOOKUP(TRIM(E212),ACTIVIDADES!$A$1:$D$17,2,FALSE),"NO ENCONTRADO")</f>
        <v>MANEJO DE SOMBRA</v>
      </c>
      <c r="G212" s="63">
        <v>1</v>
      </c>
      <c r="H212" s="38">
        <f>IFERROR(VLOOKUP(TRIM(E212),ACTIVIDADES!$A$1:$D$17,4,FALSE),"")</f>
        <v>75</v>
      </c>
      <c r="I212" s="35">
        <f t="shared" si="3"/>
        <v>75</v>
      </c>
    </row>
    <row r="213" spans="1:9" x14ac:dyDescent="0.3">
      <c r="A213" s="28">
        <v>46163</v>
      </c>
      <c r="B213" s="1">
        <v>13</v>
      </c>
      <c r="C213" s="24" t="s">
        <v>17</v>
      </c>
      <c r="D213" s="55" t="s">
        <v>47</v>
      </c>
      <c r="E213" s="53" t="s">
        <v>61</v>
      </c>
      <c r="F213" s="33" t="str">
        <f>IFERROR(VLOOKUP(TRIM(E213),ACTIVIDADES!$A$1:$D$17,2,FALSE),"NO ENCONTRADO")</f>
        <v>MANEJO DE SOMBRA</v>
      </c>
      <c r="G213" s="63">
        <v>1</v>
      </c>
      <c r="H213" s="38">
        <f>IFERROR(VLOOKUP(TRIM(E213),ACTIVIDADES!$A$1:$D$17,4,FALSE),"")</f>
        <v>75</v>
      </c>
      <c r="I213" s="35">
        <f t="shared" si="3"/>
        <v>75</v>
      </c>
    </row>
    <row r="214" spans="1:9" x14ac:dyDescent="0.3">
      <c r="A214" s="28">
        <v>46163</v>
      </c>
      <c r="B214" s="1">
        <v>14</v>
      </c>
      <c r="C214" s="24" t="s">
        <v>18</v>
      </c>
      <c r="D214" s="53" t="s">
        <v>46</v>
      </c>
      <c r="E214" s="53" t="s">
        <v>77</v>
      </c>
      <c r="F214" s="33" t="str">
        <f>IFERROR(VLOOKUP(TRIM(E214),ACTIVIDADES!$A$1:$D$17,2,FALSE),"NO ENCONTRADO")</f>
        <v>TRAZADO PARA SIEMBRA</v>
      </c>
      <c r="G214" s="63">
        <v>1</v>
      </c>
      <c r="H214" s="38">
        <f>IFERROR(VLOOKUP(TRIM(E214),ACTIVIDADES!$A$1:$D$17,4,FALSE),"")</f>
        <v>75</v>
      </c>
      <c r="I214" s="35">
        <f t="shared" si="3"/>
        <v>75</v>
      </c>
    </row>
    <row r="215" spans="1:9" x14ac:dyDescent="0.3">
      <c r="A215" s="28">
        <v>46163</v>
      </c>
      <c r="B215" s="1">
        <v>15</v>
      </c>
      <c r="C215" s="24" t="s">
        <v>88</v>
      </c>
      <c r="D215" s="55" t="s">
        <v>47</v>
      </c>
      <c r="E215" s="55" t="s">
        <v>60</v>
      </c>
      <c r="F215" s="33" t="str">
        <f>IFERROR(VLOOKUP(TRIM(E215),ACTIVIDADES!$A$1:$D$17,2,FALSE),"NO ENCONTRADO")</f>
        <v>MANEJO DE SOMBRA</v>
      </c>
      <c r="G215" s="63">
        <v>1</v>
      </c>
      <c r="H215" s="38">
        <f>IFERROR(VLOOKUP(TRIM(E215),ACTIVIDADES!$A$1:$D$17,4,FALSE),"")</f>
        <v>75</v>
      </c>
      <c r="I215" s="35">
        <f t="shared" si="3"/>
        <v>75</v>
      </c>
    </row>
    <row r="216" spans="1:9" x14ac:dyDescent="0.3">
      <c r="A216" s="28">
        <v>46163</v>
      </c>
      <c r="B216" s="1">
        <v>16</v>
      </c>
      <c r="C216" s="40" t="s">
        <v>20</v>
      </c>
      <c r="D216" s="55" t="s">
        <v>55</v>
      </c>
      <c r="E216" s="55" t="s">
        <v>65</v>
      </c>
      <c r="F216" s="33" t="str">
        <f>IFERROR(VLOOKUP(TRIM(E216),ACTIVIDADES!$A$1:$D$17,2,FALSE),"NO ENCONTRADO")</f>
        <v>CARBON</v>
      </c>
      <c r="G216" s="63">
        <v>1</v>
      </c>
      <c r="H216" s="38">
        <f>IFERROR(VLOOKUP(TRIM(E216),ACTIVIDADES!$A$1:$D$17,4,FALSE),"")</f>
        <v>75</v>
      </c>
      <c r="I216" s="35">
        <f t="shared" si="3"/>
        <v>75</v>
      </c>
    </row>
    <row r="217" spans="1:9" x14ac:dyDescent="0.3">
      <c r="A217" s="28">
        <v>46163</v>
      </c>
      <c r="B217" s="1">
        <v>17</v>
      </c>
      <c r="C217" s="24" t="s">
        <v>90</v>
      </c>
      <c r="D217" s="55" t="s">
        <v>55</v>
      </c>
      <c r="E217" s="53" t="s">
        <v>116</v>
      </c>
      <c r="F217" s="33" t="str">
        <f>IFERROR(VLOOKUP(TRIM(E217),ACTIVIDADES!$A$1:$D$17,2,FALSE),"NO ENCONTRADO")</f>
        <v>APLICACION DE FUNGICIDA</v>
      </c>
      <c r="G217" s="63">
        <v>1</v>
      </c>
      <c r="H217" s="38">
        <f>IFERROR(VLOOKUP(TRIM(E217),ACTIVIDADES!$A$1:$D$17,4,FALSE),"")</f>
        <v>75</v>
      </c>
      <c r="I217" s="35">
        <f t="shared" si="3"/>
        <v>75</v>
      </c>
    </row>
    <row r="218" spans="1:9" x14ac:dyDescent="0.3">
      <c r="A218" s="28">
        <v>46163</v>
      </c>
      <c r="B218" s="1">
        <v>18</v>
      </c>
      <c r="C218" s="24" t="s">
        <v>91</v>
      </c>
      <c r="D218" s="55" t="s">
        <v>47</v>
      </c>
      <c r="E218" s="53" t="s">
        <v>60</v>
      </c>
      <c r="F218" s="33" t="str">
        <f>IFERROR(VLOOKUP(TRIM(E218),ACTIVIDADES!$A$1:$D$17,2,FALSE),"NO ENCONTRADO")</f>
        <v>MANEJO DE SOMBRA</v>
      </c>
      <c r="G218" s="63">
        <v>1</v>
      </c>
      <c r="H218" s="38">
        <f>IFERROR(VLOOKUP(TRIM(E218),ACTIVIDADES!$A$1:$D$17,4,FALSE),"")</f>
        <v>75</v>
      </c>
      <c r="I218" s="35">
        <f t="shared" si="3"/>
        <v>75</v>
      </c>
    </row>
    <row r="219" spans="1:9" x14ac:dyDescent="0.3">
      <c r="A219" s="28">
        <v>46163</v>
      </c>
      <c r="B219" s="1">
        <v>19</v>
      </c>
      <c r="C219" s="30" t="s">
        <v>23</v>
      </c>
      <c r="D219" s="55" t="s">
        <v>47</v>
      </c>
      <c r="E219" s="55" t="s">
        <v>60</v>
      </c>
      <c r="F219" s="33" t="str">
        <f>IFERROR(VLOOKUP(TRIM(E219),ACTIVIDADES!$A$1:$D$17,2,FALSE),"NO ENCONTRADO")</f>
        <v>MANEJO DE SOMBRA</v>
      </c>
      <c r="G219" s="63">
        <v>1</v>
      </c>
      <c r="H219" s="38">
        <f>IFERROR(VLOOKUP(TRIM(E219),ACTIVIDADES!$A$1:$D$17,4,FALSE),"")</f>
        <v>75</v>
      </c>
      <c r="I219" s="35">
        <f t="shared" si="3"/>
        <v>75</v>
      </c>
    </row>
    <row r="220" spans="1:9" x14ac:dyDescent="0.3">
      <c r="A220" s="28">
        <v>46163</v>
      </c>
      <c r="B220" s="1">
        <v>21</v>
      </c>
      <c r="C220" s="24" t="s">
        <v>25</v>
      </c>
      <c r="D220" s="55" t="s">
        <v>47</v>
      </c>
      <c r="E220" s="55" t="s">
        <v>60</v>
      </c>
      <c r="F220" s="33" t="str">
        <f>IFERROR(VLOOKUP(TRIM(E220),ACTIVIDADES!$A$1:$D$17,2,FALSE),"NO ENCONTRADO")</f>
        <v>MANEJO DE SOMBRA</v>
      </c>
      <c r="G220" s="63">
        <v>1</v>
      </c>
      <c r="H220" s="38">
        <f>IFERROR(VLOOKUP(TRIM(E220),ACTIVIDADES!$A$1:$D$17,4,FALSE),"")</f>
        <v>75</v>
      </c>
      <c r="I220" s="35">
        <f t="shared" si="3"/>
        <v>75</v>
      </c>
    </row>
    <row r="221" spans="1:9" x14ac:dyDescent="0.3">
      <c r="A221" s="28">
        <v>46163</v>
      </c>
      <c r="B221" s="1">
        <v>22</v>
      </c>
      <c r="C221" s="29" t="s">
        <v>26</v>
      </c>
      <c r="D221" s="55" t="s">
        <v>47</v>
      </c>
      <c r="E221" s="55" t="s">
        <v>60</v>
      </c>
      <c r="F221" s="33" t="str">
        <f>IFERROR(VLOOKUP(TRIM(E221),ACTIVIDADES!$A$1:$D$17,2,FALSE),"NO ENCONTRADO")</f>
        <v>MANEJO DE SOMBRA</v>
      </c>
      <c r="G221" s="63">
        <v>1</v>
      </c>
      <c r="H221" s="38">
        <f>IFERROR(VLOOKUP(TRIM(E221),ACTIVIDADES!$A$1:$D$17,4,FALSE),"")</f>
        <v>75</v>
      </c>
      <c r="I221" s="35">
        <f t="shared" si="3"/>
        <v>75</v>
      </c>
    </row>
    <row r="222" spans="1:9" x14ac:dyDescent="0.3">
      <c r="A222" s="28">
        <v>46163</v>
      </c>
      <c r="B222" s="1">
        <v>23</v>
      </c>
      <c r="C222" s="24" t="s">
        <v>27</v>
      </c>
      <c r="D222" s="55" t="s">
        <v>47</v>
      </c>
      <c r="E222" s="55" t="s">
        <v>60</v>
      </c>
      <c r="F222" s="33" t="str">
        <f>IFERROR(VLOOKUP(TRIM(E222),ACTIVIDADES!$A$1:$D$17,2,FALSE),"NO ENCONTRADO")</f>
        <v>MANEJO DE SOMBRA</v>
      </c>
      <c r="G222" s="63">
        <v>1</v>
      </c>
      <c r="H222" s="38">
        <f>IFERROR(VLOOKUP(TRIM(E222),ACTIVIDADES!$A$1:$D$17,4,FALSE),"")</f>
        <v>75</v>
      </c>
      <c r="I222" s="35">
        <f t="shared" si="3"/>
        <v>75</v>
      </c>
    </row>
    <row r="223" spans="1:9" x14ac:dyDescent="0.3">
      <c r="A223" s="28">
        <v>46163</v>
      </c>
      <c r="B223" s="1">
        <v>24</v>
      </c>
      <c r="C223" s="24" t="s">
        <v>96</v>
      </c>
      <c r="D223" s="55" t="s">
        <v>47</v>
      </c>
      <c r="E223" s="55" t="s">
        <v>60</v>
      </c>
      <c r="F223" s="33" t="str">
        <f>IFERROR(VLOOKUP(TRIM(E223),ACTIVIDADES!$A$1:$D$17,2,FALSE),"NO ENCONTRADO")</f>
        <v>MANEJO DE SOMBRA</v>
      </c>
      <c r="G223" s="63">
        <v>1</v>
      </c>
      <c r="H223" s="38">
        <f>IFERROR(VLOOKUP(TRIM(E223),ACTIVIDADES!$A$1:$D$17,4,FALSE),"")</f>
        <v>75</v>
      </c>
      <c r="I223" s="35">
        <f t="shared" si="3"/>
        <v>75</v>
      </c>
    </row>
    <row r="224" spans="1:9" x14ac:dyDescent="0.3">
      <c r="A224" s="28">
        <v>46163</v>
      </c>
      <c r="B224" s="1">
        <v>25</v>
      </c>
      <c r="C224" s="24" t="s">
        <v>29</v>
      </c>
      <c r="D224" s="55" t="s">
        <v>47</v>
      </c>
      <c r="E224" s="55" t="s">
        <v>60</v>
      </c>
      <c r="F224" s="33" t="str">
        <f>IFERROR(VLOOKUP(TRIM(E224),ACTIVIDADES!$A$1:$D$17,2,FALSE),"NO ENCONTRADO")</f>
        <v>MANEJO DE SOMBRA</v>
      </c>
      <c r="G224" s="63">
        <v>1</v>
      </c>
      <c r="H224" s="38">
        <f>IFERROR(VLOOKUP(TRIM(E224),ACTIVIDADES!$A$1:$D$17,4,FALSE),"")</f>
        <v>75</v>
      </c>
      <c r="I224" s="35">
        <f t="shared" si="3"/>
        <v>75</v>
      </c>
    </row>
    <row r="225" spans="1:9" x14ac:dyDescent="0.3">
      <c r="A225" s="28">
        <v>46163</v>
      </c>
      <c r="B225" s="1">
        <v>26</v>
      </c>
      <c r="C225" s="24" t="s">
        <v>30</v>
      </c>
      <c r="D225" s="55" t="s">
        <v>47</v>
      </c>
      <c r="E225" s="55" t="s">
        <v>60</v>
      </c>
      <c r="F225" s="33" t="str">
        <f>IFERROR(VLOOKUP(TRIM(E225),ACTIVIDADES!$A$1:$D$17,2,FALSE),"NO ENCONTRADO")</f>
        <v>MANEJO DE SOMBRA</v>
      </c>
      <c r="G225" s="63">
        <v>1</v>
      </c>
      <c r="H225" s="38">
        <f>IFERROR(VLOOKUP(TRIM(E225),ACTIVIDADES!$A$1:$D$17,4,FALSE),"")</f>
        <v>75</v>
      </c>
      <c r="I225" s="35">
        <f t="shared" si="3"/>
        <v>75</v>
      </c>
    </row>
    <row r="226" spans="1:9" x14ac:dyDescent="0.3">
      <c r="A226" s="28">
        <v>46163</v>
      </c>
      <c r="B226" s="1">
        <v>27</v>
      </c>
      <c r="C226" s="24" t="s">
        <v>99</v>
      </c>
      <c r="D226" s="55" t="s">
        <v>47</v>
      </c>
      <c r="E226" s="55" t="s">
        <v>60</v>
      </c>
      <c r="F226" s="33" t="str">
        <f>IFERROR(VLOOKUP(TRIM(E226),ACTIVIDADES!$A$1:$D$17,2,FALSE),"NO ENCONTRADO")</f>
        <v>MANEJO DE SOMBRA</v>
      </c>
      <c r="G226" s="63">
        <v>1</v>
      </c>
      <c r="H226" s="38">
        <f>IFERROR(VLOOKUP(TRIM(E226),ACTIVIDADES!$A$1:$D$17,4,FALSE),"")</f>
        <v>75</v>
      </c>
      <c r="I226" s="35">
        <f t="shared" si="3"/>
        <v>75</v>
      </c>
    </row>
    <row r="227" spans="1:9" x14ac:dyDescent="0.3">
      <c r="A227" s="28">
        <v>46163</v>
      </c>
      <c r="B227" s="1">
        <v>28</v>
      </c>
      <c r="C227" s="24" t="s">
        <v>33</v>
      </c>
      <c r="D227" s="55" t="s">
        <v>46</v>
      </c>
      <c r="E227" s="55" t="s">
        <v>75</v>
      </c>
      <c r="F227" s="33" t="str">
        <f>IFERROR(VLOOKUP(TRIM(E227),ACTIVIDADES!$A$1:$D$17,2,FALSE),"NO ENCONTRADO")</f>
        <v>TRAZADO PARA SIEMBRA</v>
      </c>
      <c r="G227" s="63">
        <v>1</v>
      </c>
      <c r="H227" s="38">
        <f>IFERROR(VLOOKUP(TRIM(E227),ACTIVIDADES!$A$1:$D$17,4,FALSE),"")</f>
        <v>75</v>
      </c>
      <c r="I227" s="35">
        <f t="shared" si="3"/>
        <v>75</v>
      </c>
    </row>
    <row r="228" spans="1:9" x14ac:dyDescent="0.3">
      <c r="A228" s="28">
        <v>46163</v>
      </c>
      <c r="B228" s="1">
        <v>29</v>
      </c>
      <c r="C228" s="24" t="s">
        <v>102</v>
      </c>
      <c r="D228" s="55" t="s">
        <v>47</v>
      </c>
      <c r="E228" s="55" t="s">
        <v>60</v>
      </c>
      <c r="F228" s="33" t="str">
        <f>IFERROR(VLOOKUP(TRIM(E228),ACTIVIDADES!$A$1:$D$17,2,FALSE),"NO ENCONTRADO")</f>
        <v>MANEJO DE SOMBRA</v>
      </c>
      <c r="G228" s="63">
        <v>1</v>
      </c>
      <c r="H228" s="38">
        <f>IFERROR(VLOOKUP(TRIM(E228),ACTIVIDADES!$A$1:$D$17,4,FALSE),"")</f>
        <v>75</v>
      </c>
      <c r="I228" s="35">
        <f t="shared" si="3"/>
        <v>75</v>
      </c>
    </row>
    <row r="229" spans="1:9" x14ac:dyDescent="0.3">
      <c r="A229" s="28">
        <v>46163</v>
      </c>
      <c r="B229" s="1">
        <v>30</v>
      </c>
      <c r="C229" s="24" t="s">
        <v>35</v>
      </c>
      <c r="D229" s="53" t="s">
        <v>46</v>
      </c>
      <c r="E229" s="53" t="s">
        <v>75</v>
      </c>
      <c r="F229" s="33" t="str">
        <f>IFERROR(VLOOKUP(TRIM(E229),ACTIVIDADES!$A$1:$D$17,2,FALSE),"NO ENCONTRADO")</f>
        <v>TRAZADO PARA SIEMBRA</v>
      </c>
      <c r="G229" s="63">
        <v>1</v>
      </c>
      <c r="H229" s="38">
        <f>IFERROR(VLOOKUP(TRIM(E229),ACTIVIDADES!$A$1:$D$17,4,FALSE),"")</f>
        <v>75</v>
      </c>
      <c r="I229" s="35">
        <f t="shared" si="3"/>
        <v>75</v>
      </c>
    </row>
    <row r="230" spans="1:9" x14ac:dyDescent="0.3">
      <c r="A230" s="28">
        <v>46163</v>
      </c>
      <c r="B230" s="1">
        <v>31</v>
      </c>
      <c r="C230" s="24" t="s">
        <v>9</v>
      </c>
      <c r="D230" s="55" t="s">
        <v>47</v>
      </c>
      <c r="E230" s="55" t="s">
        <v>60</v>
      </c>
      <c r="F230" s="33" t="str">
        <f>IFERROR(VLOOKUP(TRIM(E230),ACTIVIDADES!$A$1:$D$17,2,FALSE),"NO ENCONTRADO")</f>
        <v>MANEJO DE SOMBRA</v>
      </c>
      <c r="G230" s="63">
        <v>1</v>
      </c>
      <c r="H230" s="38">
        <f>IFERROR(VLOOKUP(TRIM(E230),ACTIVIDADES!$A$1:$D$17,4,FALSE),"")</f>
        <v>75</v>
      </c>
      <c r="I230" s="35">
        <f t="shared" si="3"/>
        <v>75</v>
      </c>
    </row>
    <row r="231" spans="1:9" x14ac:dyDescent="0.3">
      <c r="A231" s="28">
        <v>46163</v>
      </c>
      <c r="B231" s="1">
        <v>32</v>
      </c>
      <c r="C231" s="55" t="s">
        <v>37</v>
      </c>
      <c r="D231" s="55" t="s">
        <v>47</v>
      </c>
      <c r="E231" s="55" t="s">
        <v>60</v>
      </c>
      <c r="F231" s="33" t="str">
        <f>IFERROR(VLOOKUP(TRIM(E231),ACTIVIDADES!$A$1:$D$17,2,FALSE),"NO ENCONTRADO")</f>
        <v>MANEJO DE SOMBRA</v>
      </c>
      <c r="G231" s="63">
        <v>1</v>
      </c>
      <c r="H231" s="38">
        <f>IFERROR(VLOOKUP(TRIM(E231),ACTIVIDADES!$A$1:$D$17,4,FALSE),"")</f>
        <v>75</v>
      </c>
      <c r="I231" s="35">
        <f t="shared" si="3"/>
        <v>75</v>
      </c>
    </row>
    <row r="232" spans="1:9" x14ac:dyDescent="0.3">
      <c r="A232" s="28">
        <v>46163</v>
      </c>
      <c r="B232" s="1">
        <v>33</v>
      </c>
      <c r="C232" s="24" t="s">
        <v>7</v>
      </c>
      <c r="D232" s="55" t="s">
        <v>47</v>
      </c>
      <c r="E232" s="55" t="s">
        <v>60</v>
      </c>
      <c r="F232" s="33" t="str">
        <f>IFERROR(VLOOKUP(TRIM(E232),ACTIVIDADES!$A$1:$D$17,2,FALSE),"NO ENCONTRADO")</f>
        <v>MANEJO DE SOMBRA</v>
      </c>
      <c r="G232" s="63">
        <v>1</v>
      </c>
      <c r="H232" s="38">
        <f>IFERROR(VLOOKUP(TRIM(E232),ACTIVIDADES!$A$1:$D$17,4,FALSE),"")</f>
        <v>75</v>
      </c>
      <c r="I232" s="35">
        <f t="shared" si="3"/>
        <v>75</v>
      </c>
    </row>
    <row r="233" spans="1:9" x14ac:dyDescent="0.3">
      <c r="A233" s="28">
        <v>46163</v>
      </c>
      <c r="B233" s="1">
        <v>34</v>
      </c>
      <c r="C233" s="24" t="s">
        <v>107</v>
      </c>
      <c r="D233" s="55" t="s">
        <v>47</v>
      </c>
      <c r="E233" s="55" t="s">
        <v>60</v>
      </c>
      <c r="F233" s="33" t="str">
        <f>IFERROR(VLOOKUP(TRIM(E233),ACTIVIDADES!$A$1:$D$17,2,FALSE),"NO ENCONTRADO")</f>
        <v>MANEJO DE SOMBRA</v>
      </c>
      <c r="G233" s="63">
        <v>1</v>
      </c>
      <c r="H233" s="38">
        <f>IFERROR(VLOOKUP(TRIM(E233),ACTIVIDADES!$A$1:$D$17,4,FALSE),"")</f>
        <v>75</v>
      </c>
      <c r="I233" s="35">
        <f t="shared" si="3"/>
        <v>75</v>
      </c>
    </row>
    <row r="234" spans="1:9" x14ac:dyDescent="0.3">
      <c r="A234" s="28">
        <v>46163</v>
      </c>
      <c r="B234" s="1">
        <v>35</v>
      </c>
      <c r="C234" s="24" t="s">
        <v>108</v>
      </c>
      <c r="D234" s="53" t="s">
        <v>46</v>
      </c>
      <c r="E234" s="53" t="s">
        <v>75</v>
      </c>
      <c r="F234" s="33" t="str">
        <f>IFERROR(VLOOKUP(TRIM(E234),ACTIVIDADES!$A$1:$D$17,2,FALSE),"NO ENCONTRADO")</f>
        <v>TRAZADO PARA SIEMBRA</v>
      </c>
      <c r="G234" s="63">
        <v>1</v>
      </c>
      <c r="H234" s="38">
        <f>IFERROR(VLOOKUP(TRIM(E234),ACTIVIDADES!$A$1:$D$17,4,FALSE),"")</f>
        <v>75</v>
      </c>
      <c r="I234" s="35">
        <f t="shared" si="3"/>
        <v>75</v>
      </c>
    </row>
    <row r="235" spans="1:9" x14ac:dyDescent="0.3">
      <c r="A235" s="28">
        <v>46163</v>
      </c>
      <c r="B235" s="1">
        <v>36</v>
      </c>
      <c r="C235" s="24" t="s">
        <v>109</v>
      </c>
      <c r="D235" s="53" t="s">
        <v>46</v>
      </c>
      <c r="E235" s="53" t="s">
        <v>75</v>
      </c>
      <c r="F235" s="33" t="str">
        <f>IFERROR(VLOOKUP(TRIM(E235),ACTIVIDADES!$A$1:$D$17,2,FALSE),"NO ENCONTRADO")</f>
        <v>TRAZADO PARA SIEMBRA</v>
      </c>
      <c r="G235" s="63">
        <v>1</v>
      </c>
      <c r="H235" s="38">
        <f>IFERROR(VLOOKUP(TRIM(E235),ACTIVIDADES!$A$1:$D$17,4,FALSE),"")</f>
        <v>75</v>
      </c>
      <c r="I235" s="35">
        <f t="shared" si="3"/>
        <v>75</v>
      </c>
    </row>
    <row r="236" spans="1:9" x14ac:dyDescent="0.3">
      <c r="A236" s="28">
        <v>46163</v>
      </c>
      <c r="B236" s="1">
        <v>37</v>
      </c>
      <c r="C236" s="53" t="s">
        <v>42</v>
      </c>
      <c r="D236" s="55" t="s">
        <v>47</v>
      </c>
      <c r="E236" s="55" t="s">
        <v>60</v>
      </c>
      <c r="F236" s="33" t="str">
        <f>IFERROR(VLOOKUP(TRIM(E236),ACTIVIDADES!$A$1:$D$17,2,FALSE),"NO ENCONTRADO")</f>
        <v>MANEJO DE SOMBRA</v>
      </c>
      <c r="G236" s="63">
        <v>1</v>
      </c>
      <c r="H236" s="38">
        <f>IFERROR(VLOOKUP(TRIM(E236),ACTIVIDADES!$A$1:$D$17,4,FALSE),"")</f>
        <v>75</v>
      </c>
      <c r="I236" s="35">
        <f t="shared" si="3"/>
        <v>75</v>
      </c>
    </row>
    <row r="237" spans="1:9" x14ac:dyDescent="0.3">
      <c r="A237" s="28">
        <v>46163</v>
      </c>
      <c r="B237" s="1">
        <v>38</v>
      </c>
      <c r="C237" s="55" t="s">
        <v>43</v>
      </c>
      <c r="D237" s="55" t="s">
        <v>47</v>
      </c>
      <c r="E237" s="55" t="s">
        <v>60</v>
      </c>
      <c r="F237" s="33" t="str">
        <f>IFERROR(VLOOKUP(TRIM(E237),ACTIVIDADES!$A$1:$D$17,2,FALSE),"NO ENCONTRADO")</f>
        <v>MANEJO DE SOMBRA</v>
      </c>
      <c r="G237" s="63">
        <v>1</v>
      </c>
      <c r="H237" s="38">
        <f>IFERROR(VLOOKUP(TRIM(E237),ACTIVIDADES!$A$1:$D$17,4,FALSE),"")</f>
        <v>75</v>
      </c>
      <c r="I237" s="35">
        <f t="shared" si="3"/>
        <v>75</v>
      </c>
    </row>
    <row r="238" spans="1:9" x14ac:dyDescent="0.3">
      <c r="A238" s="28">
        <v>46163</v>
      </c>
      <c r="B238" s="1">
        <v>39</v>
      </c>
      <c r="C238" s="24" t="s">
        <v>44</v>
      </c>
      <c r="D238" s="53" t="s">
        <v>46</v>
      </c>
      <c r="E238" s="53" t="s">
        <v>75</v>
      </c>
      <c r="F238" s="33" t="str">
        <f>IFERROR(VLOOKUP(TRIM(E238),ACTIVIDADES!$A$1:$D$17,2,FALSE),"NO ENCONTRADO")</f>
        <v>TRAZADO PARA SIEMBRA</v>
      </c>
      <c r="G238" s="63">
        <v>1</v>
      </c>
      <c r="H238" s="38">
        <f>IFERROR(VLOOKUP(TRIM(E238),ACTIVIDADES!$A$1:$D$17,4,FALSE),"")</f>
        <v>75</v>
      </c>
      <c r="I238" s="35">
        <f t="shared" si="3"/>
        <v>75</v>
      </c>
    </row>
    <row r="239" spans="1:9" x14ac:dyDescent="0.3">
      <c r="A239" s="28">
        <v>46164</v>
      </c>
      <c r="B239" s="1">
        <v>1</v>
      </c>
      <c r="C239" s="40" t="s">
        <v>6</v>
      </c>
      <c r="D239" s="1" t="s">
        <v>49</v>
      </c>
      <c r="E239" s="1" t="s">
        <v>49</v>
      </c>
      <c r="F239" s="33" t="str">
        <f>IFERROR(VLOOKUP(TRIM(E239),ACTIVIDADES!$A$1:$D$17,2,FALSE),"NO ENCONTRADO")</f>
        <v>CAPORAL</v>
      </c>
      <c r="G239" s="63">
        <v>1</v>
      </c>
      <c r="H239" s="38">
        <f>IFERROR(VLOOKUP(TRIM(E239),ACTIVIDADES!$A$1:$D$17,4,FALSE),"")</f>
        <v>100</v>
      </c>
      <c r="I239" s="35">
        <f t="shared" si="3"/>
        <v>100</v>
      </c>
    </row>
    <row r="240" spans="1:9" x14ac:dyDescent="0.3">
      <c r="A240" s="28">
        <v>46164</v>
      </c>
      <c r="B240" s="1">
        <v>2</v>
      </c>
      <c r="C240" s="29" t="s">
        <v>10</v>
      </c>
      <c r="D240" s="1" t="s">
        <v>49</v>
      </c>
      <c r="E240" s="1" t="s">
        <v>49</v>
      </c>
      <c r="F240" s="33" t="str">
        <f>IFERROR(VLOOKUP(TRIM(E240),ACTIVIDADES!$A$1:$D$17,2,FALSE),"NO ENCONTRADO")</f>
        <v>CAPORAL</v>
      </c>
      <c r="G240" s="63">
        <v>1</v>
      </c>
      <c r="H240" s="38">
        <f>IFERROR(VLOOKUP(TRIM(E240),ACTIVIDADES!$A$1:$D$17,4,FALSE),"")</f>
        <v>100</v>
      </c>
      <c r="I240" s="35">
        <f t="shared" si="3"/>
        <v>100</v>
      </c>
    </row>
    <row r="241" spans="1:9" x14ac:dyDescent="0.3">
      <c r="A241" s="28">
        <v>46164</v>
      </c>
      <c r="B241" s="1">
        <v>3</v>
      </c>
      <c r="C241" s="29" t="s">
        <v>22</v>
      </c>
      <c r="D241" s="53" t="s">
        <v>49</v>
      </c>
      <c r="E241" s="53" t="s">
        <v>49</v>
      </c>
      <c r="F241" s="33" t="str">
        <f>IFERROR(VLOOKUP(TRIM(E241),ACTIVIDADES!$A$1:$D$17,2,FALSE),"NO ENCONTRADO")</f>
        <v>CAPORAL</v>
      </c>
      <c r="G241" s="63">
        <v>1</v>
      </c>
      <c r="H241" s="38">
        <f>IFERROR(VLOOKUP(TRIM(E241),ACTIVIDADES!$A$1:$D$17,4,FALSE),"")</f>
        <v>100</v>
      </c>
      <c r="I241" s="35">
        <f t="shared" si="3"/>
        <v>100</v>
      </c>
    </row>
    <row r="242" spans="1:9" x14ac:dyDescent="0.3">
      <c r="A242" s="28">
        <v>46164</v>
      </c>
      <c r="B242" s="1">
        <v>4</v>
      </c>
      <c r="C242" s="40" t="s">
        <v>36</v>
      </c>
      <c r="D242" s="53" t="s">
        <v>150</v>
      </c>
      <c r="E242" s="47" t="s">
        <v>149</v>
      </c>
      <c r="F242" s="33" t="str">
        <f>IFERROR(VLOOKUP(TRIM(E242),ACTIVIDADES!$A$1:$D$17,2,FALSE),"NO ENCONTRADO")</f>
        <v>HACIENDA</v>
      </c>
      <c r="G242" s="63">
        <v>1</v>
      </c>
      <c r="H242" s="38">
        <f>IFERROR(VLOOKUP(TRIM(E242),ACTIVIDADES!$A$1:$D$17,4,FALSE),"")</f>
        <v>65</v>
      </c>
      <c r="I242" s="35">
        <f t="shared" si="3"/>
        <v>65</v>
      </c>
    </row>
    <row r="243" spans="1:9" x14ac:dyDescent="0.3">
      <c r="A243" s="28">
        <v>46164</v>
      </c>
      <c r="B243" s="1">
        <v>5</v>
      </c>
      <c r="C243" s="29" t="s">
        <v>38</v>
      </c>
      <c r="D243" s="47" t="s">
        <v>150</v>
      </c>
      <c r="E243" s="47" t="s">
        <v>149</v>
      </c>
      <c r="F243" s="33" t="str">
        <f>IFERROR(VLOOKUP(TRIM(E243),ACTIVIDADES!$A$1:$D$17,2,FALSE),"NO ENCONTRADO")</f>
        <v>HACIENDA</v>
      </c>
      <c r="G243" s="63">
        <v>1</v>
      </c>
      <c r="H243" s="38">
        <f>IFERROR(VLOOKUP(TRIM(E243),ACTIVIDADES!$A$1:$D$17,4,FALSE),"")</f>
        <v>65</v>
      </c>
      <c r="I243" s="35">
        <f t="shared" si="3"/>
        <v>65</v>
      </c>
    </row>
    <row r="244" spans="1:9" x14ac:dyDescent="0.3">
      <c r="A244" s="28">
        <v>46164</v>
      </c>
      <c r="B244" s="1">
        <v>6</v>
      </c>
      <c r="C244" s="24" t="s">
        <v>11</v>
      </c>
      <c r="D244" s="55" t="s">
        <v>47</v>
      </c>
      <c r="E244" s="53" t="s">
        <v>60</v>
      </c>
      <c r="F244" s="33" t="str">
        <f>IFERROR(VLOOKUP(TRIM(E244),ACTIVIDADES!$A$1:$D$17,2,FALSE),"NO ENCONTRADO")</f>
        <v>MANEJO DE SOMBRA</v>
      </c>
      <c r="G244" s="63">
        <v>1</v>
      </c>
      <c r="H244" s="38">
        <f>IFERROR(VLOOKUP(TRIM(E244),ACTIVIDADES!$A$1:$D$17,4,FALSE),"")</f>
        <v>75</v>
      </c>
      <c r="I244" s="35">
        <f t="shared" si="3"/>
        <v>75</v>
      </c>
    </row>
    <row r="245" spans="1:9" x14ac:dyDescent="0.3">
      <c r="A245" s="28">
        <v>46164</v>
      </c>
      <c r="B245" s="1">
        <v>7</v>
      </c>
      <c r="C245" s="54" t="s">
        <v>12</v>
      </c>
      <c r="D245" s="55" t="s">
        <v>46</v>
      </c>
      <c r="E245" s="53" t="s">
        <v>75</v>
      </c>
      <c r="F245" s="33" t="str">
        <f>IFERROR(VLOOKUP(TRIM(E245),ACTIVIDADES!$A$1:$D$17,2,FALSE),"NO ENCONTRADO")</f>
        <v>TRAZADO PARA SIEMBRA</v>
      </c>
      <c r="G245" s="63">
        <v>1</v>
      </c>
      <c r="H245" s="38">
        <f>IFERROR(VLOOKUP(TRIM(E245),ACTIVIDADES!$A$1:$D$17,4,FALSE),"")</f>
        <v>75</v>
      </c>
      <c r="I245" s="35">
        <f t="shared" si="3"/>
        <v>75</v>
      </c>
    </row>
    <row r="246" spans="1:9" x14ac:dyDescent="0.3">
      <c r="A246" s="28">
        <v>46164</v>
      </c>
      <c r="B246" s="1">
        <v>9</v>
      </c>
      <c r="C246" s="55" t="s">
        <v>82</v>
      </c>
      <c r="D246" s="55" t="s">
        <v>47</v>
      </c>
      <c r="E246" s="53" t="s">
        <v>60</v>
      </c>
      <c r="F246" s="33" t="str">
        <f>IFERROR(VLOOKUP(TRIM(E246),ACTIVIDADES!$A$1:$D$17,2,FALSE),"NO ENCONTRADO")</f>
        <v>MANEJO DE SOMBRA</v>
      </c>
      <c r="G246" s="63">
        <v>1</v>
      </c>
      <c r="H246" s="38">
        <f>IFERROR(VLOOKUP(TRIM(E246),ACTIVIDADES!$A$1:$D$17,4,FALSE),"")</f>
        <v>75</v>
      </c>
      <c r="I246" s="35">
        <f t="shared" si="3"/>
        <v>75</v>
      </c>
    </row>
    <row r="247" spans="1:9" x14ac:dyDescent="0.3">
      <c r="A247" s="28">
        <v>46164</v>
      </c>
      <c r="B247" s="1">
        <v>10</v>
      </c>
      <c r="C247" s="40" t="s">
        <v>14</v>
      </c>
      <c r="D247" s="55" t="s">
        <v>55</v>
      </c>
      <c r="E247" s="53" t="s">
        <v>116</v>
      </c>
      <c r="F247" s="33" t="str">
        <f>IFERROR(VLOOKUP(TRIM(E247),ACTIVIDADES!$A$1:$D$17,2,FALSE),"NO ENCONTRADO")</f>
        <v>APLICACION DE FUNGICIDA</v>
      </c>
      <c r="G247" s="63">
        <v>1</v>
      </c>
      <c r="H247" s="38">
        <f>IFERROR(VLOOKUP(TRIM(E247),ACTIVIDADES!$A$1:$D$17,4,FALSE),"")</f>
        <v>75</v>
      </c>
      <c r="I247" s="35">
        <f t="shared" si="3"/>
        <v>75</v>
      </c>
    </row>
    <row r="248" spans="1:9" x14ac:dyDescent="0.3">
      <c r="A248" s="28">
        <v>46164</v>
      </c>
      <c r="B248" s="1">
        <v>12</v>
      </c>
      <c r="C248" s="24" t="s">
        <v>85</v>
      </c>
      <c r="D248" s="55" t="s">
        <v>47</v>
      </c>
      <c r="E248" s="53" t="s">
        <v>60</v>
      </c>
      <c r="F248" s="33" t="str">
        <f>IFERROR(VLOOKUP(TRIM(E248),ACTIVIDADES!$A$1:$D$17,2,FALSE),"NO ENCONTRADO")</f>
        <v>MANEJO DE SOMBRA</v>
      </c>
      <c r="G248" s="63">
        <v>1</v>
      </c>
      <c r="H248" s="38">
        <f>IFERROR(VLOOKUP(TRIM(E248),ACTIVIDADES!$A$1:$D$17,4,FALSE),"")</f>
        <v>75</v>
      </c>
      <c r="I248" s="35">
        <f t="shared" si="3"/>
        <v>75</v>
      </c>
    </row>
    <row r="249" spans="1:9" x14ac:dyDescent="0.3">
      <c r="A249" s="28">
        <v>46164</v>
      </c>
      <c r="B249" s="1">
        <v>14</v>
      </c>
      <c r="C249" s="24" t="s">
        <v>18</v>
      </c>
      <c r="D249" s="53" t="s">
        <v>46</v>
      </c>
      <c r="E249" s="53" t="s">
        <v>77</v>
      </c>
      <c r="F249" s="33" t="str">
        <f>IFERROR(VLOOKUP(TRIM(E249),ACTIVIDADES!$A$1:$D$17,2,FALSE),"NO ENCONTRADO")</f>
        <v>TRAZADO PARA SIEMBRA</v>
      </c>
      <c r="G249" s="63">
        <v>1</v>
      </c>
      <c r="H249" s="38">
        <f>IFERROR(VLOOKUP(TRIM(E249),ACTIVIDADES!$A$1:$D$17,4,FALSE),"")</f>
        <v>75</v>
      </c>
      <c r="I249" s="35">
        <f t="shared" si="3"/>
        <v>75</v>
      </c>
    </row>
    <row r="250" spans="1:9" x14ac:dyDescent="0.3">
      <c r="A250" s="28">
        <v>46164</v>
      </c>
      <c r="B250" s="1">
        <v>15</v>
      </c>
      <c r="C250" s="24" t="s">
        <v>88</v>
      </c>
      <c r="D250" s="53" t="s">
        <v>46</v>
      </c>
      <c r="E250" s="53" t="s">
        <v>77</v>
      </c>
      <c r="F250" s="33" t="str">
        <f>IFERROR(VLOOKUP(TRIM(E250),ACTIVIDADES!$A$1:$D$17,2,FALSE),"NO ENCONTRADO")</f>
        <v>TRAZADO PARA SIEMBRA</v>
      </c>
      <c r="G250" s="63">
        <v>1</v>
      </c>
      <c r="H250" s="38">
        <f>IFERROR(VLOOKUP(TRIM(E250),ACTIVIDADES!$A$1:$D$17,4,FALSE),"")</f>
        <v>75</v>
      </c>
      <c r="I250" s="35">
        <f t="shared" si="3"/>
        <v>75</v>
      </c>
    </row>
    <row r="251" spans="1:9" x14ac:dyDescent="0.3">
      <c r="A251" s="28">
        <v>46164</v>
      </c>
      <c r="B251" s="1">
        <v>16</v>
      </c>
      <c r="C251" s="40" t="s">
        <v>20</v>
      </c>
      <c r="D251" s="55" t="s">
        <v>47</v>
      </c>
      <c r="E251" s="55" t="s">
        <v>60</v>
      </c>
      <c r="F251" s="33" t="str">
        <f>IFERROR(VLOOKUP(TRIM(E251),ACTIVIDADES!$A$1:$D$17,2,FALSE),"NO ENCONTRADO")</f>
        <v>MANEJO DE SOMBRA</v>
      </c>
      <c r="G251" s="63">
        <v>1</v>
      </c>
      <c r="H251" s="38">
        <f>IFERROR(VLOOKUP(TRIM(E251),ACTIVIDADES!$A$1:$D$17,4,FALSE),"")</f>
        <v>75</v>
      </c>
      <c r="I251" s="35">
        <f t="shared" si="3"/>
        <v>75</v>
      </c>
    </row>
    <row r="252" spans="1:9" x14ac:dyDescent="0.3">
      <c r="A252" s="28">
        <v>46164</v>
      </c>
      <c r="B252" s="1">
        <v>17</v>
      </c>
      <c r="C252" s="24" t="s">
        <v>90</v>
      </c>
      <c r="D252" s="55" t="s">
        <v>55</v>
      </c>
      <c r="E252" s="53" t="s">
        <v>116</v>
      </c>
      <c r="F252" s="33" t="str">
        <f>IFERROR(VLOOKUP(TRIM(E252),ACTIVIDADES!$A$1:$D$17,2,FALSE),"NO ENCONTRADO")</f>
        <v>APLICACION DE FUNGICIDA</v>
      </c>
      <c r="G252" s="63">
        <v>1</v>
      </c>
      <c r="H252" s="38">
        <f>IFERROR(VLOOKUP(TRIM(E252),ACTIVIDADES!$A$1:$D$17,4,FALSE),"")</f>
        <v>75</v>
      </c>
      <c r="I252" s="35">
        <f t="shared" si="3"/>
        <v>75</v>
      </c>
    </row>
    <row r="253" spans="1:9" x14ac:dyDescent="0.3">
      <c r="A253" s="28">
        <v>46164</v>
      </c>
      <c r="B253" s="1">
        <v>18</v>
      </c>
      <c r="C253" s="24" t="s">
        <v>91</v>
      </c>
      <c r="D253" s="55" t="s">
        <v>47</v>
      </c>
      <c r="E253" s="53" t="s">
        <v>60</v>
      </c>
      <c r="F253" s="33" t="str">
        <f>IFERROR(VLOOKUP(TRIM(E253),ACTIVIDADES!$A$1:$D$17,2,FALSE),"NO ENCONTRADO")</f>
        <v>MANEJO DE SOMBRA</v>
      </c>
      <c r="G253" s="63">
        <v>1</v>
      </c>
      <c r="H253" s="38">
        <f>IFERROR(VLOOKUP(TRIM(E253),ACTIVIDADES!$A$1:$D$17,4,FALSE),"")</f>
        <v>75</v>
      </c>
      <c r="I253" s="35">
        <f t="shared" si="3"/>
        <v>75</v>
      </c>
    </row>
    <row r="254" spans="1:9" x14ac:dyDescent="0.3">
      <c r="A254" s="28">
        <v>46164</v>
      </c>
      <c r="B254" s="1">
        <v>21</v>
      </c>
      <c r="C254" s="24" t="s">
        <v>25</v>
      </c>
      <c r="D254" s="55" t="s">
        <v>47</v>
      </c>
      <c r="E254" s="55" t="s">
        <v>60</v>
      </c>
      <c r="F254" s="33" t="str">
        <f>IFERROR(VLOOKUP(TRIM(E254),ACTIVIDADES!$A$1:$D$17,2,FALSE),"NO ENCONTRADO")</f>
        <v>MANEJO DE SOMBRA</v>
      </c>
      <c r="G254" s="63">
        <v>1</v>
      </c>
      <c r="H254" s="38">
        <f>IFERROR(VLOOKUP(TRIM(E254),ACTIVIDADES!$A$1:$D$17,4,FALSE),"")</f>
        <v>75</v>
      </c>
      <c r="I254" s="35">
        <f t="shared" si="3"/>
        <v>75</v>
      </c>
    </row>
    <row r="255" spans="1:9" x14ac:dyDescent="0.3">
      <c r="A255" s="28">
        <v>46164</v>
      </c>
      <c r="B255" s="1">
        <v>22</v>
      </c>
      <c r="C255" s="29" t="s">
        <v>26</v>
      </c>
      <c r="D255" s="55" t="s">
        <v>47</v>
      </c>
      <c r="E255" s="55" t="s">
        <v>60</v>
      </c>
      <c r="F255" s="33" t="str">
        <f>IFERROR(VLOOKUP(TRIM(E255),ACTIVIDADES!$A$1:$D$17,2,FALSE),"NO ENCONTRADO")</f>
        <v>MANEJO DE SOMBRA</v>
      </c>
      <c r="G255" s="63">
        <v>1</v>
      </c>
      <c r="H255" s="38">
        <f>IFERROR(VLOOKUP(TRIM(E255),ACTIVIDADES!$A$1:$D$17,4,FALSE),"")</f>
        <v>75</v>
      </c>
      <c r="I255" s="35">
        <f t="shared" si="3"/>
        <v>75</v>
      </c>
    </row>
    <row r="256" spans="1:9" x14ac:dyDescent="0.3">
      <c r="A256" s="28">
        <v>46164</v>
      </c>
      <c r="B256" s="1">
        <v>23</v>
      </c>
      <c r="C256" s="24" t="s">
        <v>27</v>
      </c>
      <c r="D256" s="55" t="s">
        <v>47</v>
      </c>
      <c r="E256" s="55" t="s">
        <v>60</v>
      </c>
      <c r="F256" s="33" t="str">
        <f>IFERROR(VLOOKUP(TRIM(E256),ACTIVIDADES!$A$1:$D$17,2,FALSE),"NO ENCONTRADO")</f>
        <v>MANEJO DE SOMBRA</v>
      </c>
      <c r="G256" s="63">
        <v>1</v>
      </c>
      <c r="H256" s="38">
        <f>IFERROR(VLOOKUP(TRIM(E256),ACTIVIDADES!$A$1:$D$17,4,FALSE),"")</f>
        <v>75</v>
      </c>
      <c r="I256" s="35">
        <f t="shared" si="3"/>
        <v>75</v>
      </c>
    </row>
    <row r="257" spans="1:9" x14ac:dyDescent="0.3">
      <c r="A257" s="28">
        <v>46164</v>
      </c>
      <c r="B257" s="1">
        <v>24</v>
      </c>
      <c r="C257" s="24" t="s">
        <v>96</v>
      </c>
      <c r="D257" s="55" t="s">
        <v>46</v>
      </c>
      <c r="E257" s="55" t="s">
        <v>75</v>
      </c>
      <c r="F257" s="33" t="str">
        <f>IFERROR(VLOOKUP(TRIM(E257),ACTIVIDADES!$A$1:$D$17,2,FALSE),"NO ENCONTRADO")</f>
        <v>TRAZADO PARA SIEMBRA</v>
      </c>
      <c r="G257" s="63">
        <v>1</v>
      </c>
      <c r="H257" s="38">
        <f>IFERROR(VLOOKUP(TRIM(E257),ACTIVIDADES!$A$1:$D$17,4,FALSE),"")</f>
        <v>75</v>
      </c>
      <c r="I257" s="35">
        <f t="shared" si="3"/>
        <v>75</v>
      </c>
    </row>
    <row r="258" spans="1:9" x14ac:dyDescent="0.3">
      <c r="A258" s="28">
        <v>46164</v>
      </c>
      <c r="B258" s="1">
        <v>25</v>
      </c>
      <c r="C258" s="24" t="s">
        <v>29</v>
      </c>
      <c r="D258" s="55" t="s">
        <v>47</v>
      </c>
      <c r="E258" s="55" t="s">
        <v>60</v>
      </c>
      <c r="F258" s="33" t="str">
        <f>IFERROR(VLOOKUP(TRIM(E258),ACTIVIDADES!$A$1:$D$17,2,FALSE),"NO ENCONTRADO")</f>
        <v>MANEJO DE SOMBRA</v>
      </c>
      <c r="G258" s="63">
        <v>1</v>
      </c>
      <c r="H258" s="38">
        <f>IFERROR(VLOOKUP(TRIM(E258),ACTIVIDADES!$A$1:$D$17,4,FALSE),"")</f>
        <v>75</v>
      </c>
      <c r="I258" s="35">
        <f t="shared" ref="I258:I321" si="4">IFERROR(G258*H258,"")</f>
        <v>75</v>
      </c>
    </row>
    <row r="259" spans="1:9" x14ac:dyDescent="0.3">
      <c r="A259" s="28">
        <v>46164</v>
      </c>
      <c r="B259" s="1">
        <v>27</v>
      </c>
      <c r="C259" s="24" t="s">
        <v>99</v>
      </c>
      <c r="D259" s="55" t="s">
        <v>47</v>
      </c>
      <c r="E259" s="55" t="s">
        <v>60</v>
      </c>
      <c r="F259" s="33" t="str">
        <f>IFERROR(VLOOKUP(TRIM(E259),ACTIVIDADES!$A$1:$D$17,2,FALSE),"NO ENCONTRADO")</f>
        <v>MANEJO DE SOMBRA</v>
      </c>
      <c r="G259" s="63">
        <v>1</v>
      </c>
      <c r="H259" s="38">
        <f>IFERROR(VLOOKUP(TRIM(E259),ACTIVIDADES!$A$1:$D$17,4,FALSE),"")</f>
        <v>75</v>
      </c>
      <c r="I259" s="35">
        <f t="shared" si="4"/>
        <v>75</v>
      </c>
    </row>
    <row r="260" spans="1:9" x14ac:dyDescent="0.3">
      <c r="A260" s="28">
        <v>46164</v>
      </c>
      <c r="B260" s="1">
        <v>28</v>
      </c>
      <c r="C260" s="24" t="s">
        <v>33</v>
      </c>
      <c r="D260" s="55" t="s">
        <v>47</v>
      </c>
      <c r="E260" s="55" t="s">
        <v>60</v>
      </c>
      <c r="F260" s="33" t="str">
        <f>IFERROR(VLOOKUP(TRIM(E260),ACTIVIDADES!$A$1:$D$17,2,FALSE),"NO ENCONTRADO")</f>
        <v>MANEJO DE SOMBRA</v>
      </c>
      <c r="G260" s="63">
        <v>1</v>
      </c>
      <c r="H260" s="38">
        <f>IFERROR(VLOOKUP(TRIM(E260),ACTIVIDADES!$A$1:$D$17,4,FALSE),"")</f>
        <v>75</v>
      </c>
      <c r="I260" s="35">
        <f t="shared" si="4"/>
        <v>75</v>
      </c>
    </row>
    <row r="261" spans="1:9" x14ac:dyDescent="0.3">
      <c r="A261" s="28">
        <v>46164</v>
      </c>
      <c r="B261" s="1">
        <v>29</v>
      </c>
      <c r="C261" s="24" t="s">
        <v>102</v>
      </c>
      <c r="D261" s="55" t="s">
        <v>47</v>
      </c>
      <c r="E261" s="55" t="s">
        <v>60</v>
      </c>
      <c r="F261" s="33" t="str">
        <f>IFERROR(VLOOKUP(TRIM(E261),ACTIVIDADES!$A$1:$D$17,2,FALSE),"NO ENCONTRADO")</f>
        <v>MANEJO DE SOMBRA</v>
      </c>
      <c r="G261" s="63">
        <v>1</v>
      </c>
      <c r="H261" s="38">
        <f>IFERROR(VLOOKUP(TRIM(E261),ACTIVIDADES!$A$1:$D$17,4,FALSE),"")</f>
        <v>75</v>
      </c>
      <c r="I261" s="35">
        <f t="shared" si="4"/>
        <v>75</v>
      </c>
    </row>
    <row r="262" spans="1:9" x14ac:dyDescent="0.3">
      <c r="A262" s="28">
        <v>46164</v>
      </c>
      <c r="B262" s="1">
        <v>30</v>
      </c>
      <c r="C262" s="24" t="s">
        <v>35</v>
      </c>
      <c r="D262" s="53" t="s">
        <v>46</v>
      </c>
      <c r="E262" s="53" t="s">
        <v>75</v>
      </c>
      <c r="F262" s="33" t="str">
        <f>IFERROR(VLOOKUP(TRIM(E262),ACTIVIDADES!$A$1:$D$17,2,FALSE),"NO ENCONTRADO")</f>
        <v>TRAZADO PARA SIEMBRA</v>
      </c>
      <c r="G262" s="63">
        <v>1</v>
      </c>
      <c r="H262" s="38">
        <f>IFERROR(VLOOKUP(TRIM(E262),ACTIVIDADES!$A$1:$D$17,4,FALSE),"")</f>
        <v>75</v>
      </c>
      <c r="I262" s="35">
        <f t="shared" si="4"/>
        <v>75</v>
      </c>
    </row>
    <row r="263" spans="1:9" x14ac:dyDescent="0.3">
      <c r="A263" s="28">
        <v>46164</v>
      </c>
      <c r="B263" s="1">
        <v>31</v>
      </c>
      <c r="C263" s="24" t="s">
        <v>9</v>
      </c>
      <c r="D263" s="55" t="s">
        <v>47</v>
      </c>
      <c r="E263" s="55" t="s">
        <v>60</v>
      </c>
      <c r="F263" s="33" t="str">
        <f>IFERROR(VLOOKUP(TRIM(E263),ACTIVIDADES!$A$1:$D$17,2,FALSE),"NO ENCONTRADO")</f>
        <v>MANEJO DE SOMBRA</v>
      </c>
      <c r="G263" s="63">
        <v>1</v>
      </c>
      <c r="H263" s="38">
        <f>IFERROR(VLOOKUP(TRIM(E263),ACTIVIDADES!$A$1:$D$17,4,FALSE),"")</f>
        <v>75</v>
      </c>
      <c r="I263" s="35">
        <f t="shared" si="4"/>
        <v>75</v>
      </c>
    </row>
    <row r="264" spans="1:9" x14ac:dyDescent="0.3">
      <c r="A264" s="28">
        <v>46164</v>
      </c>
      <c r="B264" s="1">
        <v>32</v>
      </c>
      <c r="C264" s="55" t="s">
        <v>37</v>
      </c>
      <c r="D264" s="55" t="s">
        <v>47</v>
      </c>
      <c r="E264" s="55" t="s">
        <v>60</v>
      </c>
      <c r="F264" s="33" t="str">
        <f>IFERROR(VLOOKUP(TRIM(E264),ACTIVIDADES!$A$1:$D$17,2,FALSE),"NO ENCONTRADO")</f>
        <v>MANEJO DE SOMBRA</v>
      </c>
      <c r="G264" s="63">
        <v>1</v>
      </c>
      <c r="H264" s="38">
        <f>IFERROR(VLOOKUP(TRIM(E264),ACTIVIDADES!$A$1:$D$17,4,FALSE),"")</f>
        <v>75</v>
      </c>
      <c r="I264" s="35">
        <f t="shared" si="4"/>
        <v>75</v>
      </c>
    </row>
    <row r="265" spans="1:9" x14ac:dyDescent="0.3">
      <c r="A265" s="28">
        <v>46164</v>
      </c>
      <c r="B265" s="1">
        <v>33</v>
      </c>
      <c r="C265" s="24" t="s">
        <v>7</v>
      </c>
      <c r="D265" s="55" t="s">
        <v>47</v>
      </c>
      <c r="E265" s="55" t="s">
        <v>60</v>
      </c>
      <c r="F265" s="33" t="str">
        <f>IFERROR(VLOOKUP(TRIM(E265),ACTIVIDADES!$A$1:$D$17,2,FALSE),"NO ENCONTRADO")</f>
        <v>MANEJO DE SOMBRA</v>
      </c>
      <c r="G265" s="63">
        <v>1</v>
      </c>
      <c r="H265" s="38">
        <f>IFERROR(VLOOKUP(TRIM(E265),ACTIVIDADES!$A$1:$D$17,4,FALSE),"")</f>
        <v>75</v>
      </c>
      <c r="I265" s="35">
        <f t="shared" si="4"/>
        <v>75</v>
      </c>
    </row>
    <row r="266" spans="1:9" x14ac:dyDescent="0.3">
      <c r="A266" s="28">
        <v>46164</v>
      </c>
      <c r="B266" s="1">
        <v>34</v>
      </c>
      <c r="C266" s="24" t="s">
        <v>107</v>
      </c>
      <c r="D266" s="55" t="s">
        <v>47</v>
      </c>
      <c r="E266" s="55" t="s">
        <v>60</v>
      </c>
      <c r="F266" s="33" t="str">
        <f>IFERROR(VLOOKUP(TRIM(E266),ACTIVIDADES!$A$1:$D$17,2,FALSE),"NO ENCONTRADO")</f>
        <v>MANEJO DE SOMBRA</v>
      </c>
      <c r="G266" s="63">
        <v>1</v>
      </c>
      <c r="H266" s="38">
        <f>IFERROR(VLOOKUP(TRIM(E266),ACTIVIDADES!$A$1:$D$17,4,FALSE),"")</f>
        <v>75</v>
      </c>
      <c r="I266" s="35">
        <f t="shared" si="4"/>
        <v>75</v>
      </c>
    </row>
    <row r="267" spans="1:9" x14ac:dyDescent="0.3">
      <c r="A267" s="28">
        <v>46164</v>
      </c>
      <c r="B267" s="1">
        <v>35</v>
      </c>
      <c r="C267" s="24" t="s">
        <v>108</v>
      </c>
      <c r="D267" s="55" t="s">
        <v>47</v>
      </c>
      <c r="E267" s="55" t="s">
        <v>60</v>
      </c>
      <c r="F267" s="33" t="str">
        <f>IFERROR(VLOOKUP(TRIM(E267),ACTIVIDADES!$A$1:$D$17,2,FALSE),"NO ENCONTRADO")</f>
        <v>MANEJO DE SOMBRA</v>
      </c>
      <c r="G267" s="63">
        <v>1</v>
      </c>
      <c r="H267" s="38">
        <f>IFERROR(VLOOKUP(TRIM(E267),ACTIVIDADES!$A$1:$D$17,4,FALSE),"")</f>
        <v>75</v>
      </c>
      <c r="I267" s="35">
        <f t="shared" si="4"/>
        <v>75</v>
      </c>
    </row>
    <row r="268" spans="1:9" x14ac:dyDescent="0.3">
      <c r="A268" s="28">
        <v>46164</v>
      </c>
      <c r="B268" s="1">
        <v>36</v>
      </c>
      <c r="C268" s="24" t="s">
        <v>109</v>
      </c>
      <c r="D268" s="55" t="s">
        <v>47</v>
      </c>
      <c r="E268" s="55" t="s">
        <v>60</v>
      </c>
      <c r="F268" s="33" t="str">
        <f>IFERROR(VLOOKUP(TRIM(E268),ACTIVIDADES!$A$1:$D$17,2,FALSE),"NO ENCONTRADO")</f>
        <v>MANEJO DE SOMBRA</v>
      </c>
      <c r="G268" s="63">
        <v>1</v>
      </c>
      <c r="H268" s="38">
        <f>IFERROR(VLOOKUP(TRIM(E268),ACTIVIDADES!$A$1:$D$17,4,FALSE),"")</f>
        <v>75</v>
      </c>
      <c r="I268" s="35">
        <f t="shared" si="4"/>
        <v>75</v>
      </c>
    </row>
    <row r="269" spans="1:9" x14ac:dyDescent="0.3">
      <c r="A269" s="28">
        <v>46164</v>
      </c>
      <c r="B269" s="1">
        <v>37</v>
      </c>
      <c r="C269" s="53" t="s">
        <v>42</v>
      </c>
      <c r="D269" s="55" t="s">
        <v>47</v>
      </c>
      <c r="E269" s="55" t="s">
        <v>60</v>
      </c>
      <c r="F269" s="33" t="str">
        <f>IFERROR(VLOOKUP(TRIM(E269),ACTIVIDADES!$A$1:$D$17,2,FALSE),"NO ENCONTRADO")</f>
        <v>MANEJO DE SOMBRA</v>
      </c>
      <c r="G269" s="63">
        <v>1</v>
      </c>
      <c r="H269" s="38">
        <f>IFERROR(VLOOKUP(TRIM(E269),ACTIVIDADES!$A$1:$D$17,4,FALSE),"")</f>
        <v>75</v>
      </c>
      <c r="I269" s="35">
        <f t="shared" si="4"/>
        <v>75</v>
      </c>
    </row>
    <row r="270" spans="1:9" x14ac:dyDescent="0.3">
      <c r="A270" s="28">
        <v>46164</v>
      </c>
      <c r="B270" s="1">
        <v>38</v>
      </c>
      <c r="C270" s="55" t="s">
        <v>43</v>
      </c>
      <c r="D270" s="55" t="s">
        <v>47</v>
      </c>
      <c r="E270" s="55" t="s">
        <v>60</v>
      </c>
      <c r="F270" s="33" t="str">
        <f>IFERROR(VLOOKUP(TRIM(E270),ACTIVIDADES!$A$1:$D$17,2,FALSE),"NO ENCONTRADO")</f>
        <v>MANEJO DE SOMBRA</v>
      </c>
      <c r="G270" s="63">
        <v>1</v>
      </c>
      <c r="H270" s="38">
        <f>IFERROR(VLOOKUP(TRIM(E270),ACTIVIDADES!$A$1:$D$17,4,FALSE),"")</f>
        <v>75</v>
      </c>
      <c r="I270" s="35">
        <f t="shared" si="4"/>
        <v>75</v>
      </c>
    </row>
    <row r="271" spans="1:9" x14ac:dyDescent="0.3">
      <c r="A271" s="28">
        <v>46164</v>
      </c>
      <c r="B271" s="1">
        <v>39</v>
      </c>
      <c r="C271" s="24" t="s">
        <v>44</v>
      </c>
      <c r="D271" s="53" t="s">
        <v>46</v>
      </c>
      <c r="E271" s="53" t="s">
        <v>75</v>
      </c>
      <c r="F271" s="33" t="str">
        <f>IFERROR(VLOOKUP(TRIM(E271),ACTIVIDADES!$A$1:$D$17,2,FALSE),"NO ENCONTRADO")</f>
        <v>TRAZADO PARA SIEMBRA</v>
      </c>
      <c r="G271" s="63">
        <v>1</v>
      </c>
      <c r="H271" s="38">
        <f>IFERROR(VLOOKUP(TRIM(E271),ACTIVIDADES!$A$1:$D$17,4,FALSE),"")</f>
        <v>75</v>
      </c>
      <c r="I271" s="35">
        <f t="shared" si="4"/>
        <v>75</v>
      </c>
    </row>
    <row r="272" spans="1:9" x14ac:dyDescent="0.3">
      <c r="A272" s="28">
        <v>46165</v>
      </c>
      <c r="B272" s="1">
        <v>1</v>
      </c>
      <c r="C272" s="40" t="s">
        <v>6</v>
      </c>
      <c r="D272" s="1" t="s">
        <v>49</v>
      </c>
      <c r="E272" s="1" t="s">
        <v>49</v>
      </c>
      <c r="F272" s="33" t="str">
        <f>IFERROR(VLOOKUP(TRIM(E272),ACTIVIDADES!$A$1:$D$17,2,FALSE),"NO ENCONTRADO")</f>
        <v>CAPORAL</v>
      </c>
      <c r="G272" s="63">
        <v>1</v>
      </c>
      <c r="H272" s="38">
        <f>IFERROR(VLOOKUP(TRIM(E272),ACTIVIDADES!$A$1:$D$17,4,FALSE),"")</f>
        <v>100</v>
      </c>
      <c r="I272" s="35">
        <f t="shared" si="4"/>
        <v>100</v>
      </c>
    </row>
    <row r="273" spans="1:9" x14ac:dyDescent="0.3">
      <c r="A273" s="28">
        <v>46165</v>
      </c>
      <c r="B273" s="1">
        <v>2</v>
      </c>
      <c r="C273" s="29" t="s">
        <v>10</v>
      </c>
      <c r="D273" s="1" t="s">
        <v>49</v>
      </c>
      <c r="E273" s="1" t="s">
        <v>49</v>
      </c>
      <c r="F273" s="33" t="str">
        <f>IFERROR(VLOOKUP(TRIM(E273),ACTIVIDADES!$A$1:$D$17,2,FALSE),"NO ENCONTRADO")</f>
        <v>CAPORAL</v>
      </c>
      <c r="G273" s="63">
        <v>1</v>
      </c>
      <c r="H273" s="38">
        <f>IFERROR(VLOOKUP(TRIM(E273),ACTIVIDADES!$A$1:$D$17,4,FALSE),"")</f>
        <v>100</v>
      </c>
      <c r="I273" s="35">
        <f t="shared" si="4"/>
        <v>100</v>
      </c>
    </row>
    <row r="274" spans="1:9" x14ac:dyDescent="0.3">
      <c r="A274" s="28">
        <v>46165</v>
      </c>
      <c r="B274" s="1">
        <v>3</v>
      </c>
      <c r="C274" s="29" t="s">
        <v>22</v>
      </c>
      <c r="D274" s="53" t="s">
        <v>49</v>
      </c>
      <c r="E274" s="53" t="s">
        <v>49</v>
      </c>
      <c r="F274" s="33" t="str">
        <f>IFERROR(VLOOKUP(TRIM(E274),ACTIVIDADES!$A$1:$D$17,2,FALSE),"NO ENCONTRADO")</f>
        <v>CAPORAL</v>
      </c>
      <c r="G274" s="63">
        <v>1</v>
      </c>
      <c r="H274" s="38">
        <f>IFERROR(VLOOKUP(TRIM(E274),ACTIVIDADES!$A$1:$D$17,4,FALSE),"")</f>
        <v>100</v>
      </c>
      <c r="I274" s="35">
        <f t="shared" si="4"/>
        <v>100</v>
      </c>
    </row>
    <row r="275" spans="1:9" x14ac:dyDescent="0.3">
      <c r="A275" s="28">
        <v>46165</v>
      </c>
      <c r="B275" s="1">
        <v>4</v>
      </c>
      <c r="C275" s="40" t="s">
        <v>36</v>
      </c>
      <c r="D275" s="53" t="s">
        <v>150</v>
      </c>
      <c r="E275" s="47" t="s">
        <v>149</v>
      </c>
      <c r="F275" s="33" t="str">
        <f>IFERROR(VLOOKUP(TRIM(E275),ACTIVIDADES!$A$1:$D$17,2,FALSE),"NO ENCONTRADO")</f>
        <v>HACIENDA</v>
      </c>
      <c r="G275" s="63">
        <v>1</v>
      </c>
      <c r="H275" s="38">
        <f>IFERROR(VLOOKUP(TRIM(E275),ACTIVIDADES!$A$1:$D$17,4,FALSE),"")</f>
        <v>65</v>
      </c>
      <c r="I275" s="35">
        <f t="shared" si="4"/>
        <v>65</v>
      </c>
    </row>
    <row r="276" spans="1:9" x14ac:dyDescent="0.3">
      <c r="A276" s="28">
        <v>46165</v>
      </c>
      <c r="B276" s="1">
        <v>5</v>
      </c>
      <c r="C276" s="29" t="s">
        <v>38</v>
      </c>
      <c r="D276" s="47" t="s">
        <v>150</v>
      </c>
      <c r="E276" s="47" t="s">
        <v>149</v>
      </c>
      <c r="F276" s="33" t="str">
        <f>IFERROR(VLOOKUP(TRIM(E276),ACTIVIDADES!$A$1:$D$17,2,FALSE),"NO ENCONTRADO")</f>
        <v>HACIENDA</v>
      </c>
      <c r="G276" s="63">
        <v>1</v>
      </c>
      <c r="H276" s="38">
        <f>IFERROR(VLOOKUP(TRIM(E276),ACTIVIDADES!$A$1:$D$17,4,FALSE),"")</f>
        <v>65</v>
      </c>
      <c r="I276" s="35">
        <f t="shared" si="4"/>
        <v>65</v>
      </c>
    </row>
    <row r="277" spans="1:9" x14ac:dyDescent="0.3">
      <c r="A277" s="28">
        <v>46165</v>
      </c>
      <c r="B277" s="1">
        <v>6</v>
      </c>
      <c r="C277" s="24" t="s">
        <v>11</v>
      </c>
      <c r="D277" s="55" t="s">
        <v>47</v>
      </c>
      <c r="E277" s="53" t="s">
        <v>60</v>
      </c>
      <c r="F277" s="33" t="str">
        <f>IFERROR(VLOOKUP(TRIM(E277),ACTIVIDADES!$A$1:$D$17,2,FALSE),"NO ENCONTRADO")</f>
        <v>MANEJO DE SOMBRA</v>
      </c>
      <c r="G277" s="63">
        <v>1</v>
      </c>
      <c r="H277" s="38">
        <f>IFERROR(VLOOKUP(TRIM(E277),ACTIVIDADES!$A$1:$D$17,4,FALSE),"")</f>
        <v>75</v>
      </c>
      <c r="I277" s="35">
        <f t="shared" si="4"/>
        <v>75</v>
      </c>
    </row>
    <row r="278" spans="1:9" x14ac:dyDescent="0.3">
      <c r="A278" s="28">
        <v>46165</v>
      </c>
      <c r="B278" s="1">
        <v>7</v>
      </c>
      <c r="C278" s="54" t="s">
        <v>12</v>
      </c>
      <c r="D278" s="55" t="s">
        <v>47</v>
      </c>
      <c r="E278" s="55" t="s">
        <v>60</v>
      </c>
      <c r="F278" s="33" t="str">
        <f>IFERROR(VLOOKUP(TRIM(E278),ACTIVIDADES!$A$1:$D$17,2,FALSE),"NO ENCONTRADO")</f>
        <v>MANEJO DE SOMBRA</v>
      </c>
      <c r="G278" s="63">
        <v>1</v>
      </c>
      <c r="H278" s="38">
        <f>IFERROR(VLOOKUP(TRIM(E278),ACTIVIDADES!$A$1:$D$17,4,FALSE),"")</f>
        <v>75</v>
      </c>
      <c r="I278" s="35">
        <f t="shared" si="4"/>
        <v>75</v>
      </c>
    </row>
    <row r="279" spans="1:9" x14ac:dyDescent="0.3">
      <c r="A279" s="28">
        <v>46165</v>
      </c>
      <c r="B279" s="1">
        <v>9</v>
      </c>
      <c r="C279" s="55" t="s">
        <v>82</v>
      </c>
      <c r="D279" s="55" t="s">
        <v>47</v>
      </c>
      <c r="E279" s="53" t="s">
        <v>60</v>
      </c>
      <c r="F279" s="33" t="str">
        <f>IFERROR(VLOOKUP(TRIM(E279),ACTIVIDADES!$A$1:$D$17,2,FALSE),"NO ENCONTRADO")</f>
        <v>MANEJO DE SOMBRA</v>
      </c>
      <c r="G279" s="63">
        <v>1</v>
      </c>
      <c r="H279" s="38">
        <f>IFERROR(VLOOKUP(TRIM(E279),ACTIVIDADES!$A$1:$D$17,4,FALSE),"")</f>
        <v>75</v>
      </c>
      <c r="I279" s="35">
        <f t="shared" si="4"/>
        <v>75</v>
      </c>
    </row>
    <row r="280" spans="1:9" x14ac:dyDescent="0.3">
      <c r="A280" s="28">
        <v>46165</v>
      </c>
      <c r="B280" s="1">
        <v>10</v>
      </c>
      <c r="C280" s="40" t="s">
        <v>14</v>
      </c>
      <c r="D280" s="55" t="s">
        <v>55</v>
      </c>
      <c r="E280" s="53" t="s">
        <v>116</v>
      </c>
      <c r="F280" s="33" t="str">
        <f>IFERROR(VLOOKUP(TRIM(E280),ACTIVIDADES!$A$1:$D$17,2,FALSE),"NO ENCONTRADO")</f>
        <v>APLICACION DE FUNGICIDA</v>
      </c>
      <c r="G280" s="63">
        <v>1</v>
      </c>
      <c r="H280" s="38">
        <f>IFERROR(VLOOKUP(TRIM(E280),ACTIVIDADES!$A$1:$D$17,4,FALSE),"")</f>
        <v>75</v>
      </c>
      <c r="I280" s="35">
        <f t="shared" si="4"/>
        <v>75</v>
      </c>
    </row>
    <row r="281" spans="1:9" x14ac:dyDescent="0.3">
      <c r="A281" s="28">
        <v>46165</v>
      </c>
      <c r="B281" s="1">
        <v>12</v>
      </c>
      <c r="C281" s="24" t="s">
        <v>85</v>
      </c>
      <c r="D281" s="55" t="s">
        <v>47</v>
      </c>
      <c r="E281" s="53" t="s">
        <v>60</v>
      </c>
      <c r="F281" s="33" t="str">
        <f>IFERROR(VLOOKUP(TRIM(E281),ACTIVIDADES!$A$1:$D$17,2,FALSE),"NO ENCONTRADO")</f>
        <v>MANEJO DE SOMBRA</v>
      </c>
      <c r="G281" s="63">
        <v>1</v>
      </c>
      <c r="H281" s="38">
        <f>IFERROR(VLOOKUP(TRIM(E281),ACTIVIDADES!$A$1:$D$17,4,FALSE),"")</f>
        <v>75</v>
      </c>
      <c r="I281" s="35">
        <f t="shared" si="4"/>
        <v>75</v>
      </c>
    </row>
    <row r="282" spans="1:9" x14ac:dyDescent="0.3">
      <c r="A282" s="28">
        <v>46165</v>
      </c>
      <c r="B282" s="1">
        <v>13</v>
      </c>
      <c r="C282" s="24" t="s">
        <v>17</v>
      </c>
      <c r="D282" s="55" t="s">
        <v>47</v>
      </c>
      <c r="E282" s="55" t="s">
        <v>60</v>
      </c>
      <c r="F282" s="33" t="str">
        <f>IFERROR(VLOOKUP(TRIM(E282),ACTIVIDADES!$A$1:$D$17,2,FALSE),"NO ENCONTRADO")</f>
        <v>MANEJO DE SOMBRA</v>
      </c>
      <c r="G282" s="63">
        <v>1</v>
      </c>
      <c r="H282" s="38">
        <f>IFERROR(VLOOKUP(TRIM(E282),ACTIVIDADES!$A$1:$D$17,4,FALSE),"")</f>
        <v>75</v>
      </c>
      <c r="I282" s="35">
        <f t="shared" si="4"/>
        <v>75</v>
      </c>
    </row>
    <row r="283" spans="1:9" x14ac:dyDescent="0.3">
      <c r="A283" s="28">
        <v>46165</v>
      </c>
      <c r="B283" s="1">
        <v>16</v>
      </c>
      <c r="C283" s="40" t="s">
        <v>20</v>
      </c>
      <c r="D283" s="55" t="s">
        <v>47</v>
      </c>
      <c r="E283" s="55" t="s">
        <v>60</v>
      </c>
      <c r="F283" s="33" t="str">
        <f>IFERROR(VLOOKUP(TRIM(E283),ACTIVIDADES!$A$1:$D$17,2,FALSE),"NO ENCONTRADO")</f>
        <v>MANEJO DE SOMBRA</v>
      </c>
      <c r="G283" s="63">
        <v>1</v>
      </c>
      <c r="H283" s="38">
        <f>IFERROR(VLOOKUP(TRIM(E283),ACTIVIDADES!$A$1:$D$17,4,FALSE),"")</f>
        <v>75</v>
      </c>
      <c r="I283" s="35">
        <f t="shared" si="4"/>
        <v>75</v>
      </c>
    </row>
    <row r="284" spans="1:9" x14ac:dyDescent="0.3">
      <c r="A284" s="28">
        <v>46165</v>
      </c>
      <c r="B284" s="1">
        <v>17</v>
      </c>
      <c r="C284" s="24" t="s">
        <v>90</v>
      </c>
      <c r="D284" s="55" t="s">
        <v>55</v>
      </c>
      <c r="E284" s="53" t="s">
        <v>116</v>
      </c>
      <c r="F284" s="33" t="str">
        <f>IFERROR(VLOOKUP(TRIM(E284),ACTIVIDADES!$A$1:$D$17,2,FALSE),"NO ENCONTRADO")</f>
        <v>APLICACION DE FUNGICIDA</v>
      </c>
      <c r="G284" s="63">
        <v>1</v>
      </c>
      <c r="H284" s="38">
        <f>IFERROR(VLOOKUP(TRIM(E284),ACTIVIDADES!$A$1:$D$17,4,FALSE),"")</f>
        <v>75</v>
      </c>
      <c r="I284" s="35">
        <f t="shared" si="4"/>
        <v>75</v>
      </c>
    </row>
    <row r="285" spans="1:9" x14ac:dyDescent="0.3">
      <c r="A285" s="28">
        <v>46165</v>
      </c>
      <c r="B285" s="1">
        <v>18</v>
      </c>
      <c r="C285" s="24" t="s">
        <v>91</v>
      </c>
      <c r="D285" s="55" t="s">
        <v>47</v>
      </c>
      <c r="E285" s="53" t="s">
        <v>60</v>
      </c>
      <c r="F285" s="33" t="str">
        <f>IFERROR(VLOOKUP(TRIM(E285),ACTIVIDADES!$A$1:$D$17,2,FALSE),"NO ENCONTRADO")</f>
        <v>MANEJO DE SOMBRA</v>
      </c>
      <c r="G285" s="63">
        <v>1</v>
      </c>
      <c r="H285" s="38">
        <f>IFERROR(VLOOKUP(TRIM(E285),ACTIVIDADES!$A$1:$D$17,4,FALSE),"")</f>
        <v>75</v>
      </c>
      <c r="I285" s="35">
        <f t="shared" si="4"/>
        <v>75</v>
      </c>
    </row>
    <row r="286" spans="1:9" x14ac:dyDescent="0.3">
      <c r="A286" s="28">
        <v>46165</v>
      </c>
      <c r="B286" s="1">
        <v>21</v>
      </c>
      <c r="C286" s="24" t="s">
        <v>25</v>
      </c>
      <c r="D286" s="55" t="s">
        <v>47</v>
      </c>
      <c r="E286" s="55" t="s">
        <v>60</v>
      </c>
      <c r="F286" s="33" t="str">
        <f>IFERROR(VLOOKUP(TRIM(E286),ACTIVIDADES!$A$1:$D$17,2,FALSE),"NO ENCONTRADO")</f>
        <v>MANEJO DE SOMBRA</v>
      </c>
      <c r="G286" s="63">
        <v>1</v>
      </c>
      <c r="H286" s="38">
        <f>IFERROR(VLOOKUP(TRIM(E286),ACTIVIDADES!$A$1:$D$17,4,FALSE),"")</f>
        <v>75</v>
      </c>
      <c r="I286" s="35">
        <f t="shared" si="4"/>
        <v>75</v>
      </c>
    </row>
    <row r="287" spans="1:9" x14ac:dyDescent="0.3">
      <c r="A287" s="28">
        <v>46165</v>
      </c>
      <c r="B287" s="1">
        <v>22</v>
      </c>
      <c r="C287" s="29" t="s">
        <v>26</v>
      </c>
      <c r="D287" s="55" t="s">
        <v>47</v>
      </c>
      <c r="E287" s="55" t="s">
        <v>60</v>
      </c>
      <c r="F287" s="33" t="str">
        <f>IFERROR(VLOOKUP(TRIM(E287),ACTIVIDADES!$A$1:$D$17,2,FALSE),"NO ENCONTRADO")</f>
        <v>MANEJO DE SOMBRA</v>
      </c>
      <c r="G287" s="63">
        <v>1</v>
      </c>
      <c r="H287" s="38">
        <f>IFERROR(VLOOKUP(TRIM(E287),ACTIVIDADES!$A$1:$D$17,4,FALSE),"")</f>
        <v>75</v>
      </c>
      <c r="I287" s="35">
        <f t="shared" si="4"/>
        <v>75</v>
      </c>
    </row>
    <row r="288" spans="1:9" x14ac:dyDescent="0.3">
      <c r="A288" s="28">
        <v>46165</v>
      </c>
      <c r="B288" s="1">
        <v>23</v>
      </c>
      <c r="C288" s="24" t="s">
        <v>27</v>
      </c>
      <c r="D288" s="55" t="s">
        <v>47</v>
      </c>
      <c r="E288" s="55" t="s">
        <v>60</v>
      </c>
      <c r="F288" s="33" t="str">
        <f>IFERROR(VLOOKUP(TRIM(E288),ACTIVIDADES!$A$1:$D$17,2,FALSE),"NO ENCONTRADO")</f>
        <v>MANEJO DE SOMBRA</v>
      </c>
      <c r="G288" s="63">
        <v>1</v>
      </c>
      <c r="H288" s="38">
        <f>IFERROR(VLOOKUP(TRIM(E288),ACTIVIDADES!$A$1:$D$17,4,FALSE),"")</f>
        <v>75</v>
      </c>
      <c r="I288" s="35">
        <f t="shared" si="4"/>
        <v>75</v>
      </c>
    </row>
    <row r="289" spans="1:9" x14ac:dyDescent="0.3">
      <c r="A289" s="28">
        <v>46165</v>
      </c>
      <c r="B289" s="1">
        <v>24</v>
      </c>
      <c r="C289" s="24" t="s">
        <v>96</v>
      </c>
      <c r="D289" s="55" t="s">
        <v>47</v>
      </c>
      <c r="E289" s="55" t="s">
        <v>60</v>
      </c>
      <c r="F289" s="33" t="str">
        <f>IFERROR(VLOOKUP(TRIM(E289),ACTIVIDADES!$A$1:$D$17,2,FALSE),"NO ENCONTRADO")</f>
        <v>MANEJO DE SOMBRA</v>
      </c>
      <c r="G289" s="63">
        <v>1</v>
      </c>
      <c r="H289" s="38">
        <f>IFERROR(VLOOKUP(TRIM(E289),ACTIVIDADES!$A$1:$D$17,4,FALSE),"")</f>
        <v>75</v>
      </c>
      <c r="I289" s="35">
        <f t="shared" si="4"/>
        <v>75</v>
      </c>
    </row>
    <row r="290" spans="1:9" x14ac:dyDescent="0.3">
      <c r="A290" s="28">
        <v>46165</v>
      </c>
      <c r="B290" s="1">
        <v>25</v>
      </c>
      <c r="C290" s="24" t="s">
        <v>29</v>
      </c>
      <c r="D290" s="55" t="s">
        <v>47</v>
      </c>
      <c r="E290" s="55" t="s">
        <v>60</v>
      </c>
      <c r="F290" s="33" t="str">
        <f>IFERROR(VLOOKUP(TRIM(E290),ACTIVIDADES!$A$1:$D$17,2,FALSE),"NO ENCONTRADO")</f>
        <v>MANEJO DE SOMBRA</v>
      </c>
      <c r="G290" s="63">
        <v>1</v>
      </c>
      <c r="H290" s="38">
        <f>IFERROR(VLOOKUP(TRIM(E290),ACTIVIDADES!$A$1:$D$17,4,FALSE),"")</f>
        <v>75</v>
      </c>
      <c r="I290" s="35">
        <f t="shared" si="4"/>
        <v>75</v>
      </c>
    </row>
    <row r="291" spans="1:9" x14ac:dyDescent="0.3">
      <c r="A291" s="28">
        <v>46165</v>
      </c>
      <c r="B291" s="1">
        <v>27</v>
      </c>
      <c r="C291" s="24" t="s">
        <v>99</v>
      </c>
      <c r="D291" s="55" t="s">
        <v>47</v>
      </c>
      <c r="E291" s="55" t="s">
        <v>60</v>
      </c>
      <c r="F291" s="33" t="str">
        <f>IFERROR(VLOOKUP(TRIM(E291),ACTIVIDADES!$A$1:$D$17,2,FALSE),"NO ENCONTRADO")</f>
        <v>MANEJO DE SOMBRA</v>
      </c>
      <c r="G291" s="63">
        <v>1</v>
      </c>
      <c r="H291" s="38">
        <f>IFERROR(VLOOKUP(TRIM(E291),ACTIVIDADES!$A$1:$D$17,4,FALSE),"")</f>
        <v>75</v>
      </c>
      <c r="I291" s="35">
        <f t="shared" si="4"/>
        <v>75</v>
      </c>
    </row>
    <row r="292" spans="1:9" x14ac:dyDescent="0.3">
      <c r="A292" s="28">
        <v>46165</v>
      </c>
      <c r="B292" s="1">
        <v>28</v>
      </c>
      <c r="C292" s="24" t="s">
        <v>33</v>
      </c>
      <c r="D292" s="55" t="s">
        <v>47</v>
      </c>
      <c r="E292" s="55" t="s">
        <v>60</v>
      </c>
      <c r="F292" s="33" t="str">
        <f>IFERROR(VLOOKUP(TRIM(E292),ACTIVIDADES!$A$1:$D$17,2,FALSE),"NO ENCONTRADO")</f>
        <v>MANEJO DE SOMBRA</v>
      </c>
      <c r="G292" s="63">
        <v>1</v>
      </c>
      <c r="H292" s="38">
        <f>IFERROR(VLOOKUP(TRIM(E292),ACTIVIDADES!$A$1:$D$17,4,FALSE),"")</f>
        <v>75</v>
      </c>
      <c r="I292" s="35">
        <f t="shared" si="4"/>
        <v>75</v>
      </c>
    </row>
    <row r="293" spans="1:9" x14ac:dyDescent="0.3">
      <c r="A293" s="28">
        <v>46165</v>
      </c>
      <c r="B293" s="1">
        <v>29</v>
      </c>
      <c r="C293" s="24" t="s">
        <v>102</v>
      </c>
      <c r="D293" s="55" t="s">
        <v>47</v>
      </c>
      <c r="E293" s="55" t="s">
        <v>60</v>
      </c>
      <c r="F293" s="33" t="str">
        <f>IFERROR(VLOOKUP(TRIM(E293),ACTIVIDADES!$A$1:$D$17,2,FALSE),"NO ENCONTRADO")</f>
        <v>MANEJO DE SOMBRA</v>
      </c>
      <c r="G293" s="63">
        <v>1</v>
      </c>
      <c r="H293" s="38">
        <f>IFERROR(VLOOKUP(TRIM(E293),ACTIVIDADES!$A$1:$D$17,4,FALSE),"")</f>
        <v>75</v>
      </c>
      <c r="I293" s="35">
        <f t="shared" si="4"/>
        <v>75</v>
      </c>
    </row>
    <row r="294" spans="1:9" x14ac:dyDescent="0.3">
      <c r="A294" s="28">
        <v>46165</v>
      </c>
      <c r="B294" s="1">
        <v>30</v>
      </c>
      <c r="C294" s="24" t="s">
        <v>35</v>
      </c>
      <c r="D294" s="55" t="s">
        <v>47</v>
      </c>
      <c r="E294" s="55" t="s">
        <v>60</v>
      </c>
      <c r="F294" s="33" t="str">
        <f>IFERROR(VLOOKUP(TRIM(E294),ACTIVIDADES!$A$1:$D$17,2,FALSE),"NO ENCONTRADO")</f>
        <v>MANEJO DE SOMBRA</v>
      </c>
      <c r="G294" s="63">
        <v>1</v>
      </c>
      <c r="H294" s="38">
        <f>IFERROR(VLOOKUP(TRIM(E294),ACTIVIDADES!$A$1:$D$17,4,FALSE),"")</f>
        <v>75</v>
      </c>
      <c r="I294" s="35">
        <f t="shared" si="4"/>
        <v>75</v>
      </c>
    </row>
    <row r="295" spans="1:9" x14ac:dyDescent="0.3">
      <c r="A295" s="28">
        <v>46165</v>
      </c>
      <c r="B295" s="1">
        <v>31</v>
      </c>
      <c r="C295" s="24" t="s">
        <v>9</v>
      </c>
      <c r="D295" s="55" t="s">
        <v>47</v>
      </c>
      <c r="E295" s="55" t="s">
        <v>60</v>
      </c>
      <c r="F295" s="33" t="str">
        <f>IFERROR(VLOOKUP(TRIM(E295),ACTIVIDADES!$A$1:$D$17,2,FALSE),"NO ENCONTRADO")</f>
        <v>MANEJO DE SOMBRA</v>
      </c>
      <c r="G295" s="63">
        <v>1</v>
      </c>
      <c r="H295" s="38">
        <f>IFERROR(VLOOKUP(TRIM(E295),ACTIVIDADES!$A$1:$D$17,4,FALSE),"")</f>
        <v>75</v>
      </c>
      <c r="I295" s="35">
        <f t="shared" si="4"/>
        <v>75</v>
      </c>
    </row>
    <row r="296" spans="1:9" x14ac:dyDescent="0.3">
      <c r="A296" s="28">
        <v>46165</v>
      </c>
      <c r="B296" s="1">
        <v>32</v>
      </c>
      <c r="C296" s="55" t="s">
        <v>37</v>
      </c>
      <c r="D296" s="55" t="s">
        <v>47</v>
      </c>
      <c r="E296" s="55" t="s">
        <v>60</v>
      </c>
      <c r="F296" s="33" t="str">
        <f>IFERROR(VLOOKUP(TRIM(E296),ACTIVIDADES!$A$1:$D$17,2,FALSE),"NO ENCONTRADO")</f>
        <v>MANEJO DE SOMBRA</v>
      </c>
      <c r="G296" s="63">
        <v>1</v>
      </c>
      <c r="H296" s="38">
        <f>IFERROR(VLOOKUP(TRIM(E296),ACTIVIDADES!$A$1:$D$17,4,FALSE),"")</f>
        <v>75</v>
      </c>
      <c r="I296" s="35">
        <f t="shared" si="4"/>
        <v>75</v>
      </c>
    </row>
    <row r="297" spans="1:9" x14ac:dyDescent="0.3">
      <c r="A297" s="28">
        <v>46165</v>
      </c>
      <c r="B297" s="1">
        <v>33</v>
      </c>
      <c r="C297" s="24" t="s">
        <v>7</v>
      </c>
      <c r="D297" s="55" t="s">
        <v>47</v>
      </c>
      <c r="E297" s="55" t="s">
        <v>60</v>
      </c>
      <c r="F297" s="33" t="str">
        <f>IFERROR(VLOOKUP(TRIM(E297),ACTIVIDADES!$A$1:$D$17,2,FALSE),"NO ENCONTRADO")</f>
        <v>MANEJO DE SOMBRA</v>
      </c>
      <c r="G297" s="63">
        <v>1</v>
      </c>
      <c r="H297" s="38">
        <f>IFERROR(VLOOKUP(TRIM(E297),ACTIVIDADES!$A$1:$D$17,4,FALSE),"")</f>
        <v>75</v>
      </c>
      <c r="I297" s="35">
        <f t="shared" si="4"/>
        <v>75</v>
      </c>
    </row>
    <row r="298" spans="1:9" x14ac:dyDescent="0.3">
      <c r="A298" s="28">
        <v>46165</v>
      </c>
      <c r="B298" s="1">
        <v>34</v>
      </c>
      <c r="C298" s="24" t="s">
        <v>107</v>
      </c>
      <c r="D298" s="55" t="s">
        <v>47</v>
      </c>
      <c r="E298" s="55" t="s">
        <v>60</v>
      </c>
      <c r="F298" s="33" t="str">
        <f>IFERROR(VLOOKUP(TRIM(E298),ACTIVIDADES!$A$1:$D$17,2,FALSE),"NO ENCONTRADO")</f>
        <v>MANEJO DE SOMBRA</v>
      </c>
      <c r="G298" s="63">
        <v>1</v>
      </c>
      <c r="H298" s="38">
        <f>IFERROR(VLOOKUP(TRIM(E298),ACTIVIDADES!$A$1:$D$17,4,FALSE),"")</f>
        <v>75</v>
      </c>
      <c r="I298" s="35">
        <f t="shared" si="4"/>
        <v>75</v>
      </c>
    </row>
    <row r="299" spans="1:9" x14ac:dyDescent="0.3">
      <c r="A299" s="28">
        <v>46165</v>
      </c>
      <c r="B299" s="1">
        <v>35</v>
      </c>
      <c r="C299" s="24" t="s">
        <v>108</v>
      </c>
      <c r="D299" s="55" t="s">
        <v>47</v>
      </c>
      <c r="E299" s="55" t="s">
        <v>60</v>
      </c>
      <c r="F299" s="33" t="str">
        <f>IFERROR(VLOOKUP(TRIM(E299),ACTIVIDADES!$A$1:$D$17,2,FALSE),"NO ENCONTRADO")</f>
        <v>MANEJO DE SOMBRA</v>
      </c>
      <c r="G299" s="63">
        <v>1</v>
      </c>
      <c r="H299" s="38">
        <f>IFERROR(VLOOKUP(TRIM(E299),ACTIVIDADES!$A$1:$D$17,4,FALSE),"")</f>
        <v>75</v>
      </c>
      <c r="I299" s="35">
        <f t="shared" si="4"/>
        <v>75</v>
      </c>
    </row>
    <row r="300" spans="1:9" x14ac:dyDescent="0.3">
      <c r="A300" s="28">
        <v>46165</v>
      </c>
      <c r="B300" s="1">
        <v>36</v>
      </c>
      <c r="C300" s="24" t="s">
        <v>109</v>
      </c>
      <c r="D300" s="55" t="s">
        <v>47</v>
      </c>
      <c r="E300" s="55" t="s">
        <v>60</v>
      </c>
      <c r="F300" s="33" t="str">
        <f>IFERROR(VLOOKUP(TRIM(E300),ACTIVIDADES!$A$1:$D$17,2,FALSE),"NO ENCONTRADO")</f>
        <v>MANEJO DE SOMBRA</v>
      </c>
      <c r="G300" s="63">
        <v>1</v>
      </c>
      <c r="H300" s="38">
        <f>IFERROR(VLOOKUP(TRIM(E300),ACTIVIDADES!$A$1:$D$17,4,FALSE),"")</f>
        <v>75</v>
      </c>
      <c r="I300" s="35">
        <f t="shared" si="4"/>
        <v>75</v>
      </c>
    </row>
    <row r="301" spans="1:9" x14ac:dyDescent="0.3">
      <c r="A301" s="28">
        <v>46165</v>
      </c>
      <c r="B301" s="1">
        <v>37</v>
      </c>
      <c r="C301" s="53" t="s">
        <v>42</v>
      </c>
      <c r="D301" s="55" t="s">
        <v>47</v>
      </c>
      <c r="E301" s="55" t="s">
        <v>60</v>
      </c>
      <c r="F301" s="33" t="str">
        <f>IFERROR(VLOOKUP(TRIM(E301),ACTIVIDADES!$A$1:$D$17,2,FALSE),"NO ENCONTRADO")</f>
        <v>MANEJO DE SOMBRA</v>
      </c>
      <c r="G301" s="63">
        <v>1</v>
      </c>
      <c r="H301" s="38">
        <f>IFERROR(VLOOKUP(TRIM(E301),ACTIVIDADES!$A$1:$D$17,4,FALSE),"")</f>
        <v>75</v>
      </c>
      <c r="I301" s="35">
        <f t="shared" si="4"/>
        <v>75</v>
      </c>
    </row>
    <row r="302" spans="1:9" x14ac:dyDescent="0.3">
      <c r="A302" s="28">
        <v>46165</v>
      </c>
      <c r="B302" s="1">
        <v>38</v>
      </c>
      <c r="C302" s="55" t="s">
        <v>43</v>
      </c>
      <c r="D302" s="55" t="s">
        <v>47</v>
      </c>
      <c r="E302" s="55" t="s">
        <v>60</v>
      </c>
      <c r="F302" s="33" t="str">
        <f>IFERROR(VLOOKUP(TRIM(E302),ACTIVIDADES!$A$1:$D$17,2,FALSE),"NO ENCONTRADO")</f>
        <v>MANEJO DE SOMBRA</v>
      </c>
      <c r="G302" s="63">
        <v>1</v>
      </c>
      <c r="H302" s="38">
        <f>IFERROR(VLOOKUP(TRIM(E302),ACTIVIDADES!$A$1:$D$17,4,FALSE),"")</f>
        <v>75</v>
      </c>
      <c r="I302" s="35">
        <f t="shared" si="4"/>
        <v>75</v>
      </c>
    </row>
    <row r="303" spans="1:9" x14ac:dyDescent="0.3">
      <c r="A303" s="28">
        <v>46165</v>
      </c>
      <c r="B303" s="1">
        <v>39</v>
      </c>
      <c r="C303" s="24" t="s">
        <v>44</v>
      </c>
      <c r="D303" s="55" t="s">
        <v>47</v>
      </c>
      <c r="E303" s="55" t="s">
        <v>60</v>
      </c>
      <c r="F303" s="33" t="str">
        <f>IFERROR(VLOOKUP(TRIM(E303),ACTIVIDADES!$A$1:$D$17,2,FALSE),"NO ENCONTRADO")</f>
        <v>MANEJO DE SOMBRA</v>
      </c>
      <c r="G303" s="63">
        <v>1</v>
      </c>
      <c r="H303" s="38">
        <f>IFERROR(VLOOKUP(TRIM(E303),ACTIVIDADES!$A$1:$D$17,4,FALSE),"")</f>
        <v>75</v>
      </c>
      <c r="I303" s="35">
        <f t="shared" si="4"/>
        <v>75</v>
      </c>
    </row>
    <row r="304" spans="1:9" x14ac:dyDescent="0.3">
      <c r="A304" s="28">
        <v>46167</v>
      </c>
      <c r="B304" s="1">
        <v>1</v>
      </c>
      <c r="C304" s="40" t="s">
        <v>6</v>
      </c>
      <c r="D304" s="1" t="s">
        <v>49</v>
      </c>
      <c r="E304" s="1" t="s">
        <v>49</v>
      </c>
      <c r="F304" s="33" t="str">
        <f>IFERROR(VLOOKUP(TRIM(E304),ACTIVIDADES!$A$1:$D$17,2,FALSE),"NO ENCONTRADO")</f>
        <v>CAPORAL</v>
      </c>
      <c r="G304" s="63">
        <v>1</v>
      </c>
      <c r="H304" s="38">
        <f>IFERROR(VLOOKUP(TRIM(E304),ACTIVIDADES!$A$1:$D$17,4,FALSE),"")</f>
        <v>100</v>
      </c>
      <c r="I304" s="35">
        <f t="shared" si="4"/>
        <v>100</v>
      </c>
    </row>
    <row r="305" spans="1:9" x14ac:dyDescent="0.3">
      <c r="A305" s="28">
        <v>46167</v>
      </c>
      <c r="B305" s="1">
        <v>2</v>
      </c>
      <c r="C305" s="29" t="s">
        <v>10</v>
      </c>
      <c r="D305" s="1" t="s">
        <v>49</v>
      </c>
      <c r="E305" s="1" t="s">
        <v>49</v>
      </c>
      <c r="F305" s="33" t="str">
        <f>IFERROR(VLOOKUP(TRIM(E305),ACTIVIDADES!$A$1:$D$17,2,FALSE),"NO ENCONTRADO")</f>
        <v>CAPORAL</v>
      </c>
      <c r="G305" s="63">
        <v>1</v>
      </c>
      <c r="H305" s="38">
        <f>IFERROR(VLOOKUP(TRIM(E305),ACTIVIDADES!$A$1:$D$17,4,FALSE),"")</f>
        <v>100</v>
      </c>
      <c r="I305" s="35">
        <f t="shared" si="4"/>
        <v>100</v>
      </c>
    </row>
    <row r="306" spans="1:9" x14ac:dyDescent="0.3">
      <c r="A306" s="28">
        <v>46167</v>
      </c>
      <c r="B306" s="1">
        <v>3</v>
      </c>
      <c r="C306" s="29" t="s">
        <v>22</v>
      </c>
      <c r="D306" s="53" t="s">
        <v>49</v>
      </c>
      <c r="E306" s="53" t="s">
        <v>49</v>
      </c>
      <c r="F306" s="33" t="str">
        <f>IFERROR(VLOOKUP(TRIM(E306),ACTIVIDADES!$A$1:$D$17,2,FALSE),"NO ENCONTRADO")</f>
        <v>CAPORAL</v>
      </c>
      <c r="G306" s="63">
        <v>1</v>
      </c>
      <c r="H306" s="38">
        <f>IFERROR(VLOOKUP(TRIM(E306),ACTIVIDADES!$A$1:$D$17,4,FALSE),"")</f>
        <v>100</v>
      </c>
      <c r="I306" s="35">
        <f t="shared" si="4"/>
        <v>100</v>
      </c>
    </row>
    <row r="307" spans="1:9" x14ac:dyDescent="0.3">
      <c r="A307" s="28">
        <v>46167</v>
      </c>
      <c r="B307" s="1">
        <v>4</v>
      </c>
      <c r="C307" s="40" t="s">
        <v>36</v>
      </c>
      <c r="D307" s="53" t="s">
        <v>150</v>
      </c>
      <c r="E307" s="47" t="s">
        <v>149</v>
      </c>
      <c r="F307" s="33" t="str">
        <f>IFERROR(VLOOKUP(TRIM(E307),ACTIVIDADES!$A$1:$D$17,2,FALSE),"NO ENCONTRADO")</f>
        <v>HACIENDA</v>
      </c>
      <c r="G307" s="63">
        <v>1</v>
      </c>
      <c r="H307" s="38">
        <f>IFERROR(VLOOKUP(TRIM(E307),ACTIVIDADES!$A$1:$D$17,4,FALSE),"")</f>
        <v>65</v>
      </c>
      <c r="I307" s="35">
        <f t="shared" si="4"/>
        <v>65</v>
      </c>
    </row>
    <row r="308" spans="1:9" x14ac:dyDescent="0.3">
      <c r="A308" s="28">
        <v>46167</v>
      </c>
      <c r="B308" s="1">
        <v>5</v>
      </c>
      <c r="C308" s="29" t="s">
        <v>38</v>
      </c>
      <c r="D308" s="47" t="s">
        <v>150</v>
      </c>
      <c r="E308" s="47" t="s">
        <v>149</v>
      </c>
      <c r="F308" s="33" t="str">
        <f>IFERROR(VLOOKUP(TRIM(E308),ACTIVIDADES!$A$1:$D$17,2,FALSE),"NO ENCONTRADO")</f>
        <v>HACIENDA</v>
      </c>
      <c r="G308" s="63">
        <v>1</v>
      </c>
      <c r="H308" s="38">
        <f>IFERROR(VLOOKUP(TRIM(E308),ACTIVIDADES!$A$1:$D$17,4,FALSE),"")</f>
        <v>65</v>
      </c>
      <c r="I308" s="35">
        <f t="shared" si="4"/>
        <v>65</v>
      </c>
    </row>
    <row r="309" spans="1:9" x14ac:dyDescent="0.3">
      <c r="A309" s="28">
        <v>46167</v>
      </c>
      <c r="B309" s="1">
        <v>6</v>
      </c>
      <c r="C309" s="24" t="s">
        <v>11</v>
      </c>
      <c r="D309" s="55" t="s">
        <v>46</v>
      </c>
      <c r="E309" s="55" t="s">
        <v>75</v>
      </c>
      <c r="F309" s="33" t="str">
        <f>IFERROR(VLOOKUP(TRIM(E309),ACTIVIDADES!$A$1:$D$17,2,FALSE),"NO ENCONTRADO")</f>
        <v>TRAZADO PARA SIEMBRA</v>
      </c>
      <c r="G309" s="63">
        <v>1</v>
      </c>
      <c r="H309" s="38">
        <f>IFERROR(VLOOKUP(TRIM(E309),ACTIVIDADES!$A$1:$D$17,4,FALSE),"")</f>
        <v>75</v>
      </c>
      <c r="I309" s="35">
        <f t="shared" si="4"/>
        <v>75</v>
      </c>
    </row>
    <row r="310" spans="1:9" x14ac:dyDescent="0.3">
      <c r="A310" s="28">
        <v>46167</v>
      </c>
      <c r="B310" s="1">
        <v>7</v>
      </c>
      <c r="C310" s="54" t="s">
        <v>12</v>
      </c>
      <c r="D310" s="55" t="s">
        <v>46</v>
      </c>
      <c r="E310" s="55" t="s">
        <v>75</v>
      </c>
      <c r="F310" s="33" t="str">
        <f>IFERROR(VLOOKUP(TRIM(E310),ACTIVIDADES!$A$1:$D$17,2,FALSE),"NO ENCONTRADO")</f>
        <v>TRAZADO PARA SIEMBRA</v>
      </c>
      <c r="G310" s="63">
        <v>1</v>
      </c>
      <c r="H310" s="38">
        <f>IFERROR(VLOOKUP(TRIM(E310),ACTIVIDADES!$A$1:$D$17,4,FALSE),"")</f>
        <v>75</v>
      </c>
      <c r="I310" s="35">
        <f t="shared" si="4"/>
        <v>75</v>
      </c>
    </row>
    <row r="311" spans="1:9" x14ac:dyDescent="0.3">
      <c r="A311" s="28">
        <v>46167</v>
      </c>
      <c r="B311" s="1">
        <v>8</v>
      </c>
      <c r="C311" s="24" t="s">
        <v>84</v>
      </c>
      <c r="D311" s="55" t="s">
        <v>47</v>
      </c>
      <c r="E311" s="53" t="s">
        <v>60</v>
      </c>
      <c r="F311" s="33" t="str">
        <f>IFERROR(VLOOKUP(TRIM(E311),ACTIVIDADES!$A$1:$D$17,2,FALSE),"NO ENCONTRADO")</f>
        <v>MANEJO DE SOMBRA</v>
      </c>
      <c r="G311" s="63">
        <v>1</v>
      </c>
      <c r="H311" s="38">
        <f>IFERROR(VLOOKUP(TRIM(E311),ACTIVIDADES!$A$1:$D$17,4,FALSE),"")</f>
        <v>75</v>
      </c>
      <c r="I311" s="35">
        <f t="shared" si="4"/>
        <v>75</v>
      </c>
    </row>
    <row r="312" spans="1:9" x14ac:dyDescent="0.3">
      <c r="A312" s="28">
        <v>46167</v>
      </c>
      <c r="B312" s="1">
        <v>9</v>
      </c>
      <c r="C312" s="55" t="s">
        <v>82</v>
      </c>
      <c r="D312" s="55" t="s">
        <v>46</v>
      </c>
      <c r="E312" s="55" t="s">
        <v>75</v>
      </c>
      <c r="F312" s="33" t="str">
        <f>IFERROR(VLOOKUP(TRIM(E312),ACTIVIDADES!$A$1:$D$17,2,FALSE),"NO ENCONTRADO")</f>
        <v>TRAZADO PARA SIEMBRA</v>
      </c>
      <c r="G312" s="63">
        <v>1</v>
      </c>
      <c r="H312" s="38">
        <f>IFERROR(VLOOKUP(TRIM(E312),ACTIVIDADES!$A$1:$D$17,4,FALSE),"")</f>
        <v>75</v>
      </c>
      <c r="I312" s="35">
        <f t="shared" si="4"/>
        <v>75</v>
      </c>
    </row>
    <row r="313" spans="1:9" x14ac:dyDescent="0.3">
      <c r="A313" s="28">
        <v>46167</v>
      </c>
      <c r="B313" s="1">
        <v>10</v>
      </c>
      <c r="C313" s="40" t="s">
        <v>14</v>
      </c>
      <c r="D313" s="55" t="s">
        <v>47</v>
      </c>
      <c r="E313" s="55" t="s">
        <v>60</v>
      </c>
      <c r="F313" s="33" t="str">
        <f>IFERROR(VLOOKUP(TRIM(E313),ACTIVIDADES!$A$1:$D$17,2,FALSE),"NO ENCONTRADO")</f>
        <v>MANEJO DE SOMBRA</v>
      </c>
      <c r="G313" s="63">
        <v>1</v>
      </c>
      <c r="H313" s="38">
        <f>IFERROR(VLOOKUP(TRIM(E313),ACTIVIDADES!$A$1:$D$17,4,FALSE),"")</f>
        <v>75</v>
      </c>
      <c r="I313" s="35">
        <f t="shared" si="4"/>
        <v>75</v>
      </c>
    </row>
    <row r="314" spans="1:9" x14ac:dyDescent="0.3">
      <c r="A314" s="28">
        <v>46167</v>
      </c>
      <c r="B314" s="1">
        <v>12</v>
      </c>
      <c r="C314" s="24" t="s">
        <v>85</v>
      </c>
      <c r="D314" s="55" t="s">
        <v>47</v>
      </c>
      <c r="E314" s="53" t="s">
        <v>60</v>
      </c>
      <c r="F314" s="33" t="str">
        <f>IFERROR(VLOOKUP(TRIM(E314),ACTIVIDADES!$A$1:$D$17,2,FALSE),"NO ENCONTRADO")</f>
        <v>MANEJO DE SOMBRA</v>
      </c>
      <c r="G314" s="63">
        <v>1</v>
      </c>
      <c r="H314" s="38">
        <f>IFERROR(VLOOKUP(TRIM(E314),ACTIVIDADES!$A$1:$D$17,4,FALSE),"")</f>
        <v>75</v>
      </c>
      <c r="I314" s="35">
        <f t="shared" si="4"/>
        <v>75</v>
      </c>
    </row>
    <row r="315" spans="1:9" x14ac:dyDescent="0.3">
      <c r="A315" s="28">
        <v>46167</v>
      </c>
      <c r="B315" s="1">
        <v>13</v>
      </c>
      <c r="C315" s="24" t="s">
        <v>17</v>
      </c>
      <c r="D315" s="55" t="s">
        <v>47</v>
      </c>
      <c r="E315" s="55" t="s">
        <v>60</v>
      </c>
      <c r="F315" s="33" t="str">
        <f>IFERROR(VLOOKUP(TRIM(E315),ACTIVIDADES!$A$1:$D$17,2,FALSE),"NO ENCONTRADO")</f>
        <v>MANEJO DE SOMBRA</v>
      </c>
      <c r="G315" s="63">
        <v>1</v>
      </c>
      <c r="H315" s="38">
        <f>IFERROR(VLOOKUP(TRIM(E315),ACTIVIDADES!$A$1:$D$17,4,FALSE),"")</f>
        <v>75</v>
      </c>
      <c r="I315" s="35">
        <f t="shared" si="4"/>
        <v>75</v>
      </c>
    </row>
    <row r="316" spans="1:9" x14ac:dyDescent="0.3">
      <c r="A316" s="28">
        <v>46167</v>
      </c>
      <c r="B316" s="1">
        <v>14</v>
      </c>
      <c r="C316" s="24" t="s">
        <v>18</v>
      </c>
      <c r="D316" s="55" t="s">
        <v>47</v>
      </c>
      <c r="E316" s="55" t="s">
        <v>60</v>
      </c>
      <c r="F316" s="33" t="str">
        <f>IFERROR(VLOOKUP(TRIM(E316),ACTIVIDADES!$A$1:$D$17,2,FALSE),"NO ENCONTRADO")</f>
        <v>MANEJO DE SOMBRA</v>
      </c>
      <c r="G316" s="63">
        <v>1</v>
      </c>
      <c r="H316" s="38">
        <f>IFERROR(VLOOKUP(TRIM(E316),ACTIVIDADES!$A$1:$D$17,4,FALSE),"")</f>
        <v>75</v>
      </c>
      <c r="I316" s="35">
        <f t="shared" si="4"/>
        <v>75</v>
      </c>
    </row>
    <row r="317" spans="1:9" x14ac:dyDescent="0.3">
      <c r="A317" s="28">
        <v>46167</v>
      </c>
      <c r="B317" s="1">
        <v>15</v>
      </c>
      <c r="C317" s="24" t="s">
        <v>88</v>
      </c>
      <c r="D317" s="55" t="s">
        <v>47</v>
      </c>
      <c r="E317" s="55" t="s">
        <v>60</v>
      </c>
      <c r="F317" s="33" t="str">
        <f>IFERROR(VLOOKUP(TRIM(E317),ACTIVIDADES!$A$1:$D$17,2,FALSE),"NO ENCONTRADO")</f>
        <v>MANEJO DE SOMBRA</v>
      </c>
      <c r="G317" s="63">
        <v>1</v>
      </c>
      <c r="H317" s="38">
        <f>IFERROR(VLOOKUP(TRIM(E317),ACTIVIDADES!$A$1:$D$17,4,FALSE),"")</f>
        <v>75</v>
      </c>
      <c r="I317" s="35">
        <f t="shared" si="4"/>
        <v>75</v>
      </c>
    </row>
    <row r="318" spans="1:9" x14ac:dyDescent="0.3">
      <c r="A318" s="28">
        <v>46167</v>
      </c>
      <c r="B318" s="1">
        <v>16</v>
      </c>
      <c r="C318" s="40" t="s">
        <v>20</v>
      </c>
      <c r="D318" s="55" t="s">
        <v>55</v>
      </c>
      <c r="E318" s="55" t="s">
        <v>65</v>
      </c>
      <c r="F318" s="33" t="str">
        <f>IFERROR(VLOOKUP(TRIM(E318),ACTIVIDADES!$A$1:$D$17,2,FALSE),"NO ENCONTRADO")</f>
        <v>CARBON</v>
      </c>
      <c r="G318" s="63">
        <v>1</v>
      </c>
      <c r="H318" s="38">
        <f>IFERROR(VLOOKUP(TRIM(E318),ACTIVIDADES!$A$1:$D$17,4,FALSE),"")</f>
        <v>75</v>
      </c>
      <c r="I318" s="35">
        <f t="shared" si="4"/>
        <v>75</v>
      </c>
    </row>
    <row r="319" spans="1:9" x14ac:dyDescent="0.3">
      <c r="A319" s="28">
        <v>46167</v>
      </c>
      <c r="B319" s="1">
        <v>17</v>
      </c>
      <c r="C319" s="24" t="s">
        <v>90</v>
      </c>
      <c r="D319" s="55" t="s">
        <v>47</v>
      </c>
      <c r="E319" s="55" t="s">
        <v>60</v>
      </c>
      <c r="F319" s="33" t="str">
        <f>IFERROR(VLOOKUP(TRIM(E319),ACTIVIDADES!$A$1:$D$17,2,FALSE),"NO ENCONTRADO")</f>
        <v>MANEJO DE SOMBRA</v>
      </c>
      <c r="G319" s="63">
        <v>1</v>
      </c>
      <c r="H319" s="38">
        <f>IFERROR(VLOOKUP(TRIM(E319),ACTIVIDADES!$A$1:$D$17,4,FALSE),"")</f>
        <v>75</v>
      </c>
      <c r="I319" s="35">
        <f t="shared" si="4"/>
        <v>75</v>
      </c>
    </row>
    <row r="320" spans="1:9" x14ac:dyDescent="0.3">
      <c r="A320" s="28">
        <v>46167</v>
      </c>
      <c r="B320" s="1">
        <v>18</v>
      </c>
      <c r="C320" s="24" t="s">
        <v>91</v>
      </c>
      <c r="D320" s="55" t="s">
        <v>47</v>
      </c>
      <c r="E320" s="53" t="s">
        <v>60</v>
      </c>
      <c r="F320" s="33" t="str">
        <f>IFERROR(VLOOKUP(TRIM(E320),ACTIVIDADES!$A$1:$D$17,2,FALSE),"NO ENCONTRADO")</f>
        <v>MANEJO DE SOMBRA</v>
      </c>
      <c r="G320" s="63">
        <v>1</v>
      </c>
      <c r="H320" s="38">
        <f>IFERROR(VLOOKUP(TRIM(E320),ACTIVIDADES!$A$1:$D$17,4,FALSE),"")</f>
        <v>75</v>
      </c>
      <c r="I320" s="35">
        <f t="shared" si="4"/>
        <v>75</v>
      </c>
    </row>
    <row r="321" spans="1:9" x14ac:dyDescent="0.3">
      <c r="A321" s="28">
        <v>46167</v>
      </c>
      <c r="B321" s="1">
        <v>19</v>
      </c>
      <c r="C321" s="30" t="s">
        <v>23</v>
      </c>
      <c r="D321" s="55" t="s">
        <v>47</v>
      </c>
      <c r="E321" s="55" t="s">
        <v>60</v>
      </c>
      <c r="F321" s="33" t="str">
        <f>IFERROR(VLOOKUP(TRIM(E321),ACTIVIDADES!$A$1:$D$17,2,FALSE),"NO ENCONTRADO")</f>
        <v>MANEJO DE SOMBRA</v>
      </c>
      <c r="G321" s="63">
        <v>1</v>
      </c>
      <c r="H321" s="38">
        <f>IFERROR(VLOOKUP(TRIM(E321),ACTIVIDADES!$A$1:$D$17,4,FALSE),"")</f>
        <v>75</v>
      </c>
      <c r="I321" s="35">
        <f t="shared" si="4"/>
        <v>75</v>
      </c>
    </row>
    <row r="322" spans="1:9" x14ac:dyDescent="0.3">
      <c r="A322" s="28">
        <v>46167</v>
      </c>
      <c r="B322" s="1">
        <v>20</v>
      </c>
      <c r="C322" s="53" t="s">
        <v>92</v>
      </c>
      <c r="D322" s="55" t="s">
        <v>55</v>
      </c>
      <c r="E322" s="55" t="s">
        <v>65</v>
      </c>
      <c r="F322" s="33" t="str">
        <f>IFERROR(VLOOKUP(TRIM(E322),ACTIVIDADES!$A$1:$D$17,2,FALSE),"NO ENCONTRADO")</f>
        <v>CARBON</v>
      </c>
      <c r="G322" s="63">
        <v>1</v>
      </c>
      <c r="H322" s="38">
        <f>IFERROR(VLOOKUP(TRIM(E322),ACTIVIDADES!$A$1:$D$17,4,FALSE),"")</f>
        <v>75</v>
      </c>
      <c r="I322" s="35">
        <f t="shared" ref="I322:I385" si="5">IFERROR(G322*H322,"")</f>
        <v>75</v>
      </c>
    </row>
    <row r="323" spans="1:9" x14ac:dyDescent="0.3">
      <c r="A323" s="28">
        <v>46167</v>
      </c>
      <c r="B323" s="1">
        <v>21</v>
      </c>
      <c r="C323" s="24" t="s">
        <v>25</v>
      </c>
      <c r="D323" s="55" t="s">
        <v>46</v>
      </c>
      <c r="E323" s="55" t="s">
        <v>75</v>
      </c>
      <c r="F323" s="33" t="str">
        <f>IFERROR(VLOOKUP(TRIM(E323),ACTIVIDADES!$A$1:$D$17,2,FALSE),"NO ENCONTRADO")</f>
        <v>TRAZADO PARA SIEMBRA</v>
      </c>
      <c r="G323" s="63">
        <v>1</v>
      </c>
      <c r="H323" s="38">
        <f>IFERROR(VLOOKUP(TRIM(E323),ACTIVIDADES!$A$1:$D$17,4,FALSE),"")</f>
        <v>75</v>
      </c>
      <c r="I323" s="35">
        <f t="shared" si="5"/>
        <v>75</v>
      </c>
    </row>
    <row r="324" spans="1:9" x14ac:dyDescent="0.3">
      <c r="A324" s="28">
        <v>46167</v>
      </c>
      <c r="B324" s="1">
        <v>22</v>
      </c>
      <c r="C324" s="29" t="s">
        <v>26</v>
      </c>
      <c r="D324" s="55" t="s">
        <v>47</v>
      </c>
      <c r="E324" s="55" t="s">
        <v>60</v>
      </c>
      <c r="F324" s="33" t="str">
        <f>IFERROR(VLOOKUP(TRIM(E324),ACTIVIDADES!$A$1:$D$17,2,FALSE),"NO ENCONTRADO")</f>
        <v>MANEJO DE SOMBRA</v>
      </c>
      <c r="G324" s="63">
        <v>1</v>
      </c>
      <c r="H324" s="38">
        <f>IFERROR(VLOOKUP(TRIM(E324),ACTIVIDADES!$A$1:$D$17,4,FALSE),"")</f>
        <v>75</v>
      </c>
      <c r="I324" s="35">
        <f t="shared" si="5"/>
        <v>75</v>
      </c>
    </row>
    <row r="325" spans="1:9" x14ac:dyDescent="0.3">
      <c r="A325" s="28">
        <v>46167</v>
      </c>
      <c r="B325" s="1">
        <v>23</v>
      </c>
      <c r="C325" s="24" t="s">
        <v>27</v>
      </c>
      <c r="D325" s="55" t="s">
        <v>47</v>
      </c>
      <c r="E325" s="55" t="s">
        <v>60</v>
      </c>
      <c r="F325" s="33" t="str">
        <f>IFERROR(VLOOKUP(TRIM(E325),ACTIVIDADES!$A$1:$D$17,2,FALSE),"NO ENCONTRADO")</f>
        <v>MANEJO DE SOMBRA</v>
      </c>
      <c r="G325" s="63">
        <v>1</v>
      </c>
      <c r="H325" s="38">
        <f>IFERROR(VLOOKUP(TRIM(E325),ACTIVIDADES!$A$1:$D$17,4,FALSE),"")</f>
        <v>75</v>
      </c>
      <c r="I325" s="35">
        <f t="shared" si="5"/>
        <v>75</v>
      </c>
    </row>
    <row r="326" spans="1:9" x14ac:dyDescent="0.3">
      <c r="A326" s="28">
        <v>46167</v>
      </c>
      <c r="B326" s="1">
        <v>25</v>
      </c>
      <c r="C326" s="24" t="s">
        <v>29</v>
      </c>
      <c r="D326" s="55" t="s">
        <v>47</v>
      </c>
      <c r="E326" s="55" t="s">
        <v>60</v>
      </c>
      <c r="F326" s="33" t="str">
        <f>IFERROR(VLOOKUP(TRIM(E326),ACTIVIDADES!$A$1:$D$17,2,FALSE),"NO ENCONTRADO")</f>
        <v>MANEJO DE SOMBRA</v>
      </c>
      <c r="G326" s="63">
        <v>1</v>
      </c>
      <c r="H326" s="38">
        <f>IFERROR(VLOOKUP(TRIM(E326),ACTIVIDADES!$A$1:$D$17,4,FALSE),"")</f>
        <v>75</v>
      </c>
      <c r="I326" s="35">
        <f t="shared" si="5"/>
        <v>75</v>
      </c>
    </row>
    <row r="327" spans="1:9" x14ac:dyDescent="0.3">
      <c r="A327" s="28">
        <v>46167</v>
      </c>
      <c r="B327" s="1">
        <v>26</v>
      </c>
      <c r="C327" s="24" t="s">
        <v>30</v>
      </c>
      <c r="D327" s="55" t="s">
        <v>47</v>
      </c>
      <c r="E327" s="55" t="s">
        <v>60</v>
      </c>
      <c r="F327" s="33" t="str">
        <f>IFERROR(VLOOKUP(TRIM(E327),ACTIVIDADES!$A$1:$D$17,2,FALSE),"NO ENCONTRADO")</f>
        <v>MANEJO DE SOMBRA</v>
      </c>
      <c r="G327" s="63">
        <v>1</v>
      </c>
      <c r="H327" s="38">
        <f>IFERROR(VLOOKUP(TRIM(E327),ACTIVIDADES!$A$1:$D$17,4,FALSE),"")</f>
        <v>75</v>
      </c>
      <c r="I327" s="35">
        <f t="shared" si="5"/>
        <v>75</v>
      </c>
    </row>
    <row r="328" spans="1:9" x14ac:dyDescent="0.3">
      <c r="A328" s="28">
        <v>46167</v>
      </c>
      <c r="B328" s="1">
        <v>27</v>
      </c>
      <c r="C328" s="24" t="s">
        <v>99</v>
      </c>
      <c r="D328" s="55" t="s">
        <v>47</v>
      </c>
      <c r="E328" s="55" t="s">
        <v>60</v>
      </c>
      <c r="F328" s="33" t="str">
        <f>IFERROR(VLOOKUP(TRIM(E328),ACTIVIDADES!$A$1:$D$17,2,FALSE),"NO ENCONTRADO")</f>
        <v>MANEJO DE SOMBRA</v>
      </c>
      <c r="G328" s="63">
        <v>1</v>
      </c>
      <c r="H328" s="38">
        <f>IFERROR(VLOOKUP(TRIM(E328),ACTIVIDADES!$A$1:$D$17,4,FALSE),"")</f>
        <v>75</v>
      </c>
      <c r="I328" s="35">
        <f t="shared" si="5"/>
        <v>75</v>
      </c>
    </row>
    <row r="329" spans="1:9" x14ac:dyDescent="0.3">
      <c r="A329" s="28">
        <v>46167</v>
      </c>
      <c r="B329" s="1">
        <v>28</v>
      </c>
      <c r="C329" s="24" t="s">
        <v>33</v>
      </c>
      <c r="D329" s="55" t="s">
        <v>47</v>
      </c>
      <c r="E329" s="55" t="s">
        <v>60</v>
      </c>
      <c r="F329" s="33" t="str">
        <f>IFERROR(VLOOKUP(TRIM(E329),ACTIVIDADES!$A$1:$D$17,2,FALSE),"NO ENCONTRADO")</f>
        <v>MANEJO DE SOMBRA</v>
      </c>
      <c r="G329" s="63">
        <v>1</v>
      </c>
      <c r="H329" s="38">
        <f>IFERROR(VLOOKUP(TRIM(E329),ACTIVIDADES!$A$1:$D$17,4,FALSE),"")</f>
        <v>75</v>
      </c>
      <c r="I329" s="35">
        <f t="shared" si="5"/>
        <v>75</v>
      </c>
    </row>
    <row r="330" spans="1:9" x14ac:dyDescent="0.3">
      <c r="A330" s="28">
        <v>46167</v>
      </c>
      <c r="B330" s="1">
        <v>29</v>
      </c>
      <c r="C330" s="24" t="s">
        <v>102</v>
      </c>
      <c r="D330" s="55" t="s">
        <v>47</v>
      </c>
      <c r="E330" s="55" t="s">
        <v>60</v>
      </c>
      <c r="F330" s="33" t="str">
        <f>IFERROR(VLOOKUP(TRIM(E330),ACTIVIDADES!$A$1:$D$17,2,FALSE),"NO ENCONTRADO")</f>
        <v>MANEJO DE SOMBRA</v>
      </c>
      <c r="G330" s="63">
        <v>1</v>
      </c>
      <c r="H330" s="38">
        <f>IFERROR(VLOOKUP(TRIM(E330),ACTIVIDADES!$A$1:$D$17,4,FALSE),"")</f>
        <v>75</v>
      </c>
      <c r="I330" s="35">
        <f t="shared" si="5"/>
        <v>75</v>
      </c>
    </row>
    <row r="331" spans="1:9" x14ac:dyDescent="0.3">
      <c r="A331" s="28">
        <v>46167</v>
      </c>
      <c r="B331" s="1">
        <v>30</v>
      </c>
      <c r="C331" s="24" t="s">
        <v>35</v>
      </c>
      <c r="D331" s="55" t="s">
        <v>46</v>
      </c>
      <c r="E331" s="55" t="s">
        <v>75</v>
      </c>
      <c r="F331" s="33" t="str">
        <f>IFERROR(VLOOKUP(TRIM(E331),ACTIVIDADES!$A$1:$D$17,2,FALSE),"NO ENCONTRADO")</f>
        <v>TRAZADO PARA SIEMBRA</v>
      </c>
      <c r="G331" s="63">
        <v>1</v>
      </c>
      <c r="H331" s="38">
        <f>IFERROR(VLOOKUP(TRIM(E331),ACTIVIDADES!$A$1:$D$17,4,FALSE),"")</f>
        <v>75</v>
      </c>
      <c r="I331" s="35">
        <f t="shared" si="5"/>
        <v>75</v>
      </c>
    </row>
    <row r="332" spans="1:9" x14ac:dyDescent="0.3">
      <c r="A332" s="28">
        <v>46167</v>
      </c>
      <c r="B332" s="1">
        <v>31</v>
      </c>
      <c r="C332" s="24" t="s">
        <v>9</v>
      </c>
      <c r="D332" s="55" t="s">
        <v>47</v>
      </c>
      <c r="E332" s="55" t="s">
        <v>60</v>
      </c>
      <c r="F332" s="33" t="str">
        <f>IFERROR(VLOOKUP(TRIM(E332),ACTIVIDADES!$A$1:$D$17,2,FALSE),"NO ENCONTRADO")</f>
        <v>MANEJO DE SOMBRA</v>
      </c>
      <c r="G332" s="63">
        <v>1</v>
      </c>
      <c r="H332" s="38">
        <f>IFERROR(VLOOKUP(TRIM(E332),ACTIVIDADES!$A$1:$D$17,4,FALSE),"")</f>
        <v>75</v>
      </c>
      <c r="I332" s="35">
        <f t="shared" si="5"/>
        <v>75</v>
      </c>
    </row>
    <row r="333" spans="1:9" x14ac:dyDescent="0.3">
      <c r="A333" s="28">
        <v>46167</v>
      </c>
      <c r="B333" s="1">
        <v>33</v>
      </c>
      <c r="C333" s="24" t="s">
        <v>7</v>
      </c>
      <c r="D333" s="55" t="s">
        <v>47</v>
      </c>
      <c r="E333" s="55" t="s">
        <v>60</v>
      </c>
      <c r="F333" s="33" t="str">
        <f>IFERROR(VLOOKUP(TRIM(E333),ACTIVIDADES!$A$1:$D$17,2,FALSE),"NO ENCONTRADO")</f>
        <v>MANEJO DE SOMBRA</v>
      </c>
      <c r="G333" s="63">
        <v>1</v>
      </c>
      <c r="H333" s="38">
        <f>IFERROR(VLOOKUP(TRIM(E333),ACTIVIDADES!$A$1:$D$17,4,FALSE),"")</f>
        <v>75</v>
      </c>
      <c r="I333" s="35">
        <f t="shared" si="5"/>
        <v>75</v>
      </c>
    </row>
    <row r="334" spans="1:9" x14ac:dyDescent="0.3">
      <c r="A334" s="28">
        <v>46167</v>
      </c>
      <c r="B334" s="1">
        <v>34</v>
      </c>
      <c r="C334" s="24" t="s">
        <v>107</v>
      </c>
      <c r="D334" s="55" t="s">
        <v>47</v>
      </c>
      <c r="E334" s="55" t="s">
        <v>60</v>
      </c>
      <c r="F334" s="33" t="str">
        <f>IFERROR(VLOOKUP(TRIM(E334),ACTIVIDADES!$A$1:$D$17,2,FALSE),"NO ENCONTRADO")</f>
        <v>MANEJO DE SOMBRA</v>
      </c>
      <c r="G334" s="63">
        <v>1</v>
      </c>
      <c r="H334" s="38">
        <f>IFERROR(VLOOKUP(TRIM(E334),ACTIVIDADES!$A$1:$D$17,4,FALSE),"")</f>
        <v>75</v>
      </c>
      <c r="I334" s="35">
        <f t="shared" si="5"/>
        <v>75</v>
      </c>
    </row>
    <row r="335" spans="1:9" x14ac:dyDescent="0.3">
      <c r="A335" s="28">
        <v>46167</v>
      </c>
      <c r="B335" s="1">
        <v>35</v>
      </c>
      <c r="C335" s="24" t="s">
        <v>108</v>
      </c>
      <c r="D335" s="55" t="s">
        <v>47</v>
      </c>
      <c r="E335" s="55" t="s">
        <v>60</v>
      </c>
      <c r="F335" s="33" t="str">
        <f>IFERROR(VLOOKUP(TRIM(E335),ACTIVIDADES!$A$1:$D$17,2,FALSE),"NO ENCONTRADO")</f>
        <v>MANEJO DE SOMBRA</v>
      </c>
      <c r="G335" s="63">
        <v>1</v>
      </c>
      <c r="H335" s="38">
        <f>IFERROR(VLOOKUP(TRIM(E335),ACTIVIDADES!$A$1:$D$17,4,FALSE),"")</f>
        <v>75</v>
      </c>
      <c r="I335" s="35">
        <f t="shared" si="5"/>
        <v>75</v>
      </c>
    </row>
    <row r="336" spans="1:9" x14ac:dyDescent="0.3">
      <c r="A336" s="28">
        <v>46167</v>
      </c>
      <c r="B336" s="1">
        <v>36</v>
      </c>
      <c r="C336" s="24" t="s">
        <v>109</v>
      </c>
      <c r="D336" s="55" t="s">
        <v>47</v>
      </c>
      <c r="E336" s="55" t="s">
        <v>60</v>
      </c>
      <c r="F336" s="33" t="str">
        <f>IFERROR(VLOOKUP(TRIM(E336),ACTIVIDADES!$A$1:$D$17,2,FALSE),"NO ENCONTRADO")</f>
        <v>MANEJO DE SOMBRA</v>
      </c>
      <c r="G336" s="63">
        <v>1</v>
      </c>
      <c r="H336" s="38">
        <f>IFERROR(VLOOKUP(TRIM(E336),ACTIVIDADES!$A$1:$D$17,4,FALSE),"")</f>
        <v>75</v>
      </c>
      <c r="I336" s="35">
        <f t="shared" si="5"/>
        <v>75</v>
      </c>
    </row>
    <row r="337" spans="1:9" x14ac:dyDescent="0.3">
      <c r="A337" s="28">
        <v>46167</v>
      </c>
      <c r="B337" s="1">
        <v>37</v>
      </c>
      <c r="C337" s="53" t="s">
        <v>42</v>
      </c>
      <c r="D337" s="55" t="s">
        <v>47</v>
      </c>
      <c r="E337" s="55" t="s">
        <v>60</v>
      </c>
      <c r="F337" s="33" t="str">
        <f>IFERROR(VLOOKUP(TRIM(E337),ACTIVIDADES!$A$1:$D$17,2,FALSE),"NO ENCONTRADO")</f>
        <v>MANEJO DE SOMBRA</v>
      </c>
      <c r="G337" s="63">
        <v>1</v>
      </c>
      <c r="H337" s="38">
        <f>IFERROR(VLOOKUP(TRIM(E337),ACTIVIDADES!$A$1:$D$17,4,FALSE),"")</f>
        <v>75</v>
      </c>
      <c r="I337" s="35">
        <f t="shared" si="5"/>
        <v>75</v>
      </c>
    </row>
    <row r="338" spans="1:9" x14ac:dyDescent="0.3">
      <c r="A338" s="28">
        <v>46167</v>
      </c>
      <c r="B338" s="1">
        <v>38</v>
      </c>
      <c r="C338" s="55" t="s">
        <v>43</v>
      </c>
      <c r="D338" s="55" t="s">
        <v>47</v>
      </c>
      <c r="E338" s="55" t="s">
        <v>60</v>
      </c>
      <c r="F338" s="33" t="str">
        <f>IFERROR(VLOOKUP(TRIM(E338),ACTIVIDADES!$A$1:$D$17,2,FALSE),"NO ENCONTRADO")</f>
        <v>MANEJO DE SOMBRA</v>
      </c>
      <c r="G338" s="63">
        <v>1</v>
      </c>
      <c r="H338" s="38">
        <f>IFERROR(VLOOKUP(TRIM(E338),ACTIVIDADES!$A$1:$D$17,4,FALSE),"")</f>
        <v>75</v>
      </c>
      <c r="I338" s="35">
        <f t="shared" si="5"/>
        <v>75</v>
      </c>
    </row>
    <row r="339" spans="1:9" x14ac:dyDescent="0.3">
      <c r="A339" s="28">
        <v>46167</v>
      </c>
      <c r="B339" s="1">
        <v>39</v>
      </c>
      <c r="C339" s="24" t="s">
        <v>44</v>
      </c>
      <c r="D339" s="55" t="s">
        <v>46</v>
      </c>
      <c r="E339" s="55" t="s">
        <v>75</v>
      </c>
      <c r="F339" s="33" t="str">
        <f>IFERROR(VLOOKUP(TRIM(E339),ACTIVIDADES!$A$1:$D$17,2,FALSE),"NO ENCONTRADO")</f>
        <v>TRAZADO PARA SIEMBRA</v>
      </c>
      <c r="G339" s="63">
        <v>1</v>
      </c>
      <c r="H339" s="38">
        <f>IFERROR(VLOOKUP(TRIM(E339),ACTIVIDADES!$A$1:$D$17,4,FALSE),"")</f>
        <v>75</v>
      </c>
      <c r="I339" s="35">
        <f t="shared" si="5"/>
        <v>75</v>
      </c>
    </row>
    <row r="340" spans="1:9" x14ac:dyDescent="0.3">
      <c r="A340" s="28">
        <v>46168</v>
      </c>
      <c r="B340" s="1">
        <v>1</v>
      </c>
      <c r="C340" s="40" t="s">
        <v>6</v>
      </c>
      <c r="D340" s="1" t="s">
        <v>49</v>
      </c>
      <c r="E340" s="1" t="s">
        <v>49</v>
      </c>
      <c r="F340" s="33" t="str">
        <f>IFERROR(VLOOKUP(TRIM(E340),ACTIVIDADES!$A$1:$D$17,2,FALSE),"NO ENCONTRADO")</f>
        <v>CAPORAL</v>
      </c>
      <c r="G340" s="63">
        <v>1</v>
      </c>
      <c r="H340" s="38">
        <f>IFERROR(VLOOKUP(TRIM(E340),ACTIVIDADES!$A$1:$D$17,4,FALSE),"")</f>
        <v>100</v>
      </c>
      <c r="I340" s="35">
        <f t="shared" si="5"/>
        <v>100</v>
      </c>
    </row>
    <row r="341" spans="1:9" x14ac:dyDescent="0.3">
      <c r="A341" s="28">
        <v>46168</v>
      </c>
      <c r="B341" s="1">
        <v>2</v>
      </c>
      <c r="C341" s="29" t="s">
        <v>10</v>
      </c>
      <c r="D341" s="1" t="s">
        <v>49</v>
      </c>
      <c r="E341" s="1" t="s">
        <v>49</v>
      </c>
      <c r="F341" s="33" t="str">
        <f>IFERROR(VLOOKUP(TRIM(E341),ACTIVIDADES!$A$1:$D$17,2,FALSE),"NO ENCONTRADO")</f>
        <v>CAPORAL</v>
      </c>
      <c r="G341" s="63">
        <v>1</v>
      </c>
      <c r="H341" s="38">
        <f>IFERROR(VLOOKUP(TRIM(E341),ACTIVIDADES!$A$1:$D$17,4,FALSE),"")</f>
        <v>100</v>
      </c>
      <c r="I341" s="35">
        <f t="shared" si="5"/>
        <v>100</v>
      </c>
    </row>
    <row r="342" spans="1:9" x14ac:dyDescent="0.3">
      <c r="A342" s="28">
        <v>46168</v>
      </c>
      <c r="B342" s="1">
        <v>3</v>
      </c>
      <c r="C342" s="29" t="s">
        <v>22</v>
      </c>
      <c r="D342" s="53" t="s">
        <v>49</v>
      </c>
      <c r="E342" s="53" t="s">
        <v>49</v>
      </c>
      <c r="F342" s="33" t="str">
        <f>IFERROR(VLOOKUP(TRIM(E342),ACTIVIDADES!$A$1:$D$17,2,FALSE),"NO ENCONTRADO")</f>
        <v>CAPORAL</v>
      </c>
      <c r="G342" s="63">
        <v>1</v>
      </c>
      <c r="H342" s="38">
        <f>IFERROR(VLOOKUP(TRIM(E342),ACTIVIDADES!$A$1:$D$17,4,FALSE),"")</f>
        <v>100</v>
      </c>
      <c r="I342" s="35">
        <f t="shared" si="5"/>
        <v>100</v>
      </c>
    </row>
    <row r="343" spans="1:9" x14ac:dyDescent="0.3">
      <c r="A343" s="28">
        <v>46168</v>
      </c>
      <c r="B343" s="1">
        <v>4</v>
      </c>
      <c r="C343" s="40" t="s">
        <v>36</v>
      </c>
      <c r="D343" s="53" t="s">
        <v>150</v>
      </c>
      <c r="E343" s="47" t="s">
        <v>149</v>
      </c>
      <c r="F343" s="33" t="str">
        <f>IFERROR(VLOOKUP(TRIM(E343),ACTIVIDADES!$A$1:$D$17,2,FALSE),"NO ENCONTRADO")</f>
        <v>HACIENDA</v>
      </c>
      <c r="G343" s="63">
        <v>1</v>
      </c>
      <c r="H343" s="38">
        <f>IFERROR(VLOOKUP(TRIM(E343),ACTIVIDADES!$A$1:$D$17,4,FALSE),"")</f>
        <v>65</v>
      </c>
      <c r="I343" s="35">
        <f t="shared" si="5"/>
        <v>65</v>
      </c>
    </row>
    <row r="344" spans="1:9" x14ac:dyDescent="0.3">
      <c r="A344" s="28">
        <v>46168</v>
      </c>
      <c r="B344" s="1">
        <v>5</v>
      </c>
      <c r="C344" s="29" t="s">
        <v>38</v>
      </c>
      <c r="D344" s="47" t="s">
        <v>150</v>
      </c>
      <c r="E344" s="47" t="s">
        <v>149</v>
      </c>
      <c r="F344" s="33" t="str">
        <f>IFERROR(VLOOKUP(TRIM(E344),ACTIVIDADES!$A$1:$D$17,2,FALSE),"NO ENCONTRADO")</f>
        <v>HACIENDA</v>
      </c>
      <c r="G344" s="63">
        <v>1</v>
      </c>
      <c r="H344" s="38">
        <f>IFERROR(VLOOKUP(TRIM(E344),ACTIVIDADES!$A$1:$D$17,4,FALSE),"")</f>
        <v>65</v>
      </c>
      <c r="I344" s="35">
        <f t="shared" si="5"/>
        <v>65</v>
      </c>
    </row>
    <row r="345" spans="1:9" x14ac:dyDescent="0.3">
      <c r="A345" s="28">
        <v>46168</v>
      </c>
      <c r="B345" s="1">
        <v>6</v>
      </c>
      <c r="C345" s="24" t="s">
        <v>11</v>
      </c>
      <c r="D345" s="55" t="s">
        <v>155</v>
      </c>
      <c r="E345" s="55" t="s">
        <v>60</v>
      </c>
      <c r="F345" s="33" t="str">
        <f>IFERROR(VLOOKUP(TRIM(E345),ACTIVIDADES!$A$1:$D$17,2,FALSE),"NO ENCONTRADO")</f>
        <v>MANEJO DE SOMBRA</v>
      </c>
      <c r="G345" s="63">
        <v>1</v>
      </c>
      <c r="H345" s="38">
        <f>IFERROR(VLOOKUP(TRIM(E345),ACTIVIDADES!$A$1:$D$17,4,FALSE),"")</f>
        <v>75</v>
      </c>
      <c r="I345" s="35">
        <f t="shared" si="5"/>
        <v>75</v>
      </c>
    </row>
    <row r="346" spans="1:9" x14ac:dyDescent="0.3">
      <c r="A346" s="28">
        <v>46168</v>
      </c>
      <c r="B346" s="1">
        <v>7</v>
      </c>
      <c r="C346" s="54" t="s">
        <v>12</v>
      </c>
      <c r="D346" s="55" t="s">
        <v>46</v>
      </c>
      <c r="E346" s="55" t="s">
        <v>75</v>
      </c>
      <c r="F346" s="33" t="str">
        <f>IFERROR(VLOOKUP(TRIM(E346),ACTIVIDADES!$A$1:$D$17,2,FALSE),"NO ENCONTRADO")</f>
        <v>TRAZADO PARA SIEMBRA</v>
      </c>
      <c r="G346" s="63">
        <v>1</v>
      </c>
      <c r="H346" s="38">
        <f>IFERROR(VLOOKUP(TRIM(E346),ACTIVIDADES!$A$1:$D$17,4,FALSE),"")</f>
        <v>75</v>
      </c>
      <c r="I346" s="35">
        <f t="shared" si="5"/>
        <v>75</v>
      </c>
    </row>
    <row r="347" spans="1:9" x14ac:dyDescent="0.3">
      <c r="A347" s="28">
        <v>46168</v>
      </c>
      <c r="B347" s="1">
        <v>8</v>
      </c>
      <c r="C347" s="24" t="s">
        <v>84</v>
      </c>
      <c r="D347" s="55" t="s">
        <v>47</v>
      </c>
      <c r="E347" s="53" t="s">
        <v>60</v>
      </c>
      <c r="F347" s="33" t="str">
        <f>IFERROR(VLOOKUP(TRIM(E347),ACTIVIDADES!$A$1:$D$17,2,FALSE),"NO ENCONTRADO")</f>
        <v>MANEJO DE SOMBRA</v>
      </c>
      <c r="G347" s="63">
        <v>1</v>
      </c>
      <c r="H347" s="38">
        <f>IFERROR(VLOOKUP(TRIM(E347),ACTIVIDADES!$A$1:$D$17,4,FALSE),"")</f>
        <v>75</v>
      </c>
      <c r="I347" s="35">
        <f t="shared" si="5"/>
        <v>75</v>
      </c>
    </row>
    <row r="348" spans="1:9" x14ac:dyDescent="0.3">
      <c r="A348" s="28">
        <v>46168</v>
      </c>
      <c r="B348" s="1">
        <v>9</v>
      </c>
      <c r="C348" s="55" t="s">
        <v>82</v>
      </c>
      <c r="D348" s="55" t="s">
        <v>46</v>
      </c>
      <c r="E348" s="55" t="s">
        <v>75</v>
      </c>
      <c r="F348" s="33" t="str">
        <f>IFERROR(VLOOKUP(TRIM(E348),ACTIVIDADES!$A$1:$D$17,2,FALSE),"NO ENCONTRADO")</f>
        <v>TRAZADO PARA SIEMBRA</v>
      </c>
      <c r="G348" s="63">
        <v>1</v>
      </c>
      <c r="H348" s="38">
        <f>IFERROR(VLOOKUP(TRIM(E348),ACTIVIDADES!$A$1:$D$17,4,FALSE),"")</f>
        <v>75</v>
      </c>
      <c r="I348" s="35">
        <f t="shared" si="5"/>
        <v>75</v>
      </c>
    </row>
    <row r="349" spans="1:9" x14ac:dyDescent="0.3">
      <c r="A349" s="28">
        <v>46168</v>
      </c>
      <c r="B349" s="1">
        <v>10</v>
      </c>
      <c r="C349" s="40" t="s">
        <v>14</v>
      </c>
      <c r="D349" s="55" t="s">
        <v>155</v>
      </c>
      <c r="E349" s="55" t="s">
        <v>60</v>
      </c>
      <c r="F349" s="33" t="str">
        <f>IFERROR(VLOOKUP(TRIM(E349),ACTIVIDADES!$A$1:$D$17,2,FALSE),"NO ENCONTRADO")</f>
        <v>MANEJO DE SOMBRA</v>
      </c>
      <c r="G349" s="63">
        <v>1</v>
      </c>
      <c r="H349" s="38">
        <f>IFERROR(VLOOKUP(TRIM(E349),ACTIVIDADES!$A$1:$D$17,4,FALSE),"")</f>
        <v>75</v>
      </c>
      <c r="I349" s="35">
        <f t="shared" si="5"/>
        <v>75</v>
      </c>
    </row>
    <row r="350" spans="1:9" x14ac:dyDescent="0.3">
      <c r="A350" s="28">
        <v>46168</v>
      </c>
      <c r="B350" s="1">
        <v>11</v>
      </c>
      <c r="C350" s="24" t="s">
        <v>85</v>
      </c>
      <c r="D350" s="55" t="s">
        <v>155</v>
      </c>
      <c r="E350" s="55" t="s">
        <v>60</v>
      </c>
      <c r="F350" s="33" t="str">
        <f>IFERROR(VLOOKUP(TRIM(E350),ACTIVIDADES!$A$1:$D$17,2,FALSE),"NO ENCONTRADO")</f>
        <v>MANEJO DE SOMBRA</v>
      </c>
      <c r="G350" s="63">
        <v>1</v>
      </c>
      <c r="H350" s="38">
        <f>IFERROR(VLOOKUP(TRIM(E350),ACTIVIDADES!$A$1:$D$17,4,FALSE),"")</f>
        <v>75</v>
      </c>
      <c r="I350" s="35">
        <f t="shared" si="5"/>
        <v>75</v>
      </c>
    </row>
    <row r="351" spans="1:9" x14ac:dyDescent="0.3">
      <c r="A351" s="28">
        <v>46168</v>
      </c>
      <c r="B351" s="1">
        <v>12</v>
      </c>
      <c r="C351" s="24" t="s">
        <v>17</v>
      </c>
      <c r="D351" s="55" t="s">
        <v>155</v>
      </c>
      <c r="E351" s="55" t="s">
        <v>60</v>
      </c>
      <c r="F351" s="33" t="str">
        <f>IFERROR(VLOOKUP(TRIM(E351),ACTIVIDADES!$A$1:$D$17,2,FALSE),"NO ENCONTRADO")</f>
        <v>MANEJO DE SOMBRA</v>
      </c>
      <c r="G351" s="63">
        <v>1</v>
      </c>
      <c r="H351" s="38">
        <f>IFERROR(VLOOKUP(TRIM(E351),ACTIVIDADES!$A$1:$D$17,4,FALSE),"")</f>
        <v>75</v>
      </c>
      <c r="I351" s="35">
        <f t="shared" si="5"/>
        <v>75</v>
      </c>
    </row>
    <row r="352" spans="1:9" x14ac:dyDescent="0.3">
      <c r="A352" s="28">
        <v>46168</v>
      </c>
      <c r="B352" s="1">
        <v>13</v>
      </c>
      <c r="C352" s="24" t="s">
        <v>18</v>
      </c>
      <c r="D352" s="55" t="s">
        <v>46</v>
      </c>
      <c r="E352" s="55" t="s">
        <v>75</v>
      </c>
      <c r="F352" s="33" t="str">
        <f>IFERROR(VLOOKUP(TRIM(E352),ACTIVIDADES!$A$1:$D$17,2,FALSE),"NO ENCONTRADO")</f>
        <v>TRAZADO PARA SIEMBRA</v>
      </c>
      <c r="G352" s="63">
        <v>1</v>
      </c>
      <c r="H352" s="38">
        <f>IFERROR(VLOOKUP(TRIM(E352),ACTIVIDADES!$A$1:$D$17,4,FALSE),"")</f>
        <v>75</v>
      </c>
      <c r="I352" s="35">
        <f t="shared" si="5"/>
        <v>75</v>
      </c>
    </row>
    <row r="353" spans="1:9" x14ac:dyDescent="0.3">
      <c r="A353" s="28">
        <v>46168</v>
      </c>
      <c r="B353" s="1">
        <v>14</v>
      </c>
      <c r="C353" s="24" t="s">
        <v>88</v>
      </c>
      <c r="D353" s="55" t="s">
        <v>47</v>
      </c>
      <c r="E353" s="55" t="s">
        <v>60</v>
      </c>
      <c r="F353" s="33" t="str">
        <f>IFERROR(VLOOKUP(TRIM(E353),ACTIVIDADES!$A$1:$D$17,2,FALSE),"NO ENCONTRADO")</f>
        <v>MANEJO DE SOMBRA</v>
      </c>
      <c r="G353" s="63">
        <v>1</v>
      </c>
      <c r="H353" s="38">
        <f>IFERROR(VLOOKUP(TRIM(E353),ACTIVIDADES!$A$1:$D$17,4,FALSE),"")</f>
        <v>75</v>
      </c>
      <c r="I353" s="35">
        <f t="shared" si="5"/>
        <v>75</v>
      </c>
    </row>
    <row r="354" spans="1:9" x14ac:dyDescent="0.3">
      <c r="A354" s="28">
        <v>46168</v>
      </c>
      <c r="B354" s="1">
        <v>15</v>
      </c>
      <c r="C354" s="40" t="s">
        <v>20</v>
      </c>
      <c r="D354" s="55" t="s">
        <v>55</v>
      </c>
      <c r="E354" s="55" t="s">
        <v>65</v>
      </c>
      <c r="F354" s="33" t="str">
        <f>IFERROR(VLOOKUP(TRIM(E354),ACTIVIDADES!$A$1:$D$17,2,FALSE),"NO ENCONTRADO")</f>
        <v>CARBON</v>
      </c>
      <c r="G354" s="63">
        <v>1</v>
      </c>
      <c r="H354" s="38">
        <f>IFERROR(VLOOKUP(TRIM(E354),ACTIVIDADES!$A$1:$D$17,4,FALSE),"")</f>
        <v>75</v>
      </c>
      <c r="I354" s="35">
        <f t="shared" si="5"/>
        <v>75</v>
      </c>
    </row>
    <row r="355" spans="1:9" x14ac:dyDescent="0.3">
      <c r="A355" s="28">
        <v>46168</v>
      </c>
      <c r="B355" s="1">
        <v>16</v>
      </c>
      <c r="C355" s="24" t="s">
        <v>90</v>
      </c>
      <c r="D355" s="55" t="s">
        <v>155</v>
      </c>
      <c r="E355" s="55" t="s">
        <v>60</v>
      </c>
      <c r="F355" s="33" t="str">
        <f>IFERROR(VLOOKUP(TRIM(E355),ACTIVIDADES!$A$1:$D$17,2,FALSE),"NO ENCONTRADO")</f>
        <v>MANEJO DE SOMBRA</v>
      </c>
      <c r="G355" s="63">
        <v>1</v>
      </c>
      <c r="H355" s="38">
        <f>IFERROR(VLOOKUP(TRIM(E355),ACTIVIDADES!$A$1:$D$17,4,FALSE),"")</f>
        <v>75</v>
      </c>
      <c r="I355" s="35">
        <f t="shared" si="5"/>
        <v>75</v>
      </c>
    </row>
    <row r="356" spans="1:9" x14ac:dyDescent="0.3">
      <c r="A356" s="28">
        <v>46168</v>
      </c>
      <c r="B356" s="1">
        <v>17</v>
      </c>
      <c r="C356" s="24" t="s">
        <v>91</v>
      </c>
      <c r="D356" s="55" t="s">
        <v>155</v>
      </c>
      <c r="E356" s="55" t="s">
        <v>60</v>
      </c>
      <c r="F356" s="33" t="str">
        <f>IFERROR(VLOOKUP(TRIM(E356),ACTIVIDADES!$A$1:$D$17,2,FALSE),"NO ENCONTRADO")</f>
        <v>MANEJO DE SOMBRA</v>
      </c>
      <c r="G356" s="63">
        <v>1</v>
      </c>
      <c r="H356" s="38">
        <f>IFERROR(VLOOKUP(TRIM(E356),ACTIVIDADES!$A$1:$D$17,4,FALSE),"")</f>
        <v>75</v>
      </c>
      <c r="I356" s="35">
        <f t="shared" si="5"/>
        <v>75</v>
      </c>
    </row>
    <row r="357" spans="1:9" x14ac:dyDescent="0.3">
      <c r="A357" s="28">
        <v>46168</v>
      </c>
      <c r="B357" s="1">
        <v>18</v>
      </c>
      <c r="C357" s="30" t="s">
        <v>23</v>
      </c>
      <c r="D357" s="55" t="s">
        <v>155</v>
      </c>
      <c r="E357" s="55" t="s">
        <v>60</v>
      </c>
      <c r="F357" s="33" t="str">
        <f>IFERROR(VLOOKUP(TRIM(E357),ACTIVIDADES!$A$1:$D$17,2,FALSE),"NO ENCONTRADO")</f>
        <v>MANEJO DE SOMBRA</v>
      </c>
      <c r="G357" s="63">
        <v>1</v>
      </c>
      <c r="H357" s="38">
        <f>IFERROR(VLOOKUP(TRIM(E357),ACTIVIDADES!$A$1:$D$17,4,FALSE),"")</f>
        <v>75</v>
      </c>
      <c r="I357" s="35">
        <f t="shared" si="5"/>
        <v>75</v>
      </c>
    </row>
    <row r="358" spans="1:9" x14ac:dyDescent="0.3">
      <c r="A358" s="28">
        <v>46168</v>
      </c>
      <c r="B358" s="1">
        <v>19</v>
      </c>
      <c r="C358" s="53" t="s">
        <v>92</v>
      </c>
      <c r="D358" s="55" t="s">
        <v>55</v>
      </c>
      <c r="E358" s="55" t="s">
        <v>65</v>
      </c>
      <c r="F358" s="33" t="str">
        <f>IFERROR(VLOOKUP(TRIM(E358),ACTIVIDADES!$A$1:$D$17,2,FALSE),"NO ENCONTRADO")</f>
        <v>CARBON</v>
      </c>
      <c r="G358" s="63">
        <v>1</v>
      </c>
      <c r="H358" s="38">
        <f>IFERROR(VLOOKUP(TRIM(E358),ACTIVIDADES!$A$1:$D$17,4,FALSE),"")</f>
        <v>75</v>
      </c>
      <c r="I358" s="35">
        <f t="shared" si="5"/>
        <v>75</v>
      </c>
    </row>
    <row r="359" spans="1:9" x14ac:dyDescent="0.3">
      <c r="A359" s="28">
        <v>46168</v>
      </c>
      <c r="B359" s="1">
        <v>20</v>
      </c>
      <c r="C359" s="24" t="s">
        <v>25</v>
      </c>
      <c r="D359" s="55" t="s">
        <v>46</v>
      </c>
      <c r="E359" s="55" t="s">
        <v>75</v>
      </c>
      <c r="F359" s="33" t="str">
        <f>IFERROR(VLOOKUP(TRIM(E359),ACTIVIDADES!$A$1:$D$17,2,FALSE),"NO ENCONTRADO")</f>
        <v>TRAZADO PARA SIEMBRA</v>
      </c>
      <c r="G359" s="63">
        <v>1</v>
      </c>
      <c r="H359" s="38">
        <f>IFERROR(VLOOKUP(TRIM(E359),ACTIVIDADES!$A$1:$D$17,4,FALSE),"")</f>
        <v>75</v>
      </c>
      <c r="I359" s="35">
        <f t="shared" si="5"/>
        <v>75</v>
      </c>
    </row>
    <row r="360" spans="1:9" x14ac:dyDescent="0.3">
      <c r="A360" s="28">
        <v>46168</v>
      </c>
      <c r="B360" s="1">
        <v>21</v>
      </c>
      <c r="C360" s="29" t="s">
        <v>26</v>
      </c>
      <c r="D360" s="55" t="s">
        <v>155</v>
      </c>
      <c r="E360" s="55" t="s">
        <v>60</v>
      </c>
      <c r="F360" s="33" t="str">
        <f>IFERROR(VLOOKUP(TRIM(E360),ACTIVIDADES!$A$1:$D$17,2,FALSE),"NO ENCONTRADO")</f>
        <v>MANEJO DE SOMBRA</v>
      </c>
      <c r="G360" s="63">
        <v>1</v>
      </c>
      <c r="H360" s="38">
        <f>IFERROR(VLOOKUP(TRIM(E360),ACTIVIDADES!$A$1:$D$17,4,FALSE),"")</f>
        <v>75</v>
      </c>
      <c r="I360" s="35">
        <f t="shared" si="5"/>
        <v>75</v>
      </c>
    </row>
    <row r="361" spans="1:9" x14ac:dyDescent="0.3">
      <c r="A361" s="28">
        <v>46168</v>
      </c>
      <c r="B361" s="1">
        <v>22</v>
      </c>
      <c r="C361" s="24" t="s">
        <v>27</v>
      </c>
      <c r="D361" s="55" t="s">
        <v>155</v>
      </c>
      <c r="E361" s="55" t="s">
        <v>60</v>
      </c>
      <c r="F361" s="33" t="str">
        <f>IFERROR(VLOOKUP(TRIM(E361),ACTIVIDADES!$A$1:$D$17,2,FALSE),"NO ENCONTRADO")</f>
        <v>MANEJO DE SOMBRA</v>
      </c>
      <c r="G361" s="63">
        <v>1</v>
      </c>
      <c r="H361" s="38">
        <f>IFERROR(VLOOKUP(TRIM(E361),ACTIVIDADES!$A$1:$D$17,4,FALSE),"")</f>
        <v>75</v>
      </c>
      <c r="I361" s="35">
        <f t="shared" si="5"/>
        <v>75</v>
      </c>
    </row>
    <row r="362" spans="1:9" x14ac:dyDescent="0.3">
      <c r="A362" s="28">
        <v>46168</v>
      </c>
      <c r="B362" s="1">
        <v>23</v>
      </c>
      <c r="C362" s="24" t="s">
        <v>96</v>
      </c>
      <c r="D362" s="55" t="s">
        <v>155</v>
      </c>
      <c r="E362" s="55" t="s">
        <v>60</v>
      </c>
      <c r="F362" s="33" t="str">
        <f>IFERROR(VLOOKUP(TRIM(E362),ACTIVIDADES!$A$1:$D$17,2,FALSE),"NO ENCONTRADO")</f>
        <v>MANEJO DE SOMBRA</v>
      </c>
      <c r="G362" s="63">
        <v>1</v>
      </c>
      <c r="H362" s="38">
        <f>IFERROR(VLOOKUP(TRIM(E362),ACTIVIDADES!$A$1:$D$17,4,FALSE),"")</f>
        <v>75</v>
      </c>
      <c r="I362" s="35">
        <f t="shared" si="5"/>
        <v>75</v>
      </c>
    </row>
    <row r="363" spans="1:9" x14ac:dyDescent="0.3">
      <c r="A363" s="28">
        <v>46168</v>
      </c>
      <c r="B363" s="1">
        <v>24</v>
      </c>
      <c r="C363" s="24" t="s">
        <v>29</v>
      </c>
      <c r="D363" s="55" t="s">
        <v>155</v>
      </c>
      <c r="E363" s="55" t="s">
        <v>60</v>
      </c>
      <c r="F363" s="33" t="str">
        <f>IFERROR(VLOOKUP(TRIM(E363),ACTIVIDADES!$A$1:$D$17,2,FALSE),"NO ENCONTRADO")</f>
        <v>MANEJO DE SOMBRA</v>
      </c>
      <c r="G363" s="63">
        <v>1</v>
      </c>
      <c r="H363" s="38">
        <f>IFERROR(VLOOKUP(TRIM(E363),ACTIVIDADES!$A$1:$D$17,4,FALSE),"")</f>
        <v>75</v>
      </c>
      <c r="I363" s="35">
        <f t="shared" si="5"/>
        <v>75</v>
      </c>
    </row>
    <row r="364" spans="1:9" x14ac:dyDescent="0.3">
      <c r="A364" s="28">
        <v>46168</v>
      </c>
      <c r="B364" s="1">
        <v>26</v>
      </c>
      <c r="C364" s="24" t="s">
        <v>99</v>
      </c>
      <c r="D364" s="55" t="s">
        <v>155</v>
      </c>
      <c r="E364" s="55" t="s">
        <v>60</v>
      </c>
      <c r="F364" s="33" t="str">
        <f>IFERROR(VLOOKUP(TRIM(E364),ACTIVIDADES!$A$1:$D$17,2,FALSE),"NO ENCONTRADO")</f>
        <v>MANEJO DE SOMBRA</v>
      </c>
      <c r="G364" s="63">
        <v>1</v>
      </c>
      <c r="H364" s="38">
        <f>IFERROR(VLOOKUP(TRIM(E364),ACTIVIDADES!$A$1:$D$17,4,FALSE),"")</f>
        <v>75</v>
      </c>
      <c r="I364" s="35">
        <f t="shared" si="5"/>
        <v>75</v>
      </c>
    </row>
    <row r="365" spans="1:9" x14ac:dyDescent="0.3">
      <c r="A365" s="28">
        <v>46168</v>
      </c>
      <c r="B365" s="1">
        <v>27</v>
      </c>
      <c r="C365" s="55" t="s">
        <v>100</v>
      </c>
      <c r="D365" s="55" t="s">
        <v>63</v>
      </c>
      <c r="E365" s="55" t="s">
        <v>50</v>
      </c>
      <c r="F365" s="33" t="str">
        <f>IFERROR(VLOOKUP(TRIM(E365),ACTIVIDADES!$A$1:$D$17,2,FALSE),"NO ENCONTRADO")</f>
        <v>MANTENIMIENTO GENERAL</v>
      </c>
      <c r="G365" s="63">
        <v>1</v>
      </c>
      <c r="H365" s="38">
        <f>IFERROR(VLOOKUP(TRIM(E365),ACTIVIDADES!$A$1:$D$17,4,FALSE),"")</f>
        <v>75</v>
      </c>
      <c r="I365" s="35">
        <f t="shared" si="5"/>
        <v>75</v>
      </c>
    </row>
    <row r="366" spans="1:9" x14ac:dyDescent="0.3">
      <c r="A366" s="28">
        <v>46168</v>
      </c>
      <c r="B366" s="1">
        <v>28</v>
      </c>
      <c r="C366" s="24" t="s">
        <v>33</v>
      </c>
      <c r="D366" s="55" t="s">
        <v>155</v>
      </c>
      <c r="E366" s="55" t="s">
        <v>60</v>
      </c>
      <c r="F366" s="33" t="str">
        <f>IFERROR(VLOOKUP(TRIM(E366),ACTIVIDADES!$A$1:$D$17,2,FALSE),"NO ENCONTRADO")</f>
        <v>MANEJO DE SOMBRA</v>
      </c>
      <c r="G366" s="63">
        <v>1</v>
      </c>
      <c r="H366" s="38">
        <f>IFERROR(VLOOKUP(TRIM(E366),ACTIVIDADES!$A$1:$D$17,4,FALSE),"")</f>
        <v>75</v>
      </c>
      <c r="I366" s="35">
        <f t="shared" si="5"/>
        <v>75</v>
      </c>
    </row>
    <row r="367" spans="1:9" x14ac:dyDescent="0.3">
      <c r="A367" s="28">
        <v>46168</v>
      </c>
      <c r="B367" s="1">
        <v>29</v>
      </c>
      <c r="C367" s="24" t="s">
        <v>102</v>
      </c>
      <c r="D367" s="55" t="s">
        <v>155</v>
      </c>
      <c r="E367" s="55" t="s">
        <v>60</v>
      </c>
      <c r="F367" s="33" t="str">
        <f>IFERROR(VLOOKUP(TRIM(E367),ACTIVIDADES!$A$1:$D$17,2,FALSE),"NO ENCONTRADO")</f>
        <v>MANEJO DE SOMBRA</v>
      </c>
      <c r="G367" s="63">
        <v>1</v>
      </c>
      <c r="H367" s="38">
        <f>IFERROR(VLOOKUP(TRIM(E367),ACTIVIDADES!$A$1:$D$17,4,FALSE),"")</f>
        <v>75</v>
      </c>
      <c r="I367" s="35">
        <f t="shared" si="5"/>
        <v>75</v>
      </c>
    </row>
    <row r="368" spans="1:9" x14ac:dyDescent="0.3">
      <c r="A368" s="28">
        <v>46168</v>
      </c>
      <c r="B368" s="1">
        <v>30</v>
      </c>
      <c r="C368" s="24" t="s">
        <v>35</v>
      </c>
      <c r="D368" s="55" t="s">
        <v>46</v>
      </c>
      <c r="E368" s="55" t="s">
        <v>75</v>
      </c>
      <c r="F368" s="33" t="str">
        <f>IFERROR(VLOOKUP(TRIM(E368),ACTIVIDADES!$A$1:$D$17,2,FALSE),"NO ENCONTRADO")</f>
        <v>TRAZADO PARA SIEMBRA</v>
      </c>
      <c r="G368" s="63">
        <v>1</v>
      </c>
      <c r="H368" s="38">
        <f>IFERROR(VLOOKUP(TRIM(E368),ACTIVIDADES!$A$1:$D$17,4,FALSE),"")</f>
        <v>75</v>
      </c>
      <c r="I368" s="35">
        <f t="shared" si="5"/>
        <v>75</v>
      </c>
    </row>
    <row r="369" spans="1:9" x14ac:dyDescent="0.3">
      <c r="A369" s="28">
        <v>46168</v>
      </c>
      <c r="B369" s="1">
        <v>31</v>
      </c>
      <c r="C369" s="24" t="s">
        <v>9</v>
      </c>
      <c r="D369" s="55" t="s">
        <v>155</v>
      </c>
      <c r="E369" s="55" t="s">
        <v>60</v>
      </c>
      <c r="F369" s="33" t="str">
        <f>IFERROR(VLOOKUP(TRIM(E369),ACTIVIDADES!$A$1:$D$17,2,FALSE),"NO ENCONTRADO")</f>
        <v>MANEJO DE SOMBRA</v>
      </c>
      <c r="G369" s="63">
        <v>1</v>
      </c>
      <c r="H369" s="38">
        <f>IFERROR(VLOOKUP(TRIM(E369),ACTIVIDADES!$A$1:$D$17,4,FALSE),"")</f>
        <v>75</v>
      </c>
      <c r="I369" s="35">
        <f t="shared" si="5"/>
        <v>75</v>
      </c>
    </row>
    <row r="370" spans="1:9" x14ac:dyDescent="0.3">
      <c r="A370" s="28">
        <v>46168</v>
      </c>
      <c r="B370" s="1">
        <v>32</v>
      </c>
      <c r="C370" s="55" t="s">
        <v>37</v>
      </c>
      <c r="D370" s="55" t="s">
        <v>155</v>
      </c>
      <c r="E370" s="55" t="s">
        <v>60</v>
      </c>
      <c r="F370" s="33" t="str">
        <f>IFERROR(VLOOKUP(TRIM(E370),ACTIVIDADES!$A$1:$D$17,2,FALSE),"NO ENCONTRADO")</f>
        <v>MANEJO DE SOMBRA</v>
      </c>
      <c r="G370" s="63">
        <v>1</v>
      </c>
      <c r="H370" s="38">
        <f>IFERROR(VLOOKUP(TRIM(E370),ACTIVIDADES!$A$1:$D$17,4,FALSE),"")</f>
        <v>75</v>
      </c>
      <c r="I370" s="35">
        <f t="shared" si="5"/>
        <v>75</v>
      </c>
    </row>
    <row r="371" spans="1:9" x14ac:dyDescent="0.3">
      <c r="A371" s="28">
        <v>46168</v>
      </c>
      <c r="B371" s="1">
        <v>33</v>
      </c>
      <c r="C371" s="24" t="s">
        <v>7</v>
      </c>
      <c r="D371" s="55" t="s">
        <v>155</v>
      </c>
      <c r="E371" s="55" t="s">
        <v>60</v>
      </c>
      <c r="F371" s="33" t="str">
        <f>IFERROR(VLOOKUP(TRIM(E371),ACTIVIDADES!$A$1:$D$17,2,FALSE),"NO ENCONTRADO")</f>
        <v>MANEJO DE SOMBRA</v>
      </c>
      <c r="G371" s="63">
        <v>1</v>
      </c>
      <c r="H371" s="38">
        <f>IFERROR(VLOOKUP(TRIM(E371),ACTIVIDADES!$A$1:$D$17,4,FALSE),"")</f>
        <v>75</v>
      </c>
      <c r="I371" s="35">
        <f t="shared" si="5"/>
        <v>75</v>
      </c>
    </row>
    <row r="372" spans="1:9" x14ac:dyDescent="0.3">
      <c r="A372" s="28">
        <v>46168</v>
      </c>
      <c r="B372" s="1">
        <v>34</v>
      </c>
      <c r="C372" s="24" t="s">
        <v>107</v>
      </c>
      <c r="D372" s="55" t="s">
        <v>155</v>
      </c>
      <c r="E372" s="55" t="s">
        <v>60</v>
      </c>
      <c r="F372" s="33" t="str">
        <f>IFERROR(VLOOKUP(TRIM(E372),ACTIVIDADES!$A$1:$D$17,2,FALSE),"NO ENCONTRADO")</f>
        <v>MANEJO DE SOMBRA</v>
      </c>
      <c r="G372" s="63">
        <v>1</v>
      </c>
      <c r="H372" s="38">
        <f>IFERROR(VLOOKUP(TRIM(E372),ACTIVIDADES!$A$1:$D$17,4,FALSE),"")</f>
        <v>75</v>
      </c>
      <c r="I372" s="35">
        <f t="shared" si="5"/>
        <v>75</v>
      </c>
    </row>
    <row r="373" spans="1:9" x14ac:dyDescent="0.3">
      <c r="A373" s="28">
        <v>46168</v>
      </c>
      <c r="B373" s="1">
        <v>36</v>
      </c>
      <c r="C373" s="24" t="s">
        <v>109</v>
      </c>
      <c r="D373" s="55" t="s">
        <v>155</v>
      </c>
      <c r="E373" s="55" t="s">
        <v>60</v>
      </c>
      <c r="F373" s="33" t="str">
        <f>IFERROR(VLOOKUP(TRIM(E373),ACTIVIDADES!$A$1:$D$17,2,FALSE),"NO ENCONTRADO")</f>
        <v>MANEJO DE SOMBRA</v>
      </c>
      <c r="G373" s="63">
        <v>1</v>
      </c>
      <c r="H373" s="38">
        <f>IFERROR(VLOOKUP(TRIM(E373),ACTIVIDADES!$A$1:$D$17,4,FALSE),"")</f>
        <v>75</v>
      </c>
      <c r="I373" s="35">
        <f t="shared" si="5"/>
        <v>75</v>
      </c>
    </row>
    <row r="374" spans="1:9" x14ac:dyDescent="0.3">
      <c r="A374" s="28">
        <v>46168</v>
      </c>
      <c r="B374" s="1">
        <v>37</v>
      </c>
      <c r="C374" s="53" t="s">
        <v>42</v>
      </c>
      <c r="D374" s="55" t="s">
        <v>155</v>
      </c>
      <c r="E374" s="55" t="s">
        <v>60</v>
      </c>
      <c r="F374" s="33" t="str">
        <f>IFERROR(VLOOKUP(TRIM(E374),ACTIVIDADES!$A$1:$D$17,2,FALSE),"NO ENCONTRADO")</f>
        <v>MANEJO DE SOMBRA</v>
      </c>
      <c r="G374" s="63">
        <v>1</v>
      </c>
      <c r="H374" s="38">
        <f>IFERROR(VLOOKUP(TRIM(E374),ACTIVIDADES!$A$1:$D$17,4,FALSE),"")</f>
        <v>75</v>
      </c>
      <c r="I374" s="35">
        <f t="shared" si="5"/>
        <v>75</v>
      </c>
    </row>
    <row r="375" spans="1:9" x14ac:dyDescent="0.3">
      <c r="A375" s="28">
        <v>46168</v>
      </c>
      <c r="B375" s="1">
        <v>38</v>
      </c>
      <c r="C375" s="55" t="s">
        <v>43</v>
      </c>
      <c r="D375" s="55" t="s">
        <v>155</v>
      </c>
      <c r="E375" s="55" t="s">
        <v>60</v>
      </c>
      <c r="F375" s="33" t="str">
        <f>IFERROR(VLOOKUP(TRIM(E375),ACTIVIDADES!$A$1:$D$17,2,FALSE),"NO ENCONTRADO")</f>
        <v>MANEJO DE SOMBRA</v>
      </c>
      <c r="G375" s="63">
        <v>1</v>
      </c>
      <c r="H375" s="38">
        <f>IFERROR(VLOOKUP(TRIM(E375),ACTIVIDADES!$A$1:$D$17,4,FALSE),"")</f>
        <v>75</v>
      </c>
      <c r="I375" s="35">
        <f t="shared" si="5"/>
        <v>75</v>
      </c>
    </row>
    <row r="376" spans="1:9" x14ac:dyDescent="0.3">
      <c r="A376" s="28">
        <v>46168</v>
      </c>
      <c r="B376" s="1">
        <v>39</v>
      </c>
      <c r="C376" s="24" t="s">
        <v>44</v>
      </c>
      <c r="D376" s="55" t="s">
        <v>46</v>
      </c>
      <c r="E376" s="55" t="s">
        <v>75</v>
      </c>
      <c r="F376" s="33" t="str">
        <f>IFERROR(VLOOKUP(TRIM(E376),ACTIVIDADES!$A$1:$D$17,2,FALSE),"NO ENCONTRADO")</f>
        <v>TRAZADO PARA SIEMBRA</v>
      </c>
      <c r="G376" s="63">
        <v>1</v>
      </c>
      <c r="H376" s="38">
        <f>IFERROR(VLOOKUP(TRIM(E376),ACTIVIDADES!$A$1:$D$17,4,FALSE),"")</f>
        <v>75</v>
      </c>
      <c r="I376" s="35">
        <f t="shared" si="5"/>
        <v>75</v>
      </c>
    </row>
    <row r="377" spans="1:9" x14ac:dyDescent="0.3">
      <c r="A377" s="57">
        <v>46169</v>
      </c>
      <c r="B377" s="1">
        <v>1</v>
      </c>
      <c r="C377" s="40" t="s">
        <v>6</v>
      </c>
      <c r="D377" s="1" t="s">
        <v>49</v>
      </c>
      <c r="E377" s="1" t="s">
        <v>49</v>
      </c>
      <c r="F377" s="33" t="str">
        <f>IFERROR(VLOOKUP(TRIM(E377),ACTIVIDADES!$A$1:$D$17,2,FALSE),"NO ENCONTRADO")</f>
        <v>CAPORAL</v>
      </c>
      <c r="G377" s="63">
        <v>1</v>
      </c>
      <c r="H377" s="38">
        <f>IFERROR(VLOOKUP(TRIM(E377),ACTIVIDADES!$A$1:$D$17,4,FALSE),"")</f>
        <v>100</v>
      </c>
      <c r="I377" s="35">
        <f t="shared" si="5"/>
        <v>100</v>
      </c>
    </row>
    <row r="378" spans="1:9" x14ac:dyDescent="0.3">
      <c r="A378" s="28">
        <v>46169</v>
      </c>
      <c r="B378" s="1">
        <v>2</v>
      </c>
      <c r="C378" s="29" t="s">
        <v>10</v>
      </c>
      <c r="D378" s="1" t="s">
        <v>49</v>
      </c>
      <c r="E378" s="1" t="s">
        <v>49</v>
      </c>
      <c r="F378" s="33" t="str">
        <f>IFERROR(VLOOKUP(TRIM(E378),ACTIVIDADES!$A$1:$D$17,2,FALSE),"NO ENCONTRADO")</f>
        <v>CAPORAL</v>
      </c>
      <c r="G378" s="63">
        <v>1</v>
      </c>
      <c r="H378" s="38">
        <f>IFERROR(VLOOKUP(TRIM(E378),ACTIVIDADES!$A$1:$D$17,4,FALSE),"")</f>
        <v>100</v>
      </c>
      <c r="I378" s="35">
        <f t="shared" si="5"/>
        <v>100</v>
      </c>
    </row>
    <row r="379" spans="1:9" x14ac:dyDescent="0.3">
      <c r="A379" s="28">
        <v>46169</v>
      </c>
      <c r="B379" s="1">
        <v>3</v>
      </c>
      <c r="C379" s="29" t="s">
        <v>22</v>
      </c>
      <c r="D379" s="53" t="s">
        <v>49</v>
      </c>
      <c r="E379" s="53" t="s">
        <v>49</v>
      </c>
      <c r="F379" s="33" t="str">
        <f>IFERROR(VLOOKUP(TRIM(E379),ACTIVIDADES!$A$1:$D$17,2,FALSE),"NO ENCONTRADO")</f>
        <v>CAPORAL</v>
      </c>
      <c r="G379" s="63">
        <v>1</v>
      </c>
      <c r="H379" s="38">
        <f>IFERROR(VLOOKUP(TRIM(E379),ACTIVIDADES!$A$1:$D$17,4,FALSE),"")</f>
        <v>100</v>
      </c>
      <c r="I379" s="35">
        <f t="shared" si="5"/>
        <v>100</v>
      </c>
    </row>
    <row r="380" spans="1:9" x14ac:dyDescent="0.3">
      <c r="A380" s="28">
        <v>46169</v>
      </c>
      <c r="B380" s="1">
        <v>4</v>
      </c>
      <c r="C380" s="40" t="s">
        <v>36</v>
      </c>
      <c r="D380" s="53" t="s">
        <v>150</v>
      </c>
      <c r="E380" s="47" t="s">
        <v>149</v>
      </c>
      <c r="F380" s="33" t="str">
        <f>IFERROR(VLOOKUP(TRIM(E380),ACTIVIDADES!$A$1:$D$17,2,FALSE),"NO ENCONTRADO")</f>
        <v>HACIENDA</v>
      </c>
      <c r="G380" s="63">
        <v>1</v>
      </c>
      <c r="H380" s="38">
        <f>IFERROR(VLOOKUP(TRIM(E380),ACTIVIDADES!$A$1:$D$17,4,FALSE),"")</f>
        <v>65</v>
      </c>
      <c r="I380" s="35">
        <f t="shared" si="5"/>
        <v>65</v>
      </c>
    </row>
    <row r="381" spans="1:9" x14ac:dyDescent="0.3">
      <c r="A381" s="28">
        <v>46169</v>
      </c>
      <c r="B381" s="1">
        <v>5</v>
      </c>
      <c r="C381" s="29" t="s">
        <v>38</v>
      </c>
      <c r="D381" s="47" t="s">
        <v>150</v>
      </c>
      <c r="E381" s="47" t="s">
        <v>149</v>
      </c>
      <c r="F381" s="33" t="str">
        <f>IFERROR(VLOOKUP(TRIM(E381),ACTIVIDADES!$A$1:$D$17,2,FALSE),"NO ENCONTRADO")</f>
        <v>HACIENDA</v>
      </c>
      <c r="G381" s="63">
        <v>1</v>
      </c>
      <c r="H381" s="38">
        <f>IFERROR(VLOOKUP(TRIM(E381),ACTIVIDADES!$A$1:$D$17,4,FALSE),"")</f>
        <v>65</v>
      </c>
      <c r="I381" s="35">
        <f t="shared" si="5"/>
        <v>65</v>
      </c>
    </row>
    <row r="382" spans="1:9" x14ac:dyDescent="0.3">
      <c r="A382" s="28">
        <v>46169</v>
      </c>
      <c r="B382" s="1">
        <v>6</v>
      </c>
      <c r="C382" s="24" t="s">
        <v>11</v>
      </c>
      <c r="D382" s="55" t="s">
        <v>69</v>
      </c>
      <c r="E382" s="55" t="s">
        <v>117</v>
      </c>
      <c r="F382" s="33" t="str">
        <f>IFERROR(VLOOKUP(TRIM(E382),ACTIVIDADES!$A$1:$D$17,2,FALSE),"NO ENCONTRADO")</f>
        <v>FERTILIZACION</v>
      </c>
      <c r="G382" s="63">
        <v>4</v>
      </c>
      <c r="H382" s="38">
        <f>IFERROR(VLOOKUP(TRIM(E382),ACTIVIDADES!$A$1:$D$17,4,FALSE),"")</f>
        <v>17.5</v>
      </c>
      <c r="I382" s="35">
        <f t="shared" si="5"/>
        <v>70</v>
      </c>
    </row>
    <row r="383" spans="1:9" x14ac:dyDescent="0.3">
      <c r="A383" s="28">
        <v>46169</v>
      </c>
      <c r="B383" s="1">
        <v>7</v>
      </c>
      <c r="C383" s="54" t="s">
        <v>12</v>
      </c>
      <c r="D383" s="55" t="s">
        <v>46</v>
      </c>
      <c r="E383" s="55" t="s">
        <v>75</v>
      </c>
      <c r="F383" s="33" t="str">
        <f>IFERROR(VLOOKUP(TRIM(E383),ACTIVIDADES!$A$1:$D$17,2,FALSE),"NO ENCONTRADO")</f>
        <v>TRAZADO PARA SIEMBRA</v>
      </c>
      <c r="G383" s="63">
        <v>1</v>
      </c>
      <c r="H383" s="38">
        <f>IFERROR(VLOOKUP(TRIM(E383),ACTIVIDADES!$A$1:$D$17,4,FALSE),"")</f>
        <v>75</v>
      </c>
      <c r="I383" s="35">
        <f t="shared" si="5"/>
        <v>75</v>
      </c>
    </row>
    <row r="384" spans="1:9" x14ac:dyDescent="0.3">
      <c r="A384" s="28">
        <v>46169</v>
      </c>
      <c r="B384" s="1">
        <v>8</v>
      </c>
      <c r="C384" s="24" t="s">
        <v>84</v>
      </c>
      <c r="D384" s="55" t="s">
        <v>47</v>
      </c>
      <c r="E384" s="55" t="s">
        <v>117</v>
      </c>
      <c r="F384" s="33" t="str">
        <f>IFERROR(VLOOKUP(TRIM(E384),ACTIVIDADES!$A$1:$D$17,2,FALSE),"NO ENCONTRADO")</f>
        <v>FERTILIZACION</v>
      </c>
      <c r="G384" s="63">
        <v>4</v>
      </c>
      <c r="H384" s="38">
        <f>IFERROR(VLOOKUP(TRIM(E384),ACTIVIDADES!$A$1:$D$17,4,FALSE),"")</f>
        <v>17.5</v>
      </c>
      <c r="I384" s="35">
        <f t="shared" si="5"/>
        <v>70</v>
      </c>
    </row>
    <row r="385" spans="1:9" x14ac:dyDescent="0.3">
      <c r="A385" s="28">
        <v>46169</v>
      </c>
      <c r="B385" s="1">
        <v>9</v>
      </c>
      <c r="C385" s="55" t="s">
        <v>82</v>
      </c>
      <c r="D385" s="55" t="s">
        <v>47</v>
      </c>
      <c r="E385" s="55" t="s">
        <v>117</v>
      </c>
      <c r="F385" s="33" t="str">
        <f>IFERROR(VLOOKUP(TRIM(E385),ACTIVIDADES!$A$1:$D$17,2,FALSE),"NO ENCONTRADO")</f>
        <v>FERTILIZACION</v>
      </c>
      <c r="G385" s="63">
        <v>3</v>
      </c>
      <c r="H385" s="38">
        <f>IFERROR(VLOOKUP(TRIM(E385),ACTIVIDADES!$A$1:$D$17,4,FALSE),"")</f>
        <v>17.5</v>
      </c>
      <c r="I385" s="35">
        <f t="shared" si="5"/>
        <v>52.5</v>
      </c>
    </row>
    <row r="386" spans="1:9" x14ac:dyDescent="0.3">
      <c r="A386" s="28">
        <v>46169</v>
      </c>
      <c r="B386" s="1">
        <v>10</v>
      </c>
      <c r="C386" s="40" t="s">
        <v>14</v>
      </c>
      <c r="D386" s="55" t="s">
        <v>47</v>
      </c>
      <c r="E386" s="55" t="s">
        <v>117</v>
      </c>
      <c r="F386" s="33" t="str">
        <f>IFERROR(VLOOKUP(TRIM(E386),ACTIVIDADES!$A$1:$D$17,2,FALSE),"NO ENCONTRADO")</f>
        <v>FERTILIZACION</v>
      </c>
      <c r="G386" s="63">
        <v>4</v>
      </c>
      <c r="H386" s="38">
        <f>IFERROR(VLOOKUP(TRIM(E386),ACTIVIDADES!$A$1:$D$17,4,FALSE),"")</f>
        <v>17.5</v>
      </c>
      <c r="I386" s="35">
        <f t="shared" ref="I386:I449" si="6">IFERROR(G386*H386,"")</f>
        <v>70</v>
      </c>
    </row>
    <row r="387" spans="1:9" x14ac:dyDescent="0.3">
      <c r="A387" s="28">
        <v>46169</v>
      </c>
      <c r="B387" s="1">
        <v>11</v>
      </c>
      <c r="C387" s="24" t="s">
        <v>85</v>
      </c>
      <c r="D387" s="55" t="s">
        <v>69</v>
      </c>
      <c r="E387" s="55" t="s">
        <v>117</v>
      </c>
      <c r="F387" s="33" t="str">
        <f>IFERROR(VLOOKUP(TRIM(E387),ACTIVIDADES!$A$1:$D$17,2,FALSE),"NO ENCONTRADO")</f>
        <v>FERTILIZACION</v>
      </c>
      <c r="G387" s="63">
        <v>4</v>
      </c>
      <c r="H387" s="38">
        <f>IFERROR(VLOOKUP(TRIM(E387),ACTIVIDADES!$A$1:$D$17,4,FALSE),"")</f>
        <v>17.5</v>
      </c>
      <c r="I387" s="35">
        <f t="shared" si="6"/>
        <v>70</v>
      </c>
    </row>
    <row r="388" spans="1:9" x14ac:dyDescent="0.3">
      <c r="A388" s="28">
        <v>46169</v>
      </c>
      <c r="B388" s="1">
        <v>12</v>
      </c>
      <c r="C388" s="24" t="s">
        <v>17</v>
      </c>
      <c r="D388" s="55" t="s">
        <v>47</v>
      </c>
      <c r="E388" s="55" t="s">
        <v>117</v>
      </c>
      <c r="F388" s="33" t="str">
        <f>IFERROR(VLOOKUP(TRIM(E388),ACTIVIDADES!$A$1:$D$17,2,FALSE),"NO ENCONTRADO")</f>
        <v>FERTILIZACION</v>
      </c>
      <c r="G388" s="63">
        <v>4</v>
      </c>
      <c r="H388" s="38">
        <f>IFERROR(VLOOKUP(TRIM(E388),ACTIVIDADES!$A$1:$D$17,4,FALSE),"")</f>
        <v>17.5</v>
      </c>
      <c r="I388" s="35">
        <f t="shared" si="6"/>
        <v>70</v>
      </c>
    </row>
    <row r="389" spans="1:9" x14ac:dyDescent="0.3">
      <c r="A389" s="28">
        <v>46169</v>
      </c>
      <c r="B389" s="1">
        <v>13</v>
      </c>
      <c r="C389" s="24" t="s">
        <v>18</v>
      </c>
      <c r="D389" s="55" t="s">
        <v>46</v>
      </c>
      <c r="E389" s="55" t="s">
        <v>75</v>
      </c>
      <c r="F389" s="33" t="str">
        <f>IFERROR(VLOOKUP(TRIM(E389),ACTIVIDADES!$A$1:$D$17,2,FALSE),"NO ENCONTRADO")</f>
        <v>TRAZADO PARA SIEMBRA</v>
      </c>
      <c r="G389" s="63">
        <v>1</v>
      </c>
      <c r="H389" s="38">
        <f>IFERROR(VLOOKUP(TRIM(E389),ACTIVIDADES!$A$1:$D$17,4,FALSE),"")</f>
        <v>75</v>
      </c>
      <c r="I389" s="35">
        <f t="shared" si="6"/>
        <v>75</v>
      </c>
    </row>
    <row r="390" spans="1:9" x14ac:dyDescent="0.3">
      <c r="A390" s="28">
        <v>46169</v>
      </c>
      <c r="B390" s="1">
        <v>14</v>
      </c>
      <c r="C390" s="24" t="s">
        <v>88</v>
      </c>
      <c r="D390" s="55" t="s">
        <v>47</v>
      </c>
      <c r="E390" s="55" t="s">
        <v>117</v>
      </c>
      <c r="F390" s="33" t="str">
        <f>IFERROR(VLOOKUP(TRIM(E390),ACTIVIDADES!$A$1:$D$17,2,FALSE),"NO ENCONTRADO")</f>
        <v>FERTILIZACION</v>
      </c>
      <c r="G390" s="63">
        <v>4</v>
      </c>
      <c r="H390" s="38">
        <f>IFERROR(VLOOKUP(TRIM(E390),ACTIVIDADES!$A$1:$D$17,4,FALSE),"")</f>
        <v>17.5</v>
      </c>
      <c r="I390" s="35">
        <f t="shared" si="6"/>
        <v>70</v>
      </c>
    </row>
    <row r="391" spans="1:9" x14ac:dyDescent="0.3">
      <c r="A391" s="28">
        <v>46169</v>
      </c>
      <c r="B391" s="1">
        <v>15</v>
      </c>
      <c r="C391" s="40" t="s">
        <v>20</v>
      </c>
      <c r="D391" s="55" t="s">
        <v>55</v>
      </c>
      <c r="E391" s="55" t="s">
        <v>65</v>
      </c>
      <c r="F391" s="33" t="str">
        <f>IFERROR(VLOOKUP(TRIM(E391),ACTIVIDADES!$A$1:$D$17,2,FALSE),"NO ENCONTRADO")</f>
        <v>CARBON</v>
      </c>
      <c r="G391" s="63">
        <v>1</v>
      </c>
      <c r="H391" s="38">
        <f>IFERROR(VLOOKUP(TRIM(E391),ACTIVIDADES!$A$1:$D$17,4,FALSE),"")</f>
        <v>75</v>
      </c>
      <c r="I391" s="35">
        <f t="shared" si="6"/>
        <v>75</v>
      </c>
    </row>
    <row r="392" spans="1:9" x14ac:dyDescent="0.3">
      <c r="A392" s="28">
        <v>46169</v>
      </c>
      <c r="B392" s="1">
        <v>16</v>
      </c>
      <c r="C392" s="24" t="s">
        <v>90</v>
      </c>
      <c r="D392" s="55" t="s">
        <v>47</v>
      </c>
      <c r="E392" s="55" t="s">
        <v>117</v>
      </c>
      <c r="F392" s="33" t="str">
        <f>IFERROR(VLOOKUP(TRIM(E392),ACTIVIDADES!$A$1:$D$17,2,FALSE),"NO ENCONTRADO")</f>
        <v>FERTILIZACION</v>
      </c>
      <c r="G392" s="63">
        <v>4</v>
      </c>
      <c r="H392" s="38">
        <f>IFERROR(VLOOKUP(TRIM(E392),ACTIVIDADES!$A$1:$D$17,4,FALSE),"")</f>
        <v>17.5</v>
      </c>
      <c r="I392" s="35">
        <f t="shared" si="6"/>
        <v>70</v>
      </c>
    </row>
    <row r="393" spans="1:9" x14ac:dyDescent="0.3">
      <c r="A393" s="28">
        <v>46169</v>
      </c>
      <c r="B393" s="1">
        <v>17</v>
      </c>
      <c r="C393" s="24" t="s">
        <v>91</v>
      </c>
      <c r="D393" s="55" t="s">
        <v>47</v>
      </c>
      <c r="E393" s="55" t="s">
        <v>117</v>
      </c>
      <c r="F393" s="33" t="str">
        <f>IFERROR(VLOOKUP(TRIM(E393),ACTIVIDADES!$A$1:$D$17,2,FALSE),"NO ENCONTRADO")</f>
        <v>FERTILIZACION</v>
      </c>
      <c r="G393" s="63">
        <v>4</v>
      </c>
      <c r="H393" s="38">
        <f>IFERROR(VLOOKUP(TRIM(E393),ACTIVIDADES!$A$1:$D$17,4,FALSE),"")</f>
        <v>17.5</v>
      </c>
      <c r="I393" s="35">
        <f t="shared" si="6"/>
        <v>70</v>
      </c>
    </row>
    <row r="394" spans="1:9" x14ac:dyDescent="0.3">
      <c r="A394" s="28">
        <v>46169</v>
      </c>
      <c r="B394" s="1">
        <v>18</v>
      </c>
      <c r="C394" s="30" t="s">
        <v>23</v>
      </c>
      <c r="D394" s="55" t="s">
        <v>47</v>
      </c>
      <c r="E394" s="55" t="s">
        <v>117</v>
      </c>
      <c r="F394" s="33" t="str">
        <f>IFERROR(VLOOKUP(TRIM(E394),ACTIVIDADES!$A$1:$D$17,2,FALSE),"NO ENCONTRADO")</f>
        <v>FERTILIZACION</v>
      </c>
      <c r="G394" s="63">
        <v>3</v>
      </c>
      <c r="H394" s="38">
        <f>IFERROR(VLOOKUP(TRIM(E394),ACTIVIDADES!$A$1:$D$17,4,FALSE),"")</f>
        <v>17.5</v>
      </c>
      <c r="I394" s="35">
        <f t="shared" si="6"/>
        <v>52.5</v>
      </c>
    </row>
    <row r="395" spans="1:9" x14ac:dyDescent="0.3">
      <c r="A395" s="28">
        <v>46169</v>
      </c>
      <c r="B395" s="1">
        <v>19</v>
      </c>
      <c r="C395" s="53" t="s">
        <v>92</v>
      </c>
      <c r="D395" s="55" t="s">
        <v>55</v>
      </c>
      <c r="E395" s="55" t="s">
        <v>65</v>
      </c>
      <c r="F395" s="33" t="str">
        <f>IFERROR(VLOOKUP(TRIM(E395),ACTIVIDADES!$A$1:$D$17,2,FALSE),"NO ENCONTRADO")</f>
        <v>CARBON</v>
      </c>
      <c r="G395" s="63">
        <v>1</v>
      </c>
      <c r="H395" s="38">
        <f>IFERROR(VLOOKUP(TRIM(E395),ACTIVIDADES!$A$1:$D$17,4,FALSE),"")</f>
        <v>75</v>
      </c>
      <c r="I395" s="35">
        <f t="shared" si="6"/>
        <v>75</v>
      </c>
    </row>
    <row r="396" spans="1:9" x14ac:dyDescent="0.3">
      <c r="A396" s="28">
        <v>46169</v>
      </c>
      <c r="B396" s="1">
        <v>20</v>
      </c>
      <c r="C396" s="24" t="s">
        <v>25</v>
      </c>
      <c r="D396" s="55" t="s">
        <v>46</v>
      </c>
      <c r="E396" s="55" t="s">
        <v>75</v>
      </c>
      <c r="F396" s="33" t="str">
        <f>IFERROR(VLOOKUP(TRIM(E396),ACTIVIDADES!$A$1:$D$17,2,FALSE),"NO ENCONTRADO")</f>
        <v>TRAZADO PARA SIEMBRA</v>
      </c>
      <c r="G396" s="63">
        <v>1</v>
      </c>
      <c r="H396" s="38">
        <f>IFERROR(VLOOKUP(TRIM(E396),ACTIVIDADES!$A$1:$D$17,4,FALSE),"")</f>
        <v>75</v>
      </c>
      <c r="I396" s="35">
        <f t="shared" si="6"/>
        <v>75</v>
      </c>
    </row>
    <row r="397" spans="1:9" x14ac:dyDescent="0.3">
      <c r="A397" s="28">
        <v>46169</v>
      </c>
      <c r="B397" s="1">
        <v>21</v>
      </c>
      <c r="C397" s="29" t="s">
        <v>26</v>
      </c>
      <c r="D397" s="55" t="s">
        <v>69</v>
      </c>
      <c r="E397" s="55" t="s">
        <v>117</v>
      </c>
      <c r="F397" s="33" t="str">
        <f>IFERROR(VLOOKUP(TRIM(E397),ACTIVIDADES!$A$1:$D$17,2,FALSE),"NO ENCONTRADO")</f>
        <v>FERTILIZACION</v>
      </c>
      <c r="G397" s="63">
        <v>4</v>
      </c>
      <c r="H397" s="38">
        <f>IFERROR(VLOOKUP(TRIM(E397),ACTIVIDADES!$A$1:$D$17,4,FALSE),"")</f>
        <v>17.5</v>
      </c>
      <c r="I397" s="35">
        <f t="shared" si="6"/>
        <v>70</v>
      </c>
    </row>
    <row r="398" spans="1:9" x14ac:dyDescent="0.3">
      <c r="A398" s="28">
        <v>46169</v>
      </c>
      <c r="B398" s="1">
        <v>22</v>
      </c>
      <c r="C398" s="24" t="s">
        <v>27</v>
      </c>
      <c r="D398" s="55" t="s">
        <v>69</v>
      </c>
      <c r="E398" s="55" t="s">
        <v>117</v>
      </c>
      <c r="F398" s="33" t="str">
        <f>IFERROR(VLOOKUP(TRIM(E398),ACTIVIDADES!$A$1:$D$17,2,FALSE),"NO ENCONTRADO")</f>
        <v>FERTILIZACION</v>
      </c>
      <c r="G398" s="63">
        <v>4</v>
      </c>
      <c r="H398" s="38">
        <f>IFERROR(VLOOKUP(TRIM(E398),ACTIVIDADES!$A$1:$D$17,4,FALSE),"")</f>
        <v>17.5</v>
      </c>
      <c r="I398" s="35">
        <f t="shared" si="6"/>
        <v>70</v>
      </c>
    </row>
    <row r="399" spans="1:9" x14ac:dyDescent="0.3">
      <c r="A399" s="28">
        <v>46169</v>
      </c>
      <c r="B399" s="1">
        <v>23</v>
      </c>
      <c r="C399" s="24" t="s">
        <v>96</v>
      </c>
      <c r="D399" s="55" t="s">
        <v>69</v>
      </c>
      <c r="E399" s="55" t="s">
        <v>117</v>
      </c>
      <c r="F399" s="33" t="str">
        <f>IFERROR(VLOOKUP(TRIM(E399),ACTIVIDADES!$A$1:$D$17,2,FALSE),"NO ENCONTRADO")</f>
        <v>FERTILIZACION</v>
      </c>
      <c r="G399" s="63">
        <v>4</v>
      </c>
      <c r="H399" s="38">
        <f>IFERROR(VLOOKUP(TRIM(E399),ACTIVIDADES!$A$1:$D$17,4,FALSE),"")</f>
        <v>17.5</v>
      </c>
      <c r="I399" s="35">
        <f t="shared" si="6"/>
        <v>70</v>
      </c>
    </row>
    <row r="400" spans="1:9" x14ac:dyDescent="0.3">
      <c r="A400" s="28">
        <v>46169</v>
      </c>
      <c r="B400" s="1">
        <v>24</v>
      </c>
      <c r="C400" s="24" t="s">
        <v>29</v>
      </c>
      <c r="D400" s="55" t="s">
        <v>47</v>
      </c>
      <c r="E400" s="55" t="s">
        <v>117</v>
      </c>
      <c r="F400" s="33" t="str">
        <f>IFERROR(VLOOKUP(TRIM(E400),ACTIVIDADES!$A$1:$D$17,2,FALSE),"NO ENCONTRADO")</f>
        <v>FERTILIZACION</v>
      </c>
      <c r="G400" s="63">
        <v>4</v>
      </c>
      <c r="H400" s="38">
        <f>IFERROR(VLOOKUP(TRIM(E400),ACTIVIDADES!$A$1:$D$17,4,FALSE),"")</f>
        <v>17.5</v>
      </c>
      <c r="I400" s="35">
        <f t="shared" si="6"/>
        <v>70</v>
      </c>
    </row>
    <row r="401" spans="1:9" x14ac:dyDescent="0.3">
      <c r="A401" s="28">
        <v>46169</v>
      </c>
      <c r="B401" s="1">
        <v>25</v>
      </c>
      <c r="C401" s="24" t="s">
        <v>30</v>
      </c>
      <c r="D401" s="55" t="s">
        <v>47</v>
      </c>
      <c r="E401" s="55" t="s">
        <v>117</v>
      </c>
      <c r="F401" s="33" t="str">
        <f>IFERROR(VLOOKUP(TRIM(E401),ACTIVIDADES!$A$1:$D$17,2,FALSE),"NO ENCONTRADO")</f>
        <v>FERTILIZACION</v>
      </c>
      <c r="G401" s="63">
        <v>3</v>
      </c>
      <c r="H401" s="38">
        <f>IFERROR(VLOOKUP(TRIM(E401),ACTIVIDADES!$A$1:$D$17,4,FALSE),"")</f>
        <v>17.5</v>
      </c>
      <c r="I401" s="35">
        <f t="shared" si="6"/>
        <v>52.5</v>
      </c>
    </row>
    <row r="402" spans="1:9" x14ac:dyDescent="0.3">
      <c r="A402" s="28">
        <v>46169</v>
      </c>
      <c r="B402" s="1">
        <v>26</v>
      </c>
      <c r="C402" s="24" t="s">
        <v>99</v>
      </c>
      <c r="D402" s="55" t="s">
        <v>47</v>
      </c>
      <c r="E402" s="55" t="s">
        <v>117</v>
      </c>
      <c r="F402" s="33" t="str">
        <f>IFERROR(VLOOKUP(TRIM(E402),ACTIVIDADES!$A$1:$D$17,2,FALSE),"NO ENCONTRADO")</f>
        <v>FERTILIZACION</v>
      </c>
      <c r="G402" s="63">
        <v>4</v>
      </c>
      <c r="H402" s="38">
        <f>IFERROR(VLOOKUP(TRIM(E402),ACTIVIDADES!$A$1:$D$17,4,FALSE),"")</f>
        <v>17.5</v>
      </c>
      <c r="I402" s="35">
        <f t="shared" si="6"/>
        <v>70</v>
      </c>
    </row>
    <row r="403" spans="1:9" x14ac:dyDescent="0.3">
      <c r="A403" s="28">
        <v>46169</v>
      </c>
      <c r="B403" s="1">
        <v>27</v>
      </c>
      <c r="C403" s="55" t="s">
        <v>100</v>
      </c>
      <c r="D403" s="55" t="s">
        <v>46</v>
      </c>
      <c r="E403" s="55" t="s">
        <v>75</v>
      </c>
      <c r="F403" s="33" t="str">
        <f>IFERROR(VLOOKUP(TRIM(E403),ACTIVIDADES!$A$1:$D$17,2,FALSE),"NO ENCONTRADO")</f>
        <v>TRAZADO PARA SIEMBRA</v>
      </c>
      <c r="G403" s="63">
        <v>1</v>
      </c>
      <c r="H403" s="38">
        <f>IFERROR(VLOOKUP(TRIM(E403),ACTIVIDADES!$A$1:$D$17,4,FALSE),"")</f>
        <v>75</v>
      </c>
      <c r="I403" s="35">
        <f t="shared" si="6"/>
        <v>75</v>
      </c>
    </row>
    <row r="404" spans="1:9" x14ac:dyDescent="0.3">
      <c r="A404" s="28">
        <v>46169</v>
      </c>
      <c r="B404" s="1">
        <v>28</v>
      </c>
      <c r="C404" s="24" t="s">
        <v>33</v>
      </c>
      <c r="D404" s="55" t="s">
        <v>47</v>
      </c>
      <c r="E404" s="55" t="s">
        <v>117</v>
      </c>
      <c r="F404" s="33" t="str">
        <f>IFERROR(VLOOKUP(TRIM(E404),ACTIVIDADES!$A$1:$D$17,2,FALSE),"NO ENCONTRADO")</f>
        <v>FERTILIZACION</v>
      </c>
      <c r="G404" s="63">
        <v>4</v>
      </c>
      <c r="H404" s="38">
        <f>IFERROR(VLOOKUP(TRIM(E404),ACTIVIDADES!$A$1:$D$17,4,FALSE),"")</f>
        <v>17.5</v>
      </c>
      <c r="I404" s="35">
        <f t="shared" si="6"/>
        <v>70</v>
      </c>
    </row>
    <row r="405" spans="1:9" x14ac:dyDescent="0.3">
      <c r="A405" s="28">
        <v>46169</v>
      </c>
      <c r="B405" s="1">
        <v>29</v>
      </c>
      <c r="C405" s="24" t="s">
        <v>102</v>
      </c>
      <c r="D405" s="55" t="s">
        <v>69</v>
      </c>
      <c r="E405" s="55" t="s">
        <v>117</v>
      </c>
      <c r="F405" s="33" t="str">
        <f>IFERROR(VLOOKUP(TRIM(E405),ACTIVIDADES!$A$1:$D$17,2,FALSE),"NO ENCONTRADO")</f>
        <v>FERTILIZACION</v>
      </c>
      <c r="G405" s="63">
        <v>4</v>
      </c>
      <c r="H405" s="38">
        <f>IFERROR(VLOOKUP(TRIM(E405),ACTIVIDADES!$A$1:$D$17,4,FALSE),"")</f>
        <v>17.5</v>
      </c>
      <c r="I405" s="35">
        <f t="shared" si="6"/>
        <v>70</v>
      </c>
    </row>
    <row r="406" spans="1:9" x14ac:dyDescent="0.3">
      <c r="A406" s="28">
        <v>46169</v>
      </c>
      <c r="B406" s="1">
        <v>30</v>
      </c>
      <c r="C406" s="24" t="s">
        <v>35</v>
      </c>
      <c r="D406" s="55" t="s">
        <v>46</v>
      </c>
      <c r="E406" s="55" t="s">
        <v>75</v>
      </c>
      <c r="F406" s="33" t="str">
        <f>IFERROR(VLOOKUP(TRIM(E406),ACTIVIDADES!$A$1:$D$17,2,FALSE),"NO ENCONTRADO")</f>
        <v>TRAZADO PARA SIEMBRA</v>
      </c>
      <c r="G406" s="63">
        <v>1</v>
      </c>
      <c r="H406" s="38">
        <f>IFERROR(VLOOKUP(TRIM(E406),ACTIVIDADES!$A$1:$D$17,4,FALSE),"")</f>
        <v>75</v>
      </c>
      <c r="I406" s="35">
        <f t="shared" si="6"/>
        <v>75</v>
      </c>
    </row>
    <row r="407" spans="1:9" x14ac:dyDescent="0.3">
      <c r="A407" s="28">
        <v>46169</v>
      </c>
      <c r="B407" s="1">
        <v>31</v>
      </c>
      <c r="C407" s="24" t="s">
        <v>9</v>
      </c>
      <c r="D407" s="55" t="s">
        <v>69</v>
      </c>
      <c r="E407" s="55" t="s">
        <v>117</v>
      </c>
      <c r="F407" s="33" t="str">
        <f>IFERROR(VLOOKUP(TRIM(E407),ACTIVIDADES!$A$1:$D$17,2,FALSE),"NO ENCONTRADO")</f>
        <v>FERTILIZACION</v>
      </c>
      <c r="G407" s="63">
        <v>4</v>
      </c>
      <c r="H407" s="38">
        <f>IFERROR(VLOOKUP(TRIM(E407),ACTIVIDADES!$A$1:$D$17,4,FALSE),"")</f>
        <v>17.5</v>
      </c>
      <c r="I407" s="35">
        <f t="shared" si="6"/>
        <v>70</v>
      </c>
    </row>
    <row r="408" spans="1:9" x14ac:dyDescent="0.3">
      <c r="A408" s="28">
        <v>46169</v>
      </c>
      <c r="B408" s="1">
        <v>32</v>
      </c>
      <c r="C408" s="55" t="s">
        <v>37</v>
      </c>
      <c r="D408" s="55" t="s">
        <v>47</v>
      </c>
      <c r="E408" s="55" t="s">
        <v>117</v>
      </c>
      <c r="F408" s="33" t="str">
        <f>IFERROR(VLOOKUP(TRIM(E408),ACTIVIDADES!$A$1:$D$17,2,FALSE),"NO ENCONTRADO")</f>
        <v>FERTILIZACION</v>
      </c>
      <c r="G408" s="63">
        <v>4</v>
      </c>
      <c r="H408" s="38">
        <f>IFERROR(VLOOKUP(TRIM(E408),ACTIVIDADES!$A$1:$D$17,4,FALSE),"")</f>
        <v>17.5</v>
      </c>
      <c r="I408" s="35">
        <f t="shared" si="6"/>
        <v>70</v>
      </c>
    </row>
    <row r="409" spans="1:9" x14ac:dyDescent="0.3">
      <c r="A409" s="28">
        <v>46169</v>
      </c>
      <c r="B409" s="1">
        <v>33</v>
      </c>
      <c r="C409" s="24" t="s">
        <v>7</v>
      </c>
      <c r="D409" s="55" t="s">
        <v>69</v>
      </c>
      <c r="E409" s="55" t="s">
        <v>117</v>
      </c>
      <c r="F409" s="33" t="str">
        <f>IFERROR(VLOOKUP(TRIM(E409),ACTIVIDADES!$A$1:$D$17,2,FALSE),"NO ENCONTRADO")</f>
        <v>FERTILIZACION</v>
      </c>
      <c r="G409" s="63">
        <v>4</v>
      </c>
      <c r="H409" s="38">
        <f>IFERROR(VLOOKUP(TRIM(E409),ACTIVIDADES!$A$1:$D$17,4,FALSE),"")</f>
        <v>17.5</v>
      </c>
      <c r="I409" s="35">
        <f t="shared" si="6"/>
        <v>70</v>
      </c>
    </row>
    <row r="410" spans="1:9" x14ac:dyDescent="0.3">
      <c r="A410" s="28">
        <v>46169</v>
      </c>
      <c r="B410" s="1">
        <v>35</v>
      </c>
      <c r="C410" s="24" t="s">
        <v>108</v>
      </c>
      <c r="D410" s="55" t="s">
        <v>69</v>
      </c>
      <c r="E410" s="55" t="s">
        <v>117</v>
      </c>
      <c r="F410" s="33" t="str">
        <f>IFERROR(VLOOKUP(TRIM(E410),ACTIVIDADES!$A$1:$D$17,2,FALSE),"NO ENCONTRADO")</f>
        <v>FERTILIZACION</v>
      </c>
      <c r="G410" s="63">
        <v>4</v>
      </c>
      <c r="H410" s="38">
        <f>IFERROR(VLOOKUP(TRIM(E410),ACTIVIDADES!$A$1:$D$17,4,FALSE),"")</f>
        <v>17.5</v>
      </c>
      <c r="I410" s="35">
        <f t="shared" si="6"/>
        <v>70</v>
      </c>
    </row>
    <row r="411" spans="1:9" x14ac:dyDescent="0.3">
      <c r="A411" s="28">
        <v>46169</v>
      </c>
      <c r="B411" s="1">
        <v>36</v>
      </c>
      <c r="C411" s="24" t="s">
        <v>109</v>
      </c>
      <c r="D411" s="55" t="s">
        <v>47</v>
      </c>
      <c r="E411" s="55" t="s">
        <v>117</v>
      </c>
      <c r="F411" s="33" t="str">
        <f>IFERROR(VLOOKUP(TRIM(E411),ACTIVIDADES!$A$1:$D$17,2,FALSE),"NO ENCONTRADO")</f>
        <v>FERTILIZACION</v>
      </c>
      <c r="G411" s="63">
        <v>4</v>
      </c>
      <c r="H411" s="38">
        <f>IFERROR(VLOOKUP(TRIM(E411),ACTIVIDADES!$A$1:$D$17,4,FALSE),"")</f>
        <v>17.5</v>
      </c>
      <c r="I411" s="35">
        <f t="shared" si="6"/>
        <v>70</v>
      </c>
    </row>
    <row r="412" spans="1:9" x14ac:dyDescent="0.3">
      <c r="A412" s="28">
        <v>46169</v>
      </c>
      <c r="B412" s="1">
        <v>37</v>
      </c>
      <c r="C412" s="53" t="s">
        <v>42</v>
      </c>
      <c r="D412" s="55" t="s">
        <v>69</v>
      </c>
      <c r="E412" s="55" t="s">
        <v>117</v>
      </c>
      <c r="F412" s="33" t="str">
        <f>IFERROR(VLOOKUP(TRIM(E412),ACTIVIDADES!$A$1:$D$17,2,FALSE),"NO ENCONTRADO")</f>
        <v>FERTILIZACION</v>
      </c>
      <c r="G412" s="63">
        <v>4</v>
      </c>
      <c r="H412" s="38">
        <f>IFERROR(VLOOKUP(TRIM(E412),ACTIVIDADES!$A$1:$D$17,4,FALSE),"")</f>
        <v>17.5</v>
      </c>
      <c r="I412" s="35">
        <f t="shared" si="6"/>
        <v>70</v>
      </c>
    </row>
    <row r="413" spans="1:9" x14ac:dyDescent="0.3">
      <c r="A413" s="28">
        <v>46169</v>
      </c>
      <c r="B413" s="1">
        <v>39</v>
      </c>
      <c r="C413" s="24" t="s">
        <v>44</v>
      </c>
      <c r="D413" s="55" t="s">
        <v>46</v>
      </c>
      <c r="E413" s="55" t="s">
        <v>75</v>
      </c>
      <c r="F413" s="33" t="str">
        <f>IFERROR(VLOOKUP(TRIM(E413),ACTIVIDADES!$A$1:$D$17,2,FALSE),"NO ENCONTRADO")</f>
        <v>TRAZADO PARA SIEMBRA</v>
      </c>
      <c r="G413" s="63">
        <v>1</v>
      </c>
      <c r="H413" s="38">
        <f>IFERROR(VLOOKUP(TRIM(E413),ACTIVIDADES!$A$1:$D$17,4,FALSE),"")</f>
        <v>75</v>
      </c>
      <c r="I413" s="35">
        <f t="shared" si="6"/>
        <v>75</v>
      </c>
    </row>
    <row r="414" spans="1:9" x14ac:dyDescent="0.3">
      <c r="A414" s="57">
        <v>46170</v>
      </c>
      <c r="B414" s="1">
        <v>1</v>
      </c>
      <c r="C414" s="40" t="s">
        <v>6</v>
      </c>
      <c r="D414" s="1" t="s">
        <v>49</v>
      </c>
      <c r="E414" s="1" t="s">
        <v>49</v>
      </c>
      <c r="F414" s="33" t="str">
        <f>IFERROR(VLOOKUP(TRIM(E414),ACTIVIDADES!$A$1:$D$17,2,FALSE),"NO ENCONTRADO")</f>
        <v>CAPORAL</v>
      </c>
      <c r="G414" s="63">
        <v>1</v>
      </c>
      <c r="H414" s="38">
        <f>IFERROR(VLOOKUP(TRIM(E414),ACTIVIDADES!$A$1:$D$17,4,FALSE),"")</f>
        <v>100</v>
      </c>
      <c r="I414" s="35">
        <f t="shared" si="6"/>
        <v>100</v>
      </c>
    </row>
    <row r="415" spans="1:9" x14ac:dyDescent="0.3">
      <c r="A415" s="28">
        <v>46170</v>
      </c>
      <c r="B415" s="1">
        <v>2</v>
      </c>
      <c r="C415" s="29" t="s">
        <v>10</v>
      </c>
      <c r="D415" s="1" t="s">
        <v>49</v>
      </c>
      <c r="E415" s="1" t="s">
        <v>49</v>
      </c>
      <c r="F415" s="33" t="str">
        <f>IFERROR(VLOOKUP(TRIM(E415),ACTIVIDADES!$A$1:$D$17,2,FALSE),"NO ENCONTRADO")</f>
        <v>CAPORAL</v>
      </c>
      <c r="G415" s="63">
        <v>1</v>
      </c>
      <c r="H415" s="38">
        <f>IFERROR(VLOOKUP(TRIM(E415),ACTIVIDADES!$A$1:$D$17,4,FALSE),"")</f>
        <v>100</v>
      </c>
      <c r="I415" s="35">
        <f t="shared" si="6"/>
        <v>100</v>
      </c>
    </row>
    <row r="416" spans="1:9" x14ac:dyDescent="0.3">
      <c r="A416" s="28">
        <v>46170</v>
      </c>
      <c r="B416" s="1">
        <v>3</v>
      </c>
      <c r="C416" s="29" t="s">
        <v>22</v>
      </c>
      <c r="D416" s="53" t="s">
        <v>49</v>
      </c>
      <c r="E416" s="53" t="s">
        <v>49</v>
      </c>
      <c r="F416" s="33" t="str">
        <f>IFERROR(VLOOKUP(TRIM(E416),ACTIVIDADES!$A$1:$D$17,2,FALSE),"NO ENCONTRADO")</f>
        <v>CAPORAL</v>
      </c>
      <c r="G416" s="63">
        <v>1</v>
      </c>
      <c r="H416" s="38">
        <f>IFERROR(VLOOKUP(TRIM(E416),ACTIVIDADES!$A$1:$D$17,4,FALSE),"")</f>
        <v>100</v>
      </c>
      <c r="I416" s="35">
        <f t="shared" si="6"/>
        <v>100</v>
      </c>
    </row>
    <row r="417" spans="1:9" x14ac:dyDescent="0.3">
      <c r="A417" s="28">
        <v>46170</v>
      </c>
      <c r="B417" s="1">
        <v>4</v>
      </c>
      <c r="C417" s="40" t="s">
        <v>36</v>
      </c>
      <c r="D417" s="53" t="s">
        <v>150</v>
      </c>
      <c r="E417" s="47" t="s">
        <v>149</v>
      </c>
      <c r="F417" s="33" t="str">
        <f>IFERROR(VLOOKUP(TRIM(E417),ACTIVIDADES!$A$1:$D$17,2,FALSE),"NO ENCONTRADO")</f>
        <v>HACIENDA</v>
      </c>
      <c r="G417" s="63">
        <v>1</v>
      </c>
      <c r="H417" s="38">
        <f>IFERROR(VLOOKUP(TRIM(E417),ACTIVIDADES!$A$1:$D$17,4,FALSE),"")</f>
        <v>65</v>
      </c>
      <c r="I417" s="35">
        <f t="shared" si="6"/>
        <v>65</v>
      </c>
    </row>
    <row r="418" spans="1:9" x14ac:dyDescent="0.3">
      <c r="A418" s="28">
        <v>46170</v>
      </c>
      <c r="B418" s="1">
        <v>5</v>
      </c>
      <c r="C418" s="29" t="s">
        <v>38</v>
      </c>
      <c r="D418" s="47" t="s">
        <v>150</v>
      </c>
      <c r="E418" s="47" t="s">
        <v>149</v>
      </c>
      <c r="F418" s="33" t="str">
        <f>IFERROR(VLOOKUP(TRIM(E418),ACTIVIDADES!$A$1:$D$17,2,FALSE),"NO ENCONTRADO")</f>
        <v>HACIENDA</v>
      </c>
      <c r="G418" s="63">
        <v>1</v>
      </c>
      <c r="H418" s="38">
        <f>IFERROR(VLOOKUP(TRIM(E418),ACTIVIDADES!$A$1:$D$17,4,FALSE),"")</f>
        <v>65</v>
      </c>
      <c r="I418" s="35">
        <f t="shared" si="6"/>
        <v>65</v>
      </c>
    </row>
    <row r="419" spans="1:9" x14ac:dyDescent="0.3">
      <c r="A419" s="28">
        <v>46170</v>
      </c>
      <c r="B419" s="1">
        <v>6</v>
      </c>
      <c r="C419" s="24" t="s">
        <v>11</v>
      </c>
      <c r="D419" s="55" t="s">
        <v>56</v>
      </c>
      <c r="E419" s="55" t="s">
        <v>60</v>
      </c>
      <c r="F419" s="33" t="str">
        <f>IFERROR(VLOOKUP(TRIM(E419),ACTIVIDADES!$A$1:$D$17,2,FALSE),"NO ENCONTRADO")</f>
        <v>MANEJO DE SOMBRA</v>
      </c>
      <c r="G419" s="63">
        <v>1</v>
      </c>
      <c r="H419" s="38">
        <f>IFERROR(VLOOKUP(TRIM(E419),ACTIVIDADES!$A$1:$D$17,4,FALSE),"")</f>
        <v>75</v>
      </c>
      <c r="I419" s="35">
        <f t="shared" si="6"/>
        <v>75</v>
      </c>
    </row>
    <row r="420" spans="1:9" x14ac:dyDescent="0.3">
      <c r="A420" s="28">
        <v>46170</v>
      </c>
      <c r="B420" s="1">
        <v>7</v>
      </c>
      <c r="C420" s="54" t="s">
        <v>12</v>
      </c>
      <c r="D420" s="55" t="s">
        <v>46</v>
      </c>
      <c r="E420" s="55" t="s">
        <v>75</v>
      </c>
      <c r="F420" s="33" t="str">
        <f>IFERROR(VLOOKUP(TRIM(E420),ACTIVIDADES!$A$1:$D$17,2,FALSE),"NO ENCONTRADO")</f>
        <v>TRAZADO PARA SIEMBRA</v>
      </c>
      <c r="G420" s="63">
        <v>1</v>
      </c>
      <c r="H420" s="38">
        <f>IFERROR(VLOOKUP(TRIM(E420),ACTIVIDADES!$A$1:$D$17,4,FALSE),"")</f>
        <v>75</v>
      </c>
      <c r="I420" s="35">
        <f t="shared" si="6"/>
        <v>75</v>
      </c>
    </row>
    <row r="421" spans="1:9" x14ac:dyDescent="0.3">
      <c r="A421" s="28">
        <v>46170</v>
      </c>
      <c r="B421" s="1">
        <v>8</v>
      </c>
      <c r="C421" s="24" t="s">
        <v>84</v>
      </c>
      <c r="D421" s="55" t="s">
        <v>56</v>
      </c>
      <c r="E421" s="55" t="s">
        <v>60</v>
      </c>
      <c r="F421" s="33" t="str">
        <f>IFERROR(VLOOKUP(TRIM(E421),ACTIVIDADES!$A$1:$D$17,2,FALSE),"NO ENCONTRADO")</f>
        <v>MANEJO DE SOMBRA</v>
      </c>
      <c r="G421" s="63">
        <v>1</v>
      </c>
      <c r="H421" s="38">
        <f>IFERROR(VLOOKUP(TRIM(E421),ACTIVIDADES!$A$1:$D$17,4,FALSE),"")</f>
        <v>75</v>
      </c>
      <c r="I421" s="35">
        <f t="shared" si="6"/>
        <v>75</v>
      </c>
    </row>
    <row r="422" spans="1:9" x14ac:dyDescent="0.3">
      <c r="A422" s="28">
        <v>46170</v>
      </c>
      <c r="B422" s="1">
        <v>9</v>
      </c>
      <c r="C422" s="55" t="s">
        <v>82</v>
      </c>
      <c r="D422" s="55" t="s">
        <v>56</v>
      </c>
      <c r="E422" s="55" t="s">
        <v>60</v>
      </c>
      <c r="F422" s="33" t="str">
        <f>IFERROR(VLOOKUP(TRIM(E422),ACTIVIDADES!$A$1:$D$17,2,FALSE),"NO ENCONTRADO")</f>
        <v>MANEJO DE SOMBRA</v>
      </c>
      <c r="G422" s="63">
        <v>1</v>
      </c>
      <c r="H422" s="38">
        <f>IFERROR(VLOOKUP(TRIM(E422),ACTIVIDADES!$A$1:$D$17,4,FALSE),"")</f>
        <v>75</v>
      </c>
      <c r="I422" s="35">
        <f t="shared" si="6"/>
        <v>75</v>
      </c>
    </row>
    <row r="423" spans="1:9" x14ac:dyDescent="0.3">
      <c r="A423" s="28">
        <v>46170</v>
      </c>
      <c r="B423" s="1">
        <v>10</v>
      </c>
      <c r="C423" s="40" t="s">
        <v>14</v>
      </c>
      <c r="D423" s="55" t="s">
        <v>56</v>
      </c>
      <c r="E423" s="55" t="s">
        <v>60</v>
      </c>
      <c r="F423" s="33" t="str">
        <f>IFERROR(VLOOKUP(TRIM(E423),ACTIVIDADES!$A$1:$D$17,2,FALSE),"NO ENCONTRADO")</f>
        <v>MANEJO DE SOMBRA</v>
      </c>
      <c r="G423" s="63">
        <v>1</v>
      </c>
      <c r="H423" s="38">
        <f>IFERROR(VLOOKUP(TRIM(E423),ACTIVIDADES!$A$1:$D$17,4,FALSE),"")</f>
        <v>75</v>
      </c>
      <c r="I423" s="35">
        <f t="shared" si="6"/>
        <v>75</v>
      </c>
    </row>
    <row r="424" spans="1:9" x14ac:dyDescent="0.3">
      <c r="A424" s="28">
        <v>46170</v>
      </c>
      <c r="B424" s="1">
        <v>11</v>
      </c>
      <c r="C424" s="24" t="s">
        <v>85</v>
      </c>
      <c r="D424" s="55" t="s">
        <v>155</v>
      </c>
      <c r="E424" s="55" t="s">
        <v>60</v>
      </c>
      <c r="F424" s="33" t="str">
        <f>IFERROR(VLOOKUP(TRIM(E424),ACTIVIDADES!$A$1:$D$17,2,FALSE),"NO ENCONTRADO")</f>
        <v>MANEJO DE SOMBRA</v>
      </c>
      <c r="G424" s="63">
        <v>1</v>
      </c>
      <c r="H424" s="38">
        <f>IFERROR(VLOOKUP(TRIM(E424),ACTIVIDADES!$A$1:$D$17,4,FALSE),"")</f>
        <v>75</v>
      </c>
      <c r="I424" s="35">
        <f t="shared" si="6"/>
        <v>75</v>
      </c>
    </row>
    <row r="425" spans="1:9" x14ac:dyDescent="0.3">
      <c r="A425" s="28">
        <v>46170</v>
      </c>
      <c r="B425" s="1">
        <v>12</v>
      </c>
      <c r="C425" s="24" t="s">
        <v>17</v>
      </c>
      <c r="D425" s="55" t="s">
        <v>56</v>
      </c>
      <c r="E425" s="55" t="s">
        <v>60</v>
      </c>
      <c r="F425" s="33" t="str">
        <f>IFERROR(VLOOKUP(TRIM(E425),ACTIVIDADES!$A$1:$D$17,2,FALSE),"NO ENCONTRADO")</f>
        <v>MANEJO DE SOMBRA</v>
      </c>
      <c r="G425" s="63">
        <v>1</v>
      </c>
      <c r="H425" s="38">
        <f>IFERROR(VLOOKUP(TRIM(E425),ACTIVIDADES!$A$1:$D$17,4,FALSE),"")</f>
        <v>75</v>
      </c>
      <c r="I425" s="35">
        <f t="shared" si="6"/>
        <v>75</v>
      </c>
    </row>
    <row r="426" spans="1:9" x14ac:dyDescent="0.3">
      <c r="A426" s="28">
        <v>46170</v>
      </c>
      <c r="B426" s="1">
        <v>13</v>
      </c>
      <c r="C426" s="24" t="s">
        <v>18</v>
      </c>
      <c r="D426" s="55" t="s">
        <v>46</v>
      </c>
      <c r="E426" s="55" t="s">
        <v>75</v>
      </c>
      <c r="F426" s="33" t="str">
        <f>IFERROR(VLOOKUP(TRIM(E426),ACTIVIDADES!$A$1:$D$17,2,FALSE),"NO ENCONTRADO")</f>
        <v>TRAZADO PARA SIEMBRA</v>
      </c>
      <c r="G426" s="63">
        <v>1</v>
      </c>
      <c r="H426" s="38">
        <f>IFERROR(VLOOKUP(TRIM(E426),ACTIVIDADES!$A$1:$D$17,4,FALSE),"")</f>
        <v>75</v>
      </c>
      <c r="I426" s="35">
        <f t="shared" si="6"/>
        <v>75</v>
      </c>
    </row>
    <row r="427" spans="1:9" x14ac:dyDescent="0.3">
      <c r="A427" s="28">
        <v>46170</v>
      </c>
      <c r="B427" s="1">
        <v>14</v>
      </c>
      <c r="C427" s="24" t="s">
        <v>88</v>
      </c>
      <c r="D427" s="55" t="s">
        <v>56</v>
      </c>
      <c r="E427" s="55" t="s">
        <v>60</v>
      </c>
      <c r="F427" s="33" t="str">
        <f>IFERROR(VLOOKUP(TRIM(E427),ACTIVIDADES!$A$1:$D$17,2,FALSE),"NO ENCONTRADO")</f>
        <v>MANEJO DE SOMBRA</v>
      </c>
      <c r="G427" s="63">
        <v>1</v>
      </c>
      <c r="H427" s="38">
        <f>IFERROR(VLOOKUP(TRIM(E427),ACTIVIDADES!$A$1:$D$17,4,FALSE),"")</f>
        <v>75</v>
      </c>
      <c r="I427" s="35">
        <f t="shared" si="6"/>
        <v>75</v>
      </c>
    </row>
    <row r="428" spans="1:9" x14ac:dyDescent="0.3">
      <c r="A428" s="28">
        <v>46170</v>
      </c>
      <c r="B428" s="1">
        <v>15</v>
      </c>
      <c r="C428" s="40" t="s">
        <v>20</v>
      </c>
      <c r="D428" s="55" t="s">
        <v>56</v>
      </c>
      <c r="E428" s="55" t="s">
        <v>60</v>
      </c>
      <c r="F428" s="33" t="str">
        <f>IFERROR(VLOOKUP(TRIM(E428),ACTIVIDADES!$A$1:$D$17,2,FALSE),"NO ENCONTRADO")</f>
        <v>MANEJO DE SOMBRA</v>
      </c>
      <c r="G428" s="63">
        <v>1</v>
      </c>
      <c r="H428" s="38">
        <f>IFERROR(VLOOKUP(TRIM(E428),ACTIVIDADES!$A$1:$D$17,4,FALSE),"")</f>
        <v>75</v>
      </c>
      <c r="I428" s="35">
        <f t="shared" si="6"/>
        <v>75</v>
      </c>
    </row>
    <row r="429" spans="1:9" x14ac:dyDescent="0.3">
      <c r="A429" s="28">
        <v>46170</v>
      </c>
      <c r="B429" s="1">
        <v>16</v>
      </c>
      <c r="C429" s="24" t="s">
        <v>90</v>
      </c>
      <c r="D429" s="55" t="s">
        <v>155</v>
      </c>
      <c r="E429" s="55" t="s">
        <v>60</v>
      </c>
      <c r="F429" s="33" t="str">
        <f>IFERROR(VLOOKUP(TRIM(E429),ACTIVIDADES!$A$1:$D$17,2,FALSE),"NO ENCONTRADO")</f>
        <v>MANEJO DE SOMBRA</v>
      </c>
      <c r="G429" s="63">
        <v>1</v>
      </c>
      <c r="H429" s="38">
        <f>IFERROR(VLOOKUP(TRIM(E429),ACTIVIDADES!$A$1:$D$17,4,FALSE),"")</f>
        <v>75</v>
      </c>
      <c r="I429" s="35">
        <f t="shared" si="6"/>
        <v>75</v>
      </c>
    </row>
    <row r="430" spans="1:9" x14ac:dyDescent="0.3">
      <c r="A430" s="28">
        <v>46170</v>
      </c>
      <c r="B430" s="1">
        <v>17</v>
      </c>
      <c r="C430" s="24" t="s">
        <v>91</v>
      </c>
      <c r="D430" s="55" t="s">
        <v>155</v>
      </c>
      <c r="E430" s="55" t="s">
        <v>60</v>
      </c>
      <c r="F430" s="33" t="str">
        <f>IFERROR(VLOOKUP(TRIM(E430),ACTIVIDADES!$A$1:$D$17,2,FALSE),"NO ENCONTRADO")</f>
        <v>MANEJO DE SOMBRA</v>
      </c>
      <c r="G430" s="63">
        <v>1</v>
      </c>
      <c r="H430" s="38">
        <f>IFERROR(VLOOKUP(TRIM(E430),ACTIVIDADES!$A$1:$D$17,4,FALSE),"")</f>
        <v>75</v>
      </c>
      <c r="I430" s="35">
        <f t="shared" si="6"/>
        <v>75</v>
      </c>
    </row>
    <row r="431" spans="1:9" x14ac:dyDescent="0.3">
      <c r="A431" s="28">
        <v>46170</v>
      </c>
      <c r="B431" s="1">
        <v>18</v>
      </c>
      <c r="C431" s="30" t="s">
        <v>23</v>
      </c>
      <c r="D431" s="55" t="s">
        <v>56</v>
      </c>
      <c r="E431" s="55" t="s">
        <v>50</v>
      </c>
      <c r="F431" s="33" t="str">
        <f>IFERROR(VLOOKUP(TRIM(E431),ACTIVIDADES!$A$1:$D$17,2,FALSE),"NO ENCONTRADO")</f>
        <v>MANTENIMIENTO GENERAL</v>
      </c>
      <c r="G431" s="63">
        <v>1</v>
      </c>
      <c r="H431" s="38">
        <f>IFERROR(VLOOKUP(TRIM(E431),ACTIVIDADES!$A$1:$D$17,4,FALSE),"")</f>
        <v>75</v>
      </c>
      <c r="I431" s="35">
        <f t="shared" si="6"/>
        <v>75</v>
      </c>
    </row>
    <row r="432" spans="1:9" x14ac:dyDescent="0.3">
      <c r="A432" s="28">
        <v>46170</v>
      </c>
      <c r="B432" s="1">
        <v>19</v>
      </c>
      <c r="C432" s="53" t="s">
        <v>92</v>
      </c>
      <c r="D432" s="55" t="s">
        <v>56</v>
      </c>
      <c r="E432" s="55" t="s">
        <v>50</v>
      </c>
      <c r="F432" s="33" t="str">
        <f>IFERROR(VLOOKUP(TRIM(E432),ACTIVIDADES!$A$1:$D$17,2,FALSE),"NO ENCONTRADO")</f>
        <v>MANTENIMIENTO GENERAL</v>
      </c>
      <c r="G432" s="63">
        <v>1</v>
      </c>
      <c r="H432" s="38">
        <f>IFERROR(VLOOKUP(TRIM(E432),ACTIVIDADES!$A$1:$D$17,4,FALSE),"")</f>
        <v>75</v>
      </c>
      <c r="I432" s="35">
        <f t="shared" si="6"/>
        <v>75</v>
      </c>
    </row>
    <row r="433" spans="1:9" x14ac:dyDescent="0.3">
      <c r="A433" s="28">
        <v>46170</v>
      </c>
      <c r="B433" s="1">
        <v>20</v>
      </c>
      <c r="C433" s="24" t="s">
        <v>25</v>
      </c>
      <c r="D433" s="55" t="s">
        <v>46</v>
      </c>
      <c r="E433" s="55" t="s">
        <v>75</v>
      </c>
      <c r="F433" s="33" t="str">
        <f>IFERROR(VLOOKUP(TRIM(E433),ACTIVIDADES!$A$1:$D$17,2,FALSE),"NO ENCONTRADO")</f>
        <v>TRAZADO PARA SIEMBRA</v>
      </c>
      <c r="G433" s="63">
        <v>1</v>
      </c>
      <c r="H433" s="38">
        <f>IFERROR(VLOOKUP(TRIM(E433),ACTIVIDADES!$A$1:$D$17,4,FALSE),"")</f>
        <v>75</v>
      </c>
      <c r="I433" s="35">
        <f t="shared" si="6"/>
        <v>75</v>
      </c>
    </row>
    <row r="434" spans="1:9" x14ac:dyDescent="0.3">
      <c r="A434" s="28">
        <v>46170</v>
      </c>
      <c r="B434" s="1">
        <v>21</v>
      </c>
      <c r="C434" s="29" t="s">
        <v>26</v>
      </c>
      <c r="D434" s="55" t="s">
        <v>56</v>
      </c>
      <c r="E434" s="55" t="s">
        <v>60</v>
      </c>
      <c r="F434" s="33" t="str">
        <f>IFERROR(VLOOKUP(TRIM(E434),ACTIVIDADES!$A$1:$D$17,2,FALSE),"NO ENCONTRADO")</f>
        <v>MANEJO DE SOMBRA</v>
      </c>
      <c r="G434" s="63">
        <v>1</v>
      </c>
      <c r="H434" s="38">
        <f>IFERROR(VLOOKUP(TRIM(E434),ACTIVIDADES!$A$1:$D$17,4,FALSE),"")</f>
        <v>75</v>
      </c>
      <c r="I434" s="35">
        <f t="shared" si="6"/>
        <v>75</v>
      </c>
    </row>
    <row r="435" spans="1:9" x14ac:dyDescent="0.3">
      <c r="A435" s="28">
        <v>46170</v>
      </c>
      <c r="B435" s="1">
        <v>22</v>
      </c>
      <c r="C435" s="24" t="s">
        <v>27</v>
      </c>
      <c r="D435" s="55" t="s">
        <v>56</v>
      </c>
      <c r="E435" s="55" t="s">
        <v>60</v>
      </c>
      <c r="F435" s="33" t="str">
        <f>IFERROR(VLOOKUP(TRIM(E435),ACTIVIDADES!$A$1:$D$17,2,FALSE),"NO ENCONTRADO")</f>
        <v>MANEJO DE SOMBRA</v>
      </c>
      <c r="G435" s="63">
        <v>1</v>
      </c>
      <c r="H435" s="38">
        <f>IFERROR(VLOOKUP(TRIM(E435),ACTIVIDADES!$A$1:$D$17,4,FALSE),"")</f>
        <v>75</v>
      </c>
      <c r="I435" s="35">
        <f t="shared" si="6"/>
        <v>75</v>
      </c>
    </row>
    <row r="436" spans="1:9" x14ac:dyDescent="0.3">
      <c r="A436" s="28">
        <v>46170</v>
      </c>
      <c r="B436" s="1">
        <v>23</v>
      </c>
      <c r="C436" s="24" t="s">
        <v>96</v>
      </c>
      <c r="D436" s="55" t="s">
        <v>56</v>
      </c>
      <c r="E436" s="55" t="s">
        <v>60</v>
      </c>
      <c r="F436" s="33" t="str">
        <f>IFERROR(VLOOKUP(TRIM(E436),ACTIVIDADES!$A$1:$D$17,2,FALSE),"NO ENCONTRADO")</f>
        <v>MANEJO DE SOMBRA</v>
      </c>
      <c r="G436" s="63">
        <v>1</v>
      </c>
      <c r="H436" s="38">
        <f>IFERROR(VLOOKUP(TRIM(E436),ACTIVIDADES!$A$1:$D$17,4,FALSE),"")</f>
        <v>75</v>
      </c>
      <c r="I436" s="35">
        <f t="shared" si="6"/>
        <v>75</v>
      </c>
    </row>
    <row r="437" spans="1:9" x14ac:dyDescent="0.3">
      <c r="A437" s="28">
        <v>46170</v>
      </c>
      <c r="B437" s="1">
        <v>24</v>
      </c>
      <c r="C437" s="24" t="s">
        <v>29</v>
      </c>
      <c r="D437" s="55" t="s">
        <v>155</v>
      </c>
      <c r="E437" s="55" t="s">
        <v>60</v>
      </c>
      <c r="F437" s="33" t="str">
        <f>IFERROR(VLOOKUP(TRIM(E437),ACTIVIDADES!$A$1:$D$17,2,FALSE),"NO ENCONTRADO")</f>
        <v>MANEJO DE SOMBRA</v>
      </c>
      <c r="G437" s="63">
        <v>1</v>
      </c>
      <c r="H437" s="38">
        <f>IFERROR(VLOOKUP(TRIM(E437),ACTIVIDADES!$A$1:$D$17,4,FALSE),"")</f>
        <v>75</v>
      </c>
      <c r="I437" s="35">
        <f t="shared" si="6"/>
        <v>75</v>
      </c>
    </row>
    <row r="438" spans="1:9" x14ac:dyDescent="0.3">
      <c r="A438" s="28">
        <v>46170</v>
      </c>
      <c r="B438" s="1">
        <v>25</v>
      </c>
      <c r="C438" s="24" t="s">
        <v>30</v>
      </c>
      <c r="D438" s="55" t="s">
        <v>56</v>
      </c>
      <c r="E438" s="55" t="s">
        <v>60</v>
      </c>
      <c r="F438" s="33" t="str">
        <f>IFERROR(VLOOKUP(TRIM(E438),ACTIVIDADES!$A$1:$D$17,2,FALSE),"NO ENCONTRADO")</f>
        <v>MANEJO DE SOMBRA</v>
      </c>
      <c r="G438" s="63">
        <v>1</v>
      </c>
      <c r="H438" s="38">
        <f>IFERROR(VLOOKUP(TRIM(E438),ACTIVIDADES!$A$1:$D$17,4,FALSE),"")</f>
        <v>75</v>
      </c>
      <c r="I438" s="35">
        <f t="shared" si="6"/>
        <v>75</v>
      </c>
    </row>
    <row r="439" spans="1:9" x14ac:dyDescent="0.3">
      <c r="A439" s="28">
        <v>46170</v>
      </c>
      <c r="B439" s="1">
        <v>26</v>
      </c>
      <c r="C439" s="24" t="s">
        <v>99</v>
      </c>
      <c r="D439" s="55" t="s">
        <v>56</v>
      </c>
      <c r="E439" s="55" t="s">
        <v>60</v>
      </c>
      <c r="F439" s="33" t="str">
        <f>IFERROR(VLOOKUP(TRIM(E439),ACTIVIDADES!$A$1:$D$17,2,FALSE),"NO ENCONTRADO")</f>
        <v>MANEJO DE SOMBRA</v>
      </c>
      <c r="G439" s="63">
        <v>1</v>
      </c>
      <c r="H439" s="38">
        <f>IFERROR(VLOOKUP(TRIM(E439),ACTIVIDADES!$A$1:$D$17,4,FALSE),"")</f>
        <v>75</v>
      </c>
      <c r="I439" s="35">
        <f t="shared" si="6"/>
        <v>75</v>
      </c>
    </row>
    <row r="440" spans="1:9" x14ac:dyDescent="0.3">
      <c r="A440" s="28">
        <v>46170</v>
      </c>
      <c r="B440" s="1">
        <v>27</v>
      </c>
      <c r="C440" s="55" t="s">
        <v>100</v>
      </c>
      <c r="D440" s="55" t="s">
        <v>46</v>
      </c>
      <c r="E440" s="55" t="s">
        <v>75</v>
      </c>
      <c r="F440" s="33" t="str">
        <f>IFERROR(VLOOKUP(TRIM(E440),ACTIVIDADES!$A$1:$D$17,2,FALSE),"NO ENCONTRADO")</f>
        <v>TRAZADO PARA SIEMBRA</v>
      </c>
      <c r="G440" s="63">
        <v>1</v>
      </c>
      <c r="H440" s="38">
        <f>IFERROR(VLOOKUP(TRIM(E440),ACTIVIDADES!$A$1:$D$17,4,FALSE),"")</f>
        <v>75</v>
      </c>
      <c r="I440" s="35">
        <f t="shared" si="6"/>
        <v>75</v>
      </c>
    </row>
    <row r="441" spans="1:9" x14ac:dyDescent="0.3">
      <c r="A441" s="28">
        <v>46170</v>
      </c>
      <c r="B441" s="1">
        <v>28</v>
      </c>
      <c r="C441" s="24" t="s">
        <v>33</v>
      </c>
      <c r="D441" s="55" t="s">
        <v>56</v>
      </c>
      <c r="E441" s="55" t="s">
        <v>60</v>
      </c>
      <c r="F441" s="33" t="str">
        <f>IFERROR(VLOOKUP(TRIM(E441),ACTIVIDADES!$A$1:$D$17,2,FALSE),"NO ENCONTRADO")</f>
        <v>MANEJO DE SOMBRA</v>
      </c>
      <c r="G441" s="63">
        <v>1</v>
      </c>
      <c r="H441" s="38">
        <f>IFERROR(VLOOKUP(TRIM(E441),ACTIVIDADES!$A$1:$D$17,4,FALSE),"")</f>
        <v>75</v>
      </c>
      <c r="I441" s="35">
        <f t="shared" si="6"/>
        <v>75</v>
      </c>
    </row>
    <row r="442" spans="1:9" x14ac:dyDescent="0.3">
      <c r="A442" s="28">
        <v>46170</v>
      </c>
      <c r="B442" s="1">
        <v>29</v>
      </c>
      <c r="C442" s="24" t="s">
        <v>102</v>
      </c>
      <c r="D442" s="55" t="s">
        <v>56</v>
      </c>
      <c r="E442" s="55" t="s">
        <v>60</v>
      </c>
      <c r="F442" s="33" t="str">
        <f>IFERROR(VLOOKUP(TRIM(E442),ACTIVIDADES!$A$1:$D$17,2,FALSE),"NO ENCONTRADO")</f>
        <v>MANEJO DE SOMBRA</v>
      </c>
      <c r="G442" s="63">
        <v>1</v>
      </c>
      <c r="H442" s="38">
        <f>IFERROR(VLOOKUP(TRIM(E442),ACTIVIDADES!$A$1:$D$17,4,FALSE),"")</f>
        <v>75</v>
      </c>
      <c r="I442" s="35">
        <f t="shared" si="6"/>
        <v>75</v>
      </c>
    </row>
    <row r="443" spans="1:9" x14ac:dyDescent="0.3">
      <c r="A443" s="28">
        <v>46170</v>
      </c>
      <c r="B443" s="1">
        <v>30</v>
      </c>
      <c r="C443" s="24" t="s">
        <v>35</v>
      </c>
      <c r="D443" s="55" t="s">
        <v>46</v>
      </c>
      <c r="E443" s="55" t="s">
        <v>75</v>
      </c>
      <c r="F443" s="33" t="str">
        <f>IFERROR(VLOOKUP(TRIM(E443),ACTIVIDADES!$A$1:$D$17,2,FALSE),"NO ENCONTRADO")</f>
        <v>TRAZADO PARA SIEMBRA</v>
      </c>
      <c r="G443" s="63">
        <v>1</v>
      </c>
      <c r="H443" s="38">
        <f>IFERROR(VLOOKUP(TRIM(E443),ACTIVIDADES!$A$1:$D$17,4,FALSE),"")</f>
        <v>75</v>
      </c>
      <c r="I443" s="35">
        <f t="shared" si="6"/>
        <v>75</v>
      </c>
    </row>
    <row r="444" spans="1:9" x14ac:dyDescent="0.3">
      <c r="A444" s="28">
        <v>46170</v>
      </c>
      <c r="B444" s="1">
        <v>31</v>
      </c>
      <c r="C444" s="24" t="s">
        <v>9</v>
      </c>
      <c r="D444" s="55" t="s">
        <v>155</v>
      </c>
      <c r="E444" s="55" t="s">
        <v>60</v>
      </c>
      <c r="F444" s="33" t="str">
        <f>IFERROR(VLOOKUP(TRIM(E444),ACTIVIDADES!$A$1:$D$17,2,FALSE),"NO ENCONTRADO")</f>
        <v>MANEJO DE SOMBRA</v>
      </c>
      <c r="G444" s="63">
        <v>1</v>
      </c>
      <c r="H444" s="38">
        <f>IFERROR(VLOOKUP(TRIM(E444),ACTIVIDADES!$A$1:$D$17,4,FALSE),"")</f>
        <v>75</v>
      </c>
      <c r="I444" s="35">
        <f t="shared" si="6"/>
        <v>75</v>
      </c>
    </row>
    <row r="445" spans="1:9" x14ac:dyDescent="0.3">
      <c r="A445" s="28">
        <v>46170</v>
      </c>
      <c r="B445" s="1">
        <v>32</v>
      </c>
      <c r="C445" s="55" t="s">
        <v>37</v>
      </c>
      <c r="D445" s="55" t="s">
        <v>56</v>
      </c>
      <c r="E445" s="55" t="s">
        <v>60</v>
      </c>
      <c r="F445" s="33" t="str">
        <f>IFERROR(VLOOKUP(TRIM(E445),ACTIVIDADES!$A$1:$D$17,2,FALSE),"NO ENCONTRADO")</f>
        <v>MANEJO DE SOMBRA</v>
      </c>
      <c r="G445" s="63">
        <v>1</v>
      </c>
      <c r="H445" s="38">
        <f>IFERROR(VLOOKUP(TRIM(E445),ACTIVIDADES!$A$1:$D$17,4,FALSE),"")</f>
        <v>75</v>
      </c>
      <c r="I445" s="35">
        <f t="shared" si="6"/>
        <v>75</v>
      </c>
    </row>
    <row r="446" spans="1:9" x14ac:dyDescent="0.3">
      <c r="A446" s="28">
        <v>46170</v>
      </c>
      <c r="B446" s="1">
        <v>33</v>
      </c>
      <c r="C446" s="24" t="s">
        <v>7</v>
      </c>
      <c r="D446" s="55" t="s">
        <v>155</v>
      </c>
      <c r="E446" s="55" t="s">
        <v>60</v>
      </c>
      <c r="F446" s="33" t="str">
        <f>IFERROR(VLOOKUP(TRIM(E446),ACTIVIDADES!$A$1:$D$17,2,FALSE),"NO ENCONTRADO")</f>
        <v>MANEJO DE SOMBRA</v>
      </c>
      <c r="G446" s="63">
        <v>1</v>
      </c>
      <c r="H446" s="38">
        <f>IFERROR(VLOOKUP(TRIM(E446),ACTIVIDADES!$A$1:$D$17,4,FALSE),"")</f>
        <v>75</v>
      </c>
      <c r="I446" s="35">
        <f t="shared" si="6"/>
        <v>75</v>
      </c>
    </row>
    <row r="447" spans="1:9" x14ac:dyDescent="0.3">
      <c r="A447" s="28">
        <v>46170</v>
      </c>
      <c r="B447" s="1">
        <v>34</v>
      </c>
      <c r="C447" s="24" t="s">
        <v>107</v>
      </c>
      <c r="D447" s="55" t="s">
        <v>56</v>
      </c>
      <c r="E447" s="55" t="s">
        <v>60</v>
      </c>
      <c r="F447" s="33" t="str">
        <f>IFERROR(VLOOKUP(TRIM(E447),ACTIVIDADES!$A$1:$D$17,2,FALSE),"NO ENCONTRADO")</f>
        <v>MANEJO DE SOMBRA</v>
      </c>
      <c r="G447" s="63">
        <v>1</v>
      </c>
      <c r="H447" s="38">
        <f>IFERROR(VLOOKUP(TRIM(E447),ACTIVIDADES!$A$1:$D$17,4,FALSE),"")</f>
        <v>75</v>
      </c>
      <c r="I447" s="35">
        <f t="shared" si="6"/>
        <v>75</v>
      </c>
    </row>
    <row r="448" spans="1:9" x14ac:dyDescent="0.3">
      <c r="A448" s="28">
        <v>46170</v>
      </c>
      <c r="B448" s="1">
        <v>35</v>
      </c>
      <c r="C448" s="24" t="s">
        <v>108</v>
      </c>
      <c r="D448" s="55" t="s">
        <v>155</v>
      </c>
      <c r="E448" s="55" t="s">
        <v>60</v>
      </c>
      <c r="F448" s="33" t="str">
        <f>IFERROR(VLOOKUP(TRIM(E448),ACTIVIDADES!$A$1:$D$17,2,FALSE),"NO ENCONTRADO")</f>
        <v>MANEJO DE SOMBRA</v>
      </c>
      <c r="G448" s="63">
        <v>1</v>
      </c>
      <c r="H448" s="38">
        <f>IFERROR(VLOOKUP(TRIM(E448),ACTIVIDADES!$A$1:$D$17,4,FALSE),"")</f>
        <v>75</v>
      </c>
      <c r="I448" s="35">
        <f t="shared" si="6"/>
        <v>75</v>
      </c>
    </row>
    <row r="449" spans="1:9" x14ac:dyDescent="0.3">
      <c r="A449" s="28">
        <v>46170</v>
      </c>
      <c r="B449" s="1">
        <v>36</v>
      </c>
      <c r="C449" s="24" t="s">
        <v>109</v>
      </c>
      <c r="D449" s="55" t="s">
        <v>155</v>
      </c>
      <c r="E449" s="55" t="s">
        <v>60</v>
      </c>
      <c r="F449" s="33" t="str">
        <f>IFERROR(VLOOKUP(TRIM(E449),ACTIVIDADES!$A$1:$D$17,2,FALSE),"NO ENCONTRADO")</f>
        <v>MANEJO DE SOMBRA</v>
      </c>
      <c r="G449" s="63">
        <v>1</v>
      </c>
      <c r="H449" s="38">
        <f>IFERROR(VLOOKUP(TRIM(E449),ACTIVIDADES!$A$1:$D$17,4,FALSE),"")</f>
        <v>75</v>
      </c>
      <c r="I449" s="35">
        <f t="shared" si="6"/>
        <v>75</v>
      </c>
    </row>
    <row r="450" spans="1:9" x14ac:dyDescent="0.3">
      <c r="A450" s="28">
        <v>46170</v>
      </c>
      <c r="B450" s="1">
        <v>37</v>
      </c>
      <c r="C450" s="53" t="s">
        <v>42</v>
      </c>
      <c r="D450" s="55" t="s">
        <v>56</v>
      </c>
      <c r="E450" s="55" t="s">
        <v>60</v>
      </c>
      <c r="F450" s="33" t="str">
        <f>IFERROR(VLOOKUP(TRIM(E450),ACTIVIDADES!$A$1:$D$17,2,FALSE),"NO ENCONTRADO")</f>
        <v>MANEJO DE SOMBRA</v>
      </c>
      <c r="G450" s="63">
        <v>1</v>
      </c>
      <c r="H450" s="38">
        <f>IFERROR(VLOOKUP(TRIM(E450),ACTIVIDADES!$A$1:$D$17,4,FALSE),"")</f>
        <v>75</v>
      </c>
      <c r="I450" s="35">
        <f t="shared" ref="I450:I513" si="7">IFERROR(G450*H450,"")</f>
        <v>75</v>
      </c>
    </row>
    <row r="451" spans="1:9" x14ac:dyDescent="0.3">
      <c r="A451" s="28">
        <v>46170</v>
      </c>
      <c r="B451" s="1">
        <v>38</v>
      </c>
      <c r="C451" s="55" t="s">
        <v>43</v>
      </c>
      <c r="D451" s="55" t="s">
        <v>56</v>
      </c>
      <c r="E451" s="55" t="s">
        <v>60</v>
      </c>
      <c r="F451" s="33" t="str">
        <f>IFERROR(VLOOKUP(TRIM(E451),ACTIVIDADES!$A$1:$D$17,2,FALSE),"NO ENCONTRADO")</f>
        <v>MANEJO DE SOMBRA</v>
      </c>
      <c r="G451" s="63">
        <v>1</v>
      </c>
      <c r="H451" s="38">
        <f>IFERROR(VLOOKUP(TRIM(E451),ACTIVIDADES!$A$1:$D$17,4,FALSE),"")</f>
        <v>75</v>
      </c>
      <c r="I451" s="35">
        <f t="shared" si="7"/>
        <v>75</v>
      </c>
    </row>
    <row r="452" spans="1:9" x14ac:dyDescent="0.3">
      <c r="A452" s="28">
        <v>46170</v>
      </c>
      <c r="B452" s="1">
        <v>39</v>
      </c>
      <c r="C452" s="24" t="s">
        <v>44</v>
      </c>
      <c r="D452" s="55" t="s">
        <v>46</v>
      </c>
      <c r="E452" s="55" t="s">
        <v>75</v>
      </c>
      <c r="F452" s="33" t="str">
        <f>IFERROR(VLOOKUP(TRIM(E452),ACTIVIDADES!$A$1:$D$17,2,FALSE),"NO ENCONTRADO")</f>
        <v>TRAZADO PARA SIEMBRA</v>
      </c>
      <c r="G452" s="63">
        <v>1</v>
      </c>
      <c r="H452" s="38">
        <f>IFERROR(VLOOKUP(TRIM(E452),ACTIVIDADES!$A$1:$D$17,4,FALSE),"")</f>
        <v>75</v>
      </c>
      <c r="I452" s="35">
        <f t="shared" si="7"/>
        <v>75</v>
      </c>
    </row>
    <row r="453" spans="1:9" x14ac:dyDescent="0.3">
      <c r="A453" s="28">
        <v>46170</v>
      </c>
      <c r="B453" s="55">
        <v>40</v>
      </c>
      <c r="C453" s="55" t="s">
        <v>156</v>
      </c>
      <c r="D453" s="55" t="s">
        <v>56</v>
      </c>
      <c r="E453" s="55" t="s">
        <v>60</v>
      </c>
      <c r="F453" s="33" t="str">
        <f>IFERROR(VLOOKUP(TRIM(E453),ACTIVIDADES!$A$1:$D$17,2,FALSE),"NO ENCONTRADO")</f>
        <v>MANEJO DE SOMBRA</v>
      </c>
      <c r="G453" s="63">
        <v>1</v>
      </c>
      <c r="H453" s="38">
        <f>IFERROR(VLOOKUP(TRIM(E453),ACTIVIDADES!$A$1:$D$17,4,FALSE),"")</f>
        <v>75</v>
      </c>
      <c r="I453" s="35">
        <f t="shared" si="7"/>
        <v>75</v>
      </c>
    </row>
    <row r="454" spans="1:9" x14ac:dyDescent="0.3">
      <c r="A454" s="28">
        <v>46170</v>
      </c>
      <c r="B454" s="55">
        <v>41</v>
      </c>
      <c r="C454" s="55" t="s">
        <v>157</v>
      </c>
      <c r="D454" s="55" t="s">
        <v>56</v>
      </c>
      <c r="E454" s="55" t="s">
        <v>60</v>
      </c>
      <c r="F454" s="33" t="str">
        <f>IFERROR(VLOOKUP(TRIM(E454),ACTIVIDADES!$A$1:$D$17,2,FALSE),"NO ENCONTRADO")</f>
        <v>MANEJO DE SOMBRA</v>
      </c>
      <c r="G454" s="63">
        <v>1</v>
      </c>
      <c r="H454" s="38">
        <f>IFERROR(VLOOKUP(TRIM(E454),ACTIVIDADES!$A$1:$D$17,4,FALSE),"")</f>
        <v>75</v>
      </c>
      <c r="I454" s="35">
        <f t="shared" si="7"/>
        <v>75</v>
      </c>
    </row>
    <row r="455" spans="1:9" x14ac:dyDescent="0.3">
      <c r="A455" s="57">
        <v>46171</v>
      </c>
      <c r="B455" s="1">
        <v>1</v>
      </c>
      <c r="C455" s="40" t="s">
        <v>6</v>
      </c>
      <c r="D455" s="1" t="s">
        <v>49</v>
      </c>
      <c r="E455" s="1" t="s">
        <v>49</v>
      </c>
      <c r="F455" s="33" t="str">
        <f>IFERROR(VLOOKUP(TRIM(E455),ACTIVIDADES!$A$1:$D$17,2,FALSE),"NO ENCONTRADO")</f>
        <v>CAPORAL</v>
      </c>
      <c r="G455" s="63">
        <v>1</v>
      </c>
      <c r="H455" s="38">
        <f>IFERROR(VLOOKUP(TRIM(E455),ACTIVIDADES!$A$1:$D$17,4,FALSE),"")</f>
        <v>100</v>
      </c>
      <c r="I455" s="35">
        <f t="shared" si="7"/>
        <v>100</v>
      </c>
    </row>
    <row r="456" spans="1:9" x14ac:dyDescent="0.3">
      <c r="A456" s="57">
        <v>46171</v>
      </c>
      <c r="B456" s="1">
        <v>2</v>
      </c>
      <c r="C456" s="29" t="s">
        <v>10</v>
      </c>
      <c r="D456" s="1" t="s">
        <v>49</v>
      </c>
      <c r="E456" s="1" t="s">
        <v>49</v>
      </c>
      <c r="F456" s="33" t="str">
        <f>IFERROR(VLOOKUP(TRIM(E456),ACTIVIDADES!$A$1:$D$17,2,FALSE),"NO ENCONTRADO")</f>
        <v>CAPORAL</v>
      </c>
      <c r="G456" s="63">
        <v>1</v>
      </c>
      <c r="H456" s="38">
        <f>IFERROR(VLOOKUP(TRIM(E456),ACTIVIDADES!$A$1:$D$17,4,FALSE),"")</f>
        <v>100</v>
      </c>
      <c r="I456" s="35">
        <f t="shared" si="7"/>
        <v>100</v>
      </c>
    </row>
    <row r="457" spans="1:9" x14ac:dyDescent="0.3">
      <c r="A457" s="57">
        <v>46171</v>
      </c>
      <c r="B457" s="1">
        <v>3</v>
      </c>
      <c r="C457" s="29" t="s">
        <v>22</v>
      </c>
      <c r="D457" s="53" t="s">
        <v>49</v>
      </c>
      <c r="E457" s="53" t="s">
        <v>49</v>
      </c>
      <c r="F457" s="33" t="str">
        <f>IFERROR(VLOOKUP(TRIM(E457),ACTIVIDADES!$A$1:$D$17,2,FALSE),"NO ENCONTRADO")</f>
        <v>CAPORAL</v>
      </c>
      <c r="G457" s="63">
        <v>1</v>
      </c>
      <c r="H457" s="38">
        <f>IFERROR(VLOOKUP(TRIM(E457),ACTIVIDADES!$A$1:$D$17,4,FALSE),"")</f>
        <v>100</v>
      </c>
      <c r="I457" s="35">
        <f t="shared" si="7"/>
        <v>100</v>
      </c>
    </row>
    <row r="458" spans="1:9" x14ac:dyDescent="0.3">
      <c r="A458" s="57">
        <v>46171</v>
      </c>
      <c r="B458" s="1">
        <v>4</v>
      </c>
      <c r="C458" s="40" t="s">
        <v>36</v>
      </c>
      <c r="D458" s="53" t="s">
        <v>150</v>
      </c>
      <c r="E458" s="47" t="s">
        <v>149</v>
      </c>
      <c r="F458" s="33" t="str">
        <f>IFERROR(VLOOKUP(TRIM(E458),ACTIVIDADES!$A$1:$D$17,2,FALSE),"NO ENCONTRADO")</f>
        <v>HACIENDA</v>
      </c>
      <c r="G458" s="63">
        <v>1</v>
      </c>
      <c r="H458" s="38">
        <f>IFERROR(VLOOKUP(TRIM(E458),ACTIVIDADES!$A$1:$D$17,4,FALSE),"")</f>
        <v>65</v>
      </c>
      <c r="I458" s="35">
        <f t="shared" si="7"/>
        <v>65</v>
      </c>
    </row>
    <row r="459" spans="1:9" x14ac:dyDescent="0.3">
      <c r="A459" s="57">
        <v>46171</v>
      </c>
      <c r="B459" s="1">
        <v>5</v>
      </c>
      <c r="C459" s="29" t="s">
        <v>38</v>
      </c>
      <c r="D459" s="47" t="s">
        <v>150</v>
      </c>
      <c r="E459" s="47" t="s">
        <v>149</v>
      </c>
      <c r="F459" s="33" t="str">
        <f>IFERROR(VLOOKUP(TRIM(E459),ACTIVIDADES!$A$1:$D$17,2,FALSE),"NO ENCONTRADO")</f>
        <v>HACIENDA</v>
      </c>
      <c r="G459" s="63">
        <v>1</v>
      </c>
      <c r="H459" s="38">
        <f>IFERROR(VLOOKUP(TRIM(E459),ACTIVIDADES!$A$1:$D$17,4,FALSE),"")</f>
        <v>65</v>
      </c>
      <c r="I459" s="35">
        <f t="shared" si="7"/>
        <v>65</v>
      </c>
    </row>
    <row r="460" spans="1:9" x14ac:dyDescent="0.3">
      <c r="A460" s="57">
        <v>46171</v>
      </c>
      <c r="B460" s="1">
        <v>6</v>
      </c>
      <c r="C460" s="24" t="s">
        <v>11</v>
      </c>
      <c r="D460" s="58" t="s">
        <v>47</v>
      </c>
      <c r="E460" s="58" t="s">
        <v>117</v>
      </c>
      <c r="F460" s="33" t="str">
        <f>IFERROR(VLOOKUP(TRIM(E460),ACTIVIDADES!$A$1:$D$17,2,FALSE),"NO ENCONTRADO")</f>
        <v>FERTILIZACION</v>
      </c>
      <c r="G460" s="63">
        <v>4</v>
      </c>
      <c r="H460" s="38">
        <f>IFERROR(VLOOKUP(TRIM(E460),ACTIVIDADES!$A$1:$D$17,4,FALSE),"")</f>
        <v>17.5</v>
      </c>
      <c r="I460" s="35">
        <f t="shared" si="7"/>
        <v>70</v>
      </c>
    </row>
    <row r="461" spans="1:9" x14ac:dyDescent="0.3">
      <c r="A461" s="57">
        <v>46171</v>
      </c>
      <c r="B461" s="1">
        <v>7</v>
      </c>
      <c r="C461" s="54" t="s">
        <v>12</v>
      </c>
      <c r="D461" s="55" t="s">
        <v>46</v>
      </c>
      <c r="E461" s="55" t="s">
        <v>75</v>
      </c>
      <c r="F461" s="33" t="str">
        <f>IFERROR(VLOOKUP(TRIM(E461),ACTIVIDADES!$A$1:$D$17,2,FALSE),"NO ENCONTRADO")</f>
        <v>TRAZADO PARA SIEMBRA</v>
      </c>
      <c r="G461" s="63">
        <v>1</v>
      </c>
      <c r="H461" s="38">
        <f>IFERROR(VLOOKUP(TRIM(E461),ACTIVIDADES!$A$1:$D$17,4,FALSE),"")</f>
        <v>75</v>
      </c>
      <c r="I461" s="35">
        <f t="shared" si="7"/>
        <v>75</v>
      </c>
    </row>
    <row r="462" spans="1:9" x14ac:dyDescent="0.3">
      <c r="A462" s="57">
        <v>46171</v>
      </c>
      <c r="B462" s="1">
        <v>8</v>
      </c>
      <c r="C462" s="24" t="s">
        <v>84</v>
      </c>
      <c r="D462" s="58" t="s">
        <v>151</v>
      </c>
      <c r="E462" s="58" t="s">
        <v>49</v>
      </c>
      <c r="F462" s="33" t="str">
        <f>IFERROR(VLOOKUP(TRIM(E462),ACTIVIDADES!$A$1:$D$17,2,FALSE),"NO ENCONTRADO")</f>
        <v>CAPORAL</v>
      </c>
      <c r="G462" s="63">
        <v>1</v>
      </c>
      <c r="H462" s="38">
        <f>IFERROR(VLOOKUP(TRIM(E462),ACTIVIDADES!$A$1:$D$17,4,FALSE),"")</f>
        <v>100</v>
      </c>
      <c r="I462" s="35">
        <f t="shared" si="7"/>
        <v>100</v>
      </c>
    </row>
    <row r="463" spans="1:9" x14ac:dyDescent="0.3">
      <c r="A463" s="57">
        <v>46171</v>
      </c>
      <c r="B463" s="1">
        <v>10</v>
      </c>
      <c r="C463" s="40" t="s">
        <v>14</v>
      </c>
      <c r="D463" s="58" t="s">
        <v>151</v>
      </c>
      <c r="E463" s="58" t="s">
        <v>117</v>
      </c>
      <c r="F463" s="33" t="str">
        <f>IFERROR(VLOOKUP(TRIM(E463),ACTIVIDADES!$A$1:$D$17,2,FALSE),"NO ENCONTRADO")</f>
        <v>FERTILIZACION</v>
      </c>
      <c r="G463" s="63">
        <v>1</v>
      </c>
      <c r="H463" s="38">
        <f>IFERROR(VLOOKUP(TRIM(E463),ACTIVIDADES!$A$1:$D$17,4,FALSE),"")</f>
        <v>17.5</v>
      </c>
      <c r="I463" s="35">
        <f t="shared" si="7"/>
        <v>17.5</v>
      </c>
    </row>
    <row r="464" spans="1:9" x14ac:dyDescent="0.3">
      <c r="A464" s="57">
        <v>46171</v>
      </c>
      <c r="B464" s="1">
        <v>11</v>
      </c>
      <c r="C464" s="24" t="s">
        <v>85</v>
      </c>
      <c r="D464" s="58" t="s">
        <v>55</v>
      </c>
      <c r="E464" s="58" t="s">
        <v>117</v>
      </c>
      <c r="F464" s="33" t="str">
        <f>IFERROR(VLOOKUP(TRIM(E464),ACTIVIDADES!$A$1:$D$17,2,FALSE),"NO ENCONTRADO")</f>
        <v>FERTILIZACION</v>
      </c>
      <c r="G464" s="63">
        <v>4</v>
      </c>
      <c r="H464" s="38">
        <f>IFERROR(VLOOKUP(TRIM(E464),ACTIVIDADES!$A$1:$D$17,4,FALSE),"")</f>
        <v>17.5</v>
      </c>
      <c r="I464" s="35">
        <f t="shared" si="7"/>
        <v>70</v>
      </c>
    </row>
    <row r="465" spans="1:9" x14ac:dyDescent="0.3">
      <c r="A465" s="57">
        <v>46171</v>
      </c>
      <c r="B465" s="1">
        <v>12</v>
      </c>
      <c r="C465" s="24" t="s">
        <v>17</v>
      </c>
      <c r="D465" s="58" t="s">
        <v>151</v>
      </c>
      <c r="E465" s="58" t="s">
        <v>117</v>
      </c>
      <c r="F465" s="33" t="str">
        <f>IFERROR(VLOOKUP(TRIM(E465),ACTIVIDADES!$A$1:$D$17,2,FALSE),"NO ENCONTRADO")</f>
        <v>FERTILIZACION</v>
      </c>
      <c r="G465" s="63">
        <v>1</v>
      </c>
      <c r="H465" s="38">
        <f>IFERROR(VLOOKUP(TRIM(E465),ACTIVIDADES!$A$1:$D$17,4,FALSE),"")</f>
        <v>17.5</v>
      </c>
      <c r="I465" s="35">
        <f t="shared" si="7"/>
        <v>17.5</v>
      </c>
    </row>
    <row r="466" spans="1:9" x14ac:dyDescent="0.3">
      <c r="A466" s="57">
        <v>46171</v>
      </c>
      <c r="B466" s="1">
        <v>13</v>
      </c>
      <c r="C466" s="24" t="s">
        <v>18</v>
      </c>
      <c r="D466" s="58" t="s">
        <v>46</v>
      </c>
      <c r="E466" s="55" t="s">
        <v>75</v>
      </c>
      <c r="F466" s="33" t="str">
        <f>IFERROR(VLOOKUP(TRIM(E466),ACTIVIDADES!$A$1:$D$17,2,FALSE),"NO ENCONTRADO")</f>
        <v>TRAZADO PARA SIEMBRA</v>
      </c>
      <c r="G466" s="63">
        <v>1</v>
      </c>
      <c r="H466" s="38">
        <f>IFERROR(VLOOKUP(TRIM(E466),ACTIVIDADES!$A$1:$D$17,4,FALSE),"")</f>
        <v>75</v>
      </c>
      <c r="I466" s="35">
        <f t="shared" si="7"/>
        <v>75</v>
      </c>
    </row>
    <row r="467" spans="1:9" x14ac:dyDescent="0.3">
      <c r="A467" s="57">
        <v>46171</v>
      </c>
      <c r="B467" s="1">
        <v>14</v>
      </c>
      <c r="C467" s="24" t="s">
        <v>88</v>
      </c>
      <c r="D467" s="58" t="s">
        <v>55</v>
      </c>
      <c r="E467" s="58" t="s">
        <v>117</v>
      </c>
      <c r="F467" s="33" t="str">
        <f>IFERROR(VLOOKUP(TRIM(E467),ACTIVIDADES!$A$1:$D$17,2,FALSE),"NO ENCONTRADO")</f>
        <v>FERTILIZACION</v>
      </c>
      <c r="G467" s="63">
        <v>4</v>
      </c>
      <c r="H467" s="38">
        <f>IFERROR(VLOOKUP(TRIM(E467),ACTIVIDADES!$A$1:$D$17,4,FALSE),"")</f>
        <v>17.5</v>
      </c>
      <c r="I467" s="35">
        <f t="shared" si="7"/>
        <v>70</v>
      </c>
    </row>
    <row r="468" spans="1:9" x14ac:dyDescent="0.3">
      <c r="A468" s="57">
        <v>46171</v>
      </c>
      <c r="B468" s="1">
        <v>15</v>
      </c>
      <c r="C468" s="40" t="s">
        <v>20</v>
      </c>
      <c r="D468" s="58" t="s">
        <v>55</v>
      </c>
      <c r="E468" s="58" t="s">
        <v>65</v>
      </c>
      <c r="F468" s="33" t="str">
        <f>IFERROR(VLOOKUP(TRIM(E468),ACTIVIDADES!$A$1:$D$17,2,FALSE),"NO ENCONTRADO")</f>
        <v>CARBON</v>
      </c>
      <c r="G468" s="63">
        <v>1</v>
      </c>
      <c r="H468" s="38">
        <f>IFERROR(VLOOKUP(TRIM(E468),ACTIVIDADES!$A$1:$D$17,4,FALSE),"")</f>
        <v>75</v>
      </c>
      <c r="I468" s="35">
        <f t="shared" si="7"/>
        <v>75</v>
      </c>
    </row>
    <row r="469" spans="1:9" x14ac:dyDescent="0.3">
      <c r="A469" s="57">
        <v>46171</v>
      </c>
      <c r="B469" s="1">
        <v>16</v>
      </c>
      <c r="C469" s="24" t="s">
        <v>90</v>
      </c>
      <c r="D469" s="58" t="s">
        <v>151</v>
      </c>
      <c r="E469" s="58" t="s">
        <v>117</v>
      </c>
      <c r="F469" s="33" t="str">
        <f>IFERROR(VLOOKUP(TRIM(E469),ACTIVIDADES!$A$1:$D$17,2,FALSE),"NO ENCONTRADO")</f>
        <v>FERTILIZACION</v>
      </c>
      <c r="G469" s="63">
        <v>1</v>
      </c>
      <c r="H469" s="38">
        <f>IFERROR(VLOOKUP(TRIM(E469),ACTIVIDADES!$A$1:$D$17,4,FALSE),"")</f>
        <v>17.5</v>
      </c>
      <c r="I469" s="35">
        <f t="shared" si="7"/>
        <v>17.5</v>
      </c>
    </row>
    <row r="470" spans="1:9" x14ac:dyDescent="0.3">
      <c r="A470" s="57">
        <v>46171</v>
      </c>
      <c r="B470" s="1">
        <v>17</v>
      </c>
      <c r="C470" s="24" t="s">
        <v>91</v>
      </c>
      <c r="D470" s="58" t="s">
        <v>151</v>
      </c>
      <c r="E470" s="58" t="s">
        <v>117</v>
      </c>
      <c r="F470" s="33" t="str">
        <f>IFERROR(VLOOKUP(TRIM(E470),ACTIVIDADES!$A$1:$D$17,2,FALSE),"NO ENCONTRADO")</f>
        <v>FERTILIZACION</v>
      </c>
      <c r="G470" s="63">
        <v>1</v>
      </c>
      <c r="H470" s="38">
        <f>IFERROR(VLOOKUP(TRIM(E470),ACTIVIDADES!$A$1:$D$17,4,FALSE),"")</f>
        <v>17.5</v>
      </c>
      <c r="I470" s="35">
        <f t="shared" si="7"/>
        <v>17.5</v>
      </c>
    </row>
    <row r="471" spans="1:9" x14ac:dyDescent="0.3">
      <c r="A471" s="57">
        <v>46171</v>
      </c>
      <c r="B471" s="1">
        <v>18</v>
      </c>
      <c r="C471" s="30" t="s">
        <v>23</v>
      </c>
      <c r="D471" s="58" t="s">
        <v>151</v>
      </c>
      <c r="E471" s="58" t="s">
        <v>117</v>
      </c>
      <c r="F471" s="33" t="str">
        <f>IFERROR(VLOOKUP(TRIM(E471),ACTIVIDADES!$A$1:$D$17,2,FALSE),"NO ENCONTRADO")</f>
        <v>FERTILIZACION</v>
      </c>
      <c r="G471" s="63">
        <v>1</v>
      </c>
      <c r="H471" s="38">
        <f>IFERROR(VLOOKUP(TRIM(E471),ACTIVIDADES!$A$1:$D$17,4,FALSE),"")</f>
        <v>17.5</v>
      </c>
      <c r="I471" s="35">
        <f t="shared" si="7"/>
        <v>17.5</v>
      </c>
    </row>
    <row r="472" spans="1:9" x14ac:dyDescent="0.3">
      <c r="A472" s="57">
        <v>46171</v>
      </c>
      <c r="B472" s="1">
        <v>19</v>
      </c>
      <c r="C472" s="53" t="s">
        <v>92</v>
      </c>
      <c r="D472" s="58" t="s">
        <v>55</v>
      </c>
      <c r="E472" s="58" t="s">
        <v>65</v>
      </c>
      <c r="F472" s="33" t="str">
        <f>IFERROR(VLOOKUP(TRIM(E472),ACTIVIDADES!$A$1:$D$17,2,FALSE),"NO ENCONTRADO")</f>
        <v>CARBON</v>
      </c>
      <c r="G472" s="63">
        <v>1</v>
      </c>
      <c r="H472" s="38">
        <f>IFERROR(VLOOKUP(TRIM(E472),ACTIVIDADES!$A$1:$D$17,4,FALSE),"")</f>
        <v>75</v>
      </c>
      <c r="I472" s="35">
        <f t="shared" si="7"/>
        <v>75</v>
      </c>
    </row>
    <row r="473" spans="1:9" x14ac:dyDescent="0.3">
      <c r="A473" s="57">
        <v>46171</v>
      </c>
      <c r="B473" s="1">
        <v>20</v>
      </c>
      <c r="C473" s="24" t="s">
        <v>25</v>
      </c>
      <c r="D473" s="55" t="s">
        <v>46</v>
      </c>
      <c r="E473" s="55" t="s">
        <v>75</v>
      </c>
      <c r="F473" s="33" t="str">
        <f>IFERROR(VLOOKUP(TRIM(E473),ACTIVIDADES!$A$1:$D$17,2,FALSE),"NO ENCONTRADO")</f>
        <v>TRAZADO PARA SIEMBRA</v>
      </c>
      <c r="G473" s="63">
        <v>1</v>
      </c>
      <c r="H473" s="38">
        <f>IFERROR(VLOOKUP(TRIM(E473),ACTIVIDADES!$A$1:$D$17,4,FALSE),"")</f>
        <v>75</v>
      </c>
      <c r="I473" s="35">
        <f t="shared" si="7"/>
        <v>75</v>
      </c>
    </row>
    <row r="474" spans="1:9" x14ac:dyDescent="0.3">
      <c r="A474" s="57">
        <v>46171</v>
      </c>
      <c r="B474" s="1">
        <v>21</v>
      </c>
      <c r="C474" s="29" t="s">
        <v>26</v>
      </c>
      <c r="D474" s="58" t="s">
        <v>47</v>
      </c>
      <c r="E474" s="58" t="s">
        <v>117</v>
      </c>
      <c r="F474" s="33" t="str">
        <f>IFERROR(VLOOKUP(TRIM(E474),ACTIVIDADES!$A$1:$D$17,2,FALSE),"NO ENCONTRADO")</f>
        <v>FERTILIZACION</v>
      </c>
      <c r="G474" s="63">
        <v>4</v>
      </c>
      <c r="H474" s="38">
        <f>IFERROR(VLOOKUP(TRIM(E474),ACTIVIDADES!$A$1:$D$17,4,FALSE),"")</f>
        <v>17.5</v>
      </c>
      <c r="I474" s="35">
        <f t="shared" si="7"/>
        <v>70</v>
      </c>
    </row>
    <row r="475" spans="1:9" x14ac:dyDescent="0.3">
      <c r="A475" s="57">
        <v>46171</v>
      </c>
      <c r="B475" s="1">
        <v>22</v>
      </c>
      <c r="C475" s="24" t="s">
        <v>27</v>
      </c>
      <c r="D475" s="58" t="s">
        <v>151</v>
      </c>
      <c r="E475" s="58" t="s">
        <v>117</v>
      </c>
      <c r="F475" s="33" t="str">
        <f>IFERROR(VLOOKUP(TRIM(E475),ACTIVIDADES!$A$1:$D$17,2,FALSE),"NO ENCONTRADO")</f>
        <v>FERTILIZACION</v>
      </c>
      <c r="G475" s="63">
        <v>1</v>
      </c>
      <c r="H475" s="38">
        <f>IFERROR(VLOOKUP(TRIM(E475),ACTIVIDADES!$A$1:$D$17,4,FALSE),"")</f>
        <v>17.5</v>
      </c>
      <c r="I475" s="35">
        <f t="shared" si="7"/>
        <v>17.5</v>
      </c>
    </row>
    <row r="476" spans="1:9" x14ac:dyDescent="0.3">
      <c r="A476" s="57">
        <v>46171</v>
      </c>
      <c r="B476" s="1">
        <v>23</v>
      </c>
      <c r="C476" s="24" t="s">
        <v>96</v>
      </c>
      <c r="D476" s="58" t="s">
        <v>55</v>
      </c>
      <c r="E476" s="58" t="s">
        <v>117</v>
      </c>
      <c r="F476" s="33" t="str">
        <f>IFERROR(VLOOKUP(TRIM(E476),ACTIVIDADES!$A$1:$D$17,2,FALSE),"NO ENCONTRADO")</f>
        <v>FERTILIZACION</v>
      </c>
      <c r="G476" s="63">
        <v>4</v>
      </c>
      <c r="H476" s="38">
        <f>IFERROR(VLOOKUP(TRIM(E476),ACTIVIDADES!$A$1:$D$17,4,FALSE),"")</f>
        <v>17.5</v>
      </c>
      <c r="I476" s="35">
        <f t="shared" si="7"/>
        <v>70</v>
      </c>
    </row>
    <row r="477" spans="1:9" x14ac:dyDescent="0.3">
      <c r="A477" s="57">
        <v>46171</v>
      </c>
      <c r="B477" s="1">
        <v>24</v>
      </c>
      <c r="C477" s="24" t="s">
        <v>29</v>
      </c>
      <c r="D477" s="58" t="s">
        <v>151</v>
      </c>
      <c r="E477" s="58" t="s">
        <v>117</v>
      </c>
      <c r="F477" s="33" t="str">
        <f>IFERROR(VLOOKUP(TRIM(E477),ACTIVIDADES!$A$1:$D$17,2,FALSE),"NO ENCONTRADO")</f>
        <v>FERTILIZACION</v>
      </c>
      <c r="G477" s="63">
        <v>1</v>
      </c>
      <c r="H477" s="38">
        <f>IFERROR(VLOOKUP(TRIM(E477),ACTIVIDADES!$A$1:$D$17,4,FALSE),"")</f>
        <v>17.5</v>
      </c>
      <c r="I477" s="35">
        <f t="shared" si="7"/>
        <v>17.5</v>
      </c>
    </row>
    <row r="478" spans="1:9" x14ac:dyDescent="0.3">
      <c r="A478" s="57">
        <v>46171</v>
      </c>
      <c r="B478" s="1">
        <v>25</v>
      </c>
      <c r="C478" s="24" t="s">
        <v>30</v>
      </c>
      <c r="D478" s="58" t="s">
        <v>151</v>
      </c>
      <c r="E478" s="58" t="s">
        <v>117</v>
      </c>
      <c r="F478" s="33" t="str">
        <f>IFERROR(VLOOKUP(TRIM(E478),ACTIVIDADES!$A$1:$D$17,2,FALSE),"NO ENCONTRADO")</f>
        <v>FERTILIZACION</v>
      </c>
      <c r="G478" s="63">
        <v>1</v>
      </c>
      <c r="H478" s="38">
        <f>IFERROR(VLOOKUP(TRIM(E478),ACTIVIDADES!$A$1:$D$17,4,FALSE),"")</f>
        <v>17.5</v>
      </c>
      <c r="I478" s="35">
        <f t="shared" si="7"/>
        <v>17.5</v>
      </c>
    </row>
    <row r="479" spans="1:9" x14ac:dyDescent="0.3">
      <c r="A479" s="57">
        <v>46171</v>
      </c>
      <c r="B479" s="1">
        <v>26</v>
      </c>
      <c r="C479" s="24" t="s">
        <v>99</v>
      </c>
      <c r="D479" s="58" t="s">
        <v>151</v>
      </c>
      <c r="E479" s="58" t="s">
        <v>117</v>
      </c>
      <c r="F479" s="33" t="str">
        <f>IFERROR(VLOOKUP(TRIM(E479),ACTIVIDADES!$A$1:$D$17,2,FALSE),"NO ENCONTRADO")</f>
        <v>FERTILIZACION</v>
      </c>
      <c r="G479" s="63">
        <v>1</v>
      </c>
      <c r="H479" s="38">
        <f>IFERROR(VLOOKUP(TRIM(E479),ACTIVIDADES!$A$1:$D$17,4,FALSE),"")</f>
        <v>17.5</v>
      </c>
      <c r="I479" s="35">
        <f t="shared" si="7"/>
        <v>17.5</v>
      </c>
    </row>
    <row r="480" spans="1:9" x14ac:dyDescent="0.3">
      <c r="A480" s="57">
        <v>46171</v>
      </c>
      <c r="B480" s="1">
        <v>27</v>
      </c>
      <c r="C480" s="55" t="s">
        <v>100</v>
      </c>
      <c r="D480" s="55" t="s">
        <v>46</v>
      </c>
      <c r="E480" s="55" t="s">
        <v>75</v>
      </c>
      <c r="F480" s="33" t="str">
        <f>IFERROR(VLOOKUP(TRIM(E480),ACTIVIDADES!$A$1:$D$17,2,FALSE),"NO ENCONTRADO")</f>
        <v>TRAZADO PARA SIEMBRA</v>
      </c>
      <c r="G480" s="63">
        <v>1</v>
      </c>
      <c r="H480" s="38">
        <f>IFERROR(VLOOKUP(TRIM(E480),ACTIVIDADES!$A$1:$D$17,4,FALSE),"")</f>
        <v>75</v>
      </c>
      <c r="I480" s="35">
        <f t="shared" si="7"/>
        <v>75</v>
      </c>
    </row>
    <row r="481" spans="1:9" x14ac:dyDescent="0.3">
      <c r="A481" s="57">
        <v>46171</v>
      </c>
      <c r="B481" s="1">
        <v>28</v>
      </c>
      <c r="C481" s="24" t="s">
        <v>33</v>
      </c>
      <c r="D481" s="58" t="s">
        <v>151</v>
      </c>
      <c r="E481" s="58" t="s">
        <v>117</v>
      </c>
      <c r="F481" s="33" t="str">
        <f>IFERROR(VLOOKUP(TRIM(E481),ACTIVIDADES!$A$1:$D$17,2,FALSE),"NO ENCONTRADO")</f>
        <v>FERTILIZACION</v>
      </c>
      <c r="G481" s="63">
        <v>1</v>
      </c>
      <c r="H481" s="38">
        <f>IFERROR(VLOOKUP(TRIM(E481),ACTIVIDADES!$A$1:$D$17,4,FALSE),"")</f>
        <v>17.5</v>
      </c>
      <c r="I481" s="35">
        <f t="shared" si="7"/>
        <v>17.5</v>
      </c>
    </row>
    <row r="482" spans="1:9" x14ac:dyDescent="0.3">
      <c r="A482" s="57">
        <v>46171</v>
      </c>
      <c r="B482" s="1">
        <v>29</v>
      </c>
      <c r="C482" s="24" t="s">
        <v>102</v>
      </c>
      <c r="D482" s="58" t="s">
        <v>55</v>
      </c>
      <c r="E482" s="58" t="s">
        <v>117</v>
      </c>
      <c r="F482" s="33" t="str">
        <f>IFERROR(VLOOKUP(TRIM(E482),ACTIVIDADES!$A$1:$D$17,2,FALSE),"NO ENCONTRADO")</f>
        <v>FERTILIZACION</v>
      </c>
      <c r="G482" s="63">
        <v>4</v>
      </c>
      <c r="H482" s="38">
        <f>IFERROR(VLOOKUP(TRIM(E482),ACTIVIDADES!$A$1:$D$17,4,FALSE),"")</f>
        <v>17.5</v>
      </c>
      <c r="I482" s="35">
        <f t="shared" si="7"/>
        <v>70</v>
      </c>
    </row>
    <row r="483" spans="1:9" x14ac:dyDescent="0.3">
      <c r="A483" s="57">
        <v>46171</v>
      </c>
      <c r="B483" s="1">
        <v>30</v>
      </c>
      <c r="C483" s="24" t="s">
        <v>35</v>
      </c>
      <c r="D483" s="55" t="s">
        <v>46</v>
      </c>
      <c r="E483" s="55" t="s">
        <v>75</v>
      </c>
      <c r="F483" s="33" t="str">
        <f>IFERROR(VLOOKUP(TRIM(E483),ACTIVIDADES!$A$1:$D$17,2,FALSE),"NO ENCONTRADO")</f>
        <v>TRAZADO PARA SIEMBRA</v>
      </c>
      <c r="G483" s="63">
        <v>1</v>
      </c>
      <c r="H483" s="38">
        <f>IFERROR(VLOOKUP(TRIM(E483),ACTIVIDADES!$A$1:$D$17,4,FALSE),"")</f>
        <v>75</v>
      </c>
      <c r="I483" s="35">
        <f t="shared" si="7"/>
        <v>75</v>
      </c>
    </row>
    <row r="484" spans="1:9" x14ac:dyDescent="0.3">
      <c r="A484" s="57">
        <v>46171</v>
      </c>
      <c r="B484" s="1">
        <v>31</v>
      </c>
      <c r="C484" s="24" t="s">
        <v>9</v>
      </c>
      <c r="D484" s="58" t="s">
        <v>55</v>
      </c>
      <c r="E484" s="58" t="s">
        <v>117</v>
      </c>
      <c r="F484" s="33" t="str">
        <f>IFERROR(VLOOKUP(TRIM(E484),ACTIVIDADES!$A$1:$D$17,2,FALSE),"NO ENCONTRADO")</f>
        <v>FERTILIZACION</v>
      </c>
      <c r="G484" s="63">
        <v>4</v>
      </c>
      <c r="H484" s="38">
        <f>IFERROR(VLOOKUP(TRIM(E484),ACTIVIDADES!$A$1:$D$17,4,FALSE),"")</f>
        <v>17.5</v>
      </c>
      <c r="I484" s="35">
        <f t="shared" si="7"/>
        <v>70</v>
      </c>
    </row>
    <row r="485" spans="1:9" x14ac:dyDescent="0.3">
      <c r="A485" s="57">
        <v>46171</v>
      </c>
      <c r="B485" s="1">
        <v>32</v>
      </c>
      <c r="C485" s="55" t="s">
        <v>37</v>
      </c>
      <c r="D485" s="58" t="s">
        <v>151</v>
      </c>
      <c r="E485" s="58" t="s">
        <v>117</v>
      </c>
      <c r="F485" s="33" t="str">
        <f>IFERROR(VLOOKUP(TRIM(E485),ACTIVIDADES!$A$1:$D$17,2,FALSE),"NO ENCONTRADO")</f>
        <v>FERTILIZACION</v>
      </c>
      <c r="G485" s="63">
        <v>1</v>
      </c>
      <c r="H485" s="38">
        <f>IFERROR(VLOOKUP(TRIM(E485),ACTIVIDADES!$A$1:$D$17,4,FALSE),"")</f>
        <v>17.5</v>
      </c>
      <c r="I485" s="35">
        <f t="shared" si="7"/>
        <v>17.5</v>
      </c>
    </row>
    <row r="486" spans="1:9" x14ac:dyDescent="0.3">
      <c r="A486" s="57">
        <v>46171</v>
      </c>
      <c r="B486" s="1">
        <v>33</v>
      </c>
      <c r="C486" s="24" t="s">
        <v>7</v>
      </c>
      <c r="D486" s="58" t="s">
        <v>151</v>
      </c>
      <c r="E486" s="58" t="s">
        <v>117</v>
      </c>
      <c r="F486" s="33" t="str">
        <f>IFERROR(VLOOKUP(TRIM(E486),ACTIVIDADES!$A$1:$D$17,2,FALSE),"NO ENCONTRADO")</f>
        <v>FERTILIZACION</v>
      </c>
      <c r="G486" s="63">
        <v>1</v>
      </c>
      <c r="H486" s="38">
        <f>IFERROR(VLOOKUP(TRIM(E486),ACTIVIDADES!$A$1:$D$17,4,FALSE),"")</f>
        <v>17.5</v>
      </c>
      <c r="I486" s="35">
        <f t="shared" si="7"/>
        <v>17.5</v>
      </c>
    </row>
    <row r="487" spans="1:9" x14ac:dyDescent="0.3">
      <c r="A487" s="57">
        <v>46171</v>
      </c>
      <c r="B487" s="1">
        <v>34</v>
      </c>
      <c r="C487" s="24" t="s">
        <v>107</v>
      </c>
      <c r="D487" s="58" t="s">
        <v>55</v>
      </c>
      <c r="E487" s="58" t="s">
        <v>117</v>
      </c>
      <c r="F487" s="33" t="str">
        <f>IFERROR(VLOOKUP(TRIM(E487),ACTIVIDADES!$A$1:$D$17,2,FALSE),"NO ENCONTRADO")</f>
        <v>FERTILIZACION</v>
      </c>
      <c r="G487" s="63">
        <v>4</v>
      </c>
      <c r="H487" s="38">
        <f>IFERROR(VLOOKUP(TRIM(E487),ACTIVIDADES!$A$1:$D$17,4,FALSE),"")</f>
        <v>17.5</v>
      </c>
      <c r="I487" s="35">
        <f t="shared" si="7"/>
        <v>70</v>
      </c>
    </row>
    <row r="488" spans="1:9" x14ac:dyDescent="0.3">
      <c r="A488" s="57">
        <v>46171</v>
      </c>
      <c r="B488" s="1">
        <v>35</v>
      </c>
      <c r="C488" s="24" t="s">
        <v>108</v>
      </c>
      <c r="D488" s="58" t="s">
        <v>55</v>
      </c>
      <c r="E488" s="58" t="s">
        <v>117</v>
      </c>
      <c r="F488" s="33" t="str">
        <f>IFERROR(VLOOKUP(TRIM(E488),ACTIVIDADES!$A$1:$D$17,2,FALSE),"NO ENCONTRADO")</f>
        <v>FERTILIZACION</v>
      </c>
      <c r="G488" s="63">
        <v>4</v>
      </c>
      <c r="H488" s="38">
        <f>IFERROR(VLOOKUP(TRIM(E488),ACTIVIDADES!$A$1:$D$17,4,FALSE),"")</f>
        <v>17.5</v>
      </c>
      <c r="I488" s="35">
        <f t="shared" si="7"/>
        <v>70</v>
      </c>
    </row>
    <row r="489" spans="1:9" x14ac:dyDescent="0.3">
      <c r="A489" s="57">
        <v>46171</v>
      </c>
      <c r="B489" s="1">
        <v>36</v>
      </c>
      <c r="C489" s="58" t="s">
        <v>109</v>
      </c>
      <c r="D489" s="58" t="s">
        <v>151</v>
      </c>
      <c r="E489" s="58" t="s">
        <v>117</v>
      </c>
      <c r="F489" s="33" t="str">
        <f>IFERROR(VLOOKUP(TRIM(E489),ACTIVIDADES!$A$1:$D$17,2,FALSE),"NO ENCONTRADO")</f>
        <v>FERTILIZACION</v>
      </c>
      <c r="G489" s="63">
        <v>1</v>
      </c>
      <c r="H489" s="38">
        <f>IFERROR(VLOOKUP(TRIM(E489),ACTIVIDADES!$A$1:$D$17,4,FALSE),"")</f>
        <v>17.5</v>
      </c>
      <c r="I489" s="35">
        <f t="shared" si="7"/>
        <v>17.5</v>
      </c>
    </row>
    <row r="490" spans="1:9" x14ac:dyDescent="0.3">
      <c r="A490" s="57">
        <v>46171</v>
      </c>
      <c r="B490" s="1">
        <v>37</v>
      </c>
      <c r="C490" s="53" t="s">
        <v>42</v>
      </c>
      <c r="D490" s="58" t="s">
        <v>55</v>
      </c>
      <c r="E490" s="58" t="s">
        <v>117</v>
      </c>
      <c r="F490" s="33" t="str">
        <f>IFERROR(VLOOKUP(TRIM(E490),ACTIVIDADES!$A$1:$D$17,2,FALSE),"NO ENCONTRADO")</f>
        <v>FERTILIZACION</v>
      </c>
      <c r="G490" s="63">
        <v>4</v>
      </c>
      <c r="H490" s="38">
        <f>IFERROR(VLOOKUP(TRIM(E490),ACTIVIDADES!$A$1:$D$17,4,FALSE),"")</f>
        <v>17.5</v>
      </c>
      <c r="I490" s="35">
        <f t="shared" si="7"/>
        <v>70</v>
      </c>
    </row>
    <row r="491" spans="1:9" x14ac:dyDescent="0.3">
      <c r="A491" s="57">
        <v>46171</v>
      </c>
      <c r="B491" s="1">
        <v>38</v>
      </c>
      <c r="C491" s="55" t="s">
        <v>43</v>
      </c>
      <c r="D491" s="58" t="s">
        <v>151</v>
      </c>
      <c r="E491" s="58" t="s">
        <v>117</v>
      </c>
      <c r="F491" s="33" t="str">
        <f>IFERROR(VLOOKUP(TRIM(E491),ACTIVIDADES!$A$1:$D$17,2,FALSE),"NO ENCONTRADO")</f>
        <v>FERTILIZACION</v>
      </c>
      <c r="G491" s="63">
        <v>1</v>
      </c>
      <c r="H491" s="38">
        <f>IFERROR(VLOOKUP(TRIM(E491),ACTIVIDADES!$A$1:$D$17,4,FALSE),"")</f>
        <v>17.5</v>
      </c>
      <c r="I491" s="35">
        <f t="shared" si="7"/>
        <v>17.5</v>
      </c>
    </row>
    <row r="492" spans="1:9" x14ac:dyDescent="0.3">
      <c r="A492" s="57">
        <v>46171</v>
      </c>
      <c r="B492" s="1">
        <v>39</v>
      </c>
      <c r="C492" s="24" t="s">
        <v>44</v>
      </c>
      <c r="D492" s="58" t="s">
        <v>46</v>
      </c>
      <c r="E492" s="55" t="s">
        <v>75</v>
      </c>
      <c r="F492" s="33" t="str">
        <f>IFERROR(VLOOKUP(TRIM(E492),ACTIVIDADES!$A$1:$D$17,2,FALSE),"NO ENCONTRADO")</f>
        <v>TRAZADO PARA SIEMBRA</v>
      </c>
      <c r="G492" s="63">
        <v>1</v>
      </c>
      <c r="H492" s="38">
        <f>IFERROR(VLOOKUP(TRIM(E492),ACTIVIDADES!$A$1:$D$17,4,FALSE),"")</f>
        <v>75</v>
      </c>
      <c r="I492" s="35">
        <f t="shared" si="7"/>
        <v>75</v>
      </c>
    </row>
    <row r="493" spans="1:9" x14ac:dyDescent="0.3">
      <c r="A493" s="57">
        <v>46171</v>
      </c>
      <c r="B493" s="55">
        <v>40</v>
      </c>
      <c r="C493" s="55" t="s">
        <v>156</v>
      </c>
      <c r="D493" s="58" t="s">
        <v>55</v>
      </c>
      <c r="E493" s="58" t="s">
        <v>117</v>
      </c>
      <c r="F493" s="33" t="str">
        <f>IFERROR(VLOOKUP(TRIM(E493),ACTIVIDADES!$A$1:$D$17,2,FALSE),"NO ENCONTRADO")</f>
        <v>FERTILIZACION</v>
      </c>
      <c r="G493" s="63">
        <v>4</v>
      </c>
      <c r="H493" s="38">
        <f>IFERROR(VLOOKUP(TRIM(E493),ACTIVIDADES!$A$1:$D$17,4,FALSE),"")</f>
        <v>17.5</v>
      </c>
      <c r="I493" s="35">
        <f t="shared" si="7"/>
        <v>70</v>
      </c>
    </row>
    <row r="494" spans="1:9" x14ac:dyDescent="0.3">
      <c r="A494" s="57">
        <v>46171</v>
      </c>
      <c r="B494" s="55">
        <v>41</v>
      </c>
      <c r="C494" s="55" t="s">
        <v>157</v>
      </c>
      <c r="D494" s="58" t="s">
        <v>55</v>
      </c>
      <c r="E494" s="58" t="s">
        <v>117</v>
      </c>
      <c r="F494" s="33" t="str">
        <f>IFERROR(VLOOKUP(TRIM(E494),ACTIVIDADES!$A$1:$D$17,2,FALSE),"NO ENCONTRADO")</f>
        <v>FERTILIZACION</v>
      </c>
      <c r="G494" s="63">
        <v>4</v>
      </c>
      <c r="H494" s="38">
        <f>IFERROR(VLOOKUP(TRIM(E494),ACTIVIDADES!$A$1:$D$17,4,FALSE),"")</f>
        <v>17.5</v>
      </c>
      <c r="I494" s="35">
        <f t="shared" si="7"/>
        <v>70</v>
      </c>
    </row>
    <row r="495" spans="1:9" x14ac:dyDescent="0.3">
      <c r="A495" s="60">
        <v>46172</v>
      </c>
      <c r="B495" s="1">
        <v>1</v>
      </c>
      <c r="C495" s="40" t="s">
        <v>6</v>
      </c>
      <c r="D495" s="1" t="s">
        <v>49</v>
      </c>
      <c r="E495" s="1" t="s">
        <v>49</v>
      </c>
      <c r="F495" s="33" t="str">
        <f>IFERROR(VLOOKUP(TRIM(E495),ACTIVIDADES!$A$1:$D$17,2,FALSE),"NO ENCONTRADO")</f>
        <v>CAPORAL</v>
      </c>
      <c r="G495" s="63">
        <v>1</v>
      </c>
      <c r="H495" s="38">
        <f>IFERROR(VLOOKUP(TRIM(E495),ACTIVIDADES!$A$1:$D$17,4,FALSE),"")</f>
        <v>100</v>
      </c>
      <c r="I495" s="35">
        <f t="shared" si="7"/>
        <v>100</v>
      </c>
    </row>
    <row r="496" spans="1:9" x14ac:dyDescent="0.3">
      <c r="A496" s="60">
        <v>46172</v>
      </c>
      <c r="B496" s="1">
        <v>2</v>
      </c>
      <c r="C496" s="29" t="s">
        <v>10</v>
      </c>
      <c r="D496" s="1" t="s">
        <v>49</v>
      </c>
      <c r="E496" s="1" t="s">
        <v>49</v>
      </c>
      <c r="F496" s="33" t="str">
        <f>IFERROR(VLOOKUP(TRIM(E496),ACTIVIDADES!$A$1:$D$17,2,FALSE),"NO ENCONTRADO")</f>
        <v>CAPORAL</v>
      </c>
      <c r="G496" s="63">
        <v>1</v>
      </c>
      <c r="H496" s="38">
        <f>IFERROR(VLOOKUP(TRIM(E496),ACTIVIDADES!$A$1:$D$17,4,FALSE),"")</f>
        <v>100</v>
      </c>
      <c r="I496" s="35">
        <f t="shared" si="7"/>
        <v>100</v>
      </c>
    </row>
    <row r="497" spans="1:9" x14ac:dyDescent="0.3">
      <c r="A497" s="60">
        <v>46172</v>
      </c>
      <c r="B497" s="1">
        <v>3</v>
      </c>
      <c r="C497" s="29" t="s">
        <v>22</v>
      </c>
      <c r="D497" s="53" t="s">
        <v>49</v>
      </c>
      <c r="E497" s="53" t="s">
        <v>49</v>
      </c>
      <c r="F497" s="33" t="str">
        <f>IFERROR(VLOOKUP(TRIM(E497),ACTIVIDADES!$A$1:$D$17,2,FALSE),"NO ENCONTRADO")</f>
        <v>CAPORAL</v>
      </c>
      <c r="G497" s="63">
        <v>1</v>
      </c>
      <c r="H497" s="38">
        <f>IFERROR(VLOOKUP(TRIM(E497),ACTIVIDADES!$A$1:$D$17,4,FALSE),"")</f>
        <v>100</v>
      </c>
      <c r="I497" s="35">
        <f t="shared" si="7"/>
        <v>100</v>
      </c>
    </row>
    <row r="498" spans="1:9" x14ac:dyDescent="0.3">
      <c r="A498" s="60">
        <v>46172</v>
      </c>
      <c r="B498" s="1">
        <v>4</v>
      </c>
      <c r="C498" s="40" t="s">
        <v>36</v>
      </c>
      <c r="D498" s="53" t="s">
        <v>150</v>
      </c>
      <c r="E498" s="47" t="s">
        <v>149</v>
      </c>
      <c r="F498" s="33" t="str">
        <f>IFERROR(VLOOKUP(TRIM(E498),ACTIVIDADES!$A$1:$D$17,2,FALSE),"NO ENCONTRADO")</f>
        <v>HACIENDA</v>
      </c>
      <c r="G498" s="63">
        <v>1</v>
      </c>
      <c r="H498" s="38">
        <f>IFERROR(VLOOKUP(TRIM(E498),ACTIVIDADES!$A$1:$D$17,4,FALSE),"")</f>
        <v>65</v>
      </c>
      <c r="I498" s="35">
        <f t="shared" si="7"/>
        <v>65</v>
      </c>
    </row>
    <row r="499" spans="1:9" x14ac:dyDescent="0.3">
      <c r="A499" s="60">
        <v>46172</v>
      </c>
      <c r="B499" s="1">
        <v>5</v>
      </c>
      <c r="C499" s="29" t="s">
        <v>38</v>
      </c>
      <c r="D499" s="47" t="s">
        <v>150</v>
      </c>
      <c r="E499" s="47" t="s">
        <v>149</v>
      </c>
      <c r="F499" s="33" t="str">
        <f>IFERROR(VLOOKUP(TRIM(E499),ACTIVIDADES!$A$1:$D$17,2,FALSE),"NO ENCONTRADO")</f>
        <v>HACIENDA</v>
      </c>
      <c r="G499" s="63">
        <v>1</v>
      </c>
      <c r="H499" s="38">
        <f>IFERROR(VLOOKUP(TRIM(E499),ACTIVIDADES!$A$1:$D$17,4,FALSE),"")</f>
        <v>65</v>
      </c>
      <c r="I499" s="35">
        <f t="shared" si="7"/>
        <v>65</v>
      </c>
    </row>
    <row r="500" spans="1:9" x14ac:dyDescent="0.3">
      <c r="A500" s="60">
        <v>46172</v>
      </c>
      <c r="B500" s="1">
        <v>6</v>
      </c>
      <c r="C500" s="24" t="s">
        <v>11</v>
      </c>
      <c r="D500" s="58" t="s">
        <v>56</v>
      </c>
      <c r="E500" s="58" t="s">
        <v>60</v>
      </c>
      <c r="F500" s="33" t="str">
        <f>IFERROR(VLOOKUP(TRIM(E500),ACTIVIDADES!$A$1:$D$17,2,FALSE),"NO ENCONTRADO")</f>
        <v>MANEJO DE SOMBRA</v>
      </c>
      <c r="G500" s="63">
        <v>1</v>
      </c>
      <c r="H500" s="38">
        <f>IFERROR(VLOOKUP(TRIM(E500),ACTIVIDADES!$A$1:$D$17,4,FALSE),"")</f>
        <v>75</v>
      </c>
      <c r="I500" s="35">
        <f t="shared" si="7"/>
        <v>75</v>
      </c>
    </row>
    <row r="501" spans="1:9" x14ac:dyDescent="0.3">
      <c r="A501" s="60">
        <v>46172</v>
      </c>
      <c r="B501" s="1">
        <v>7</v>
      </c>
      <c r="C501" s="54" t="s">
        <v>12</v>
      </c>
      <c r="D501" s="58" t="s">
        <v>56</v>
      </c>
      <c r="E501" s="58" t="s">
        <v>60</v>
      </c>
      <c r="F501" s="33" t="str">
        <f>IFERROR(VLOOKUP(TRIM(E501),ACTIVIDADES!$A$1:$D$17,2,FALSE),"NO ENCONTRADO")</f>
        <v>MANEJO DE SOMBRA</v>
      </c>
      <c r="G501" s="63">
        <v>1</v>
      </c>
      <c r="H501" s="38">
        <f>IFERROR(VLOOKUP(TRIM(E501),ACTIVIDADES!$A$1:$D$17,4,FALSE),"")</f>
        <v>75</v>
      </c>
      <c r="I501" s="35">
        <f t="shared" si="7"/>
        <v>75</v>
      </c>
    </row>
    <row r="502" spans="1:9" x14ac:dyDescent="0.3">
      <c r="A502" s="60">
        <v>46172</v>
      </c>
      <c r="B502" s="1">
        <v>8</v>
      </c>
      <c r="C502" s="24" t="s">
        <v>84</v>
      </c>
      <c r="D502" s="58" t="s">
        <v>56</v>
      </c>
      <c r="E502" s="58" t="s">
        <v>60</v>
      </c>
      <c r="F502" s="33" t="str">
        <f>IFERROR(VLOOKUP(TRIM(E502),ACTIVIDADES!$A$1:$D$17,2,FALSE),"NO ENCONTRADO")</f>
        <v>MANEJO DE SOMBRA</v>
      </c>
      <c r="G502" s="63">
        <v>1</v>
      </c>
      <c r="H502" s="38">
        <f>IFERROR(VLOOKUP(TRIM(E502),ACTIVIDADES!$A$1:$D$17,4,FALSE),"")</f>
        <v>75</v>
      </c>
      <c r="I502" s="35">
        <f t="shared" si="7"/>
        <v>75</v>
      </c>
    </row>
    <row r="503" spans="1:9" x14ac:dyDescent="0.3">
      <c r="A503" s="60">
        <v>46172</v>
      </c>
      <c r="B503" s="1">
        <v>9</v>
      </c>
      <c r="C503" s="55" t="s">
        <v>82</v>
      </c>
      <c r="D503" s="58" t="s">
        <v>56</v>
      </c>
      <c r="E503" s="58" t="s">
        <v>60</v>
      </c>
      <c r="F503" s="33" t="str">
        <f>IFERROR(VLOOKUP(TRIM(E503),ACTIVIDADES!$A$1:$D$17,2,FALSE),"NO ENCONTRADO")</f>
        <v>MANEJO DE SOMBRA</v>
      </c>
      <c r="G503" s="63">
        <v>1</v>
      </c>
      <c r="H503" s="38">
        <f>IFERROR(VLOOKUP(TRIM(E503),ACTIVIDADES!$A$1:$D$17,4,FALSE),"")</f>
        <v>75</v>
      </c>
      <c r="I503" s="35">
        <f t="shared" si="7"/>
        <v>75</v>
      </c>
    </row>
    <row r="504" spans="1:9" x14ac:dyDescent="0.3">
      <c r="A504" s="60">
        <v>46172</v>
      </c>
      <c r="B504" s="1">
        <v>10</v>
      </c>
      <c r="C504" s="40" t="s">
        <v>14</v>
      </c>
      <c r="D504" s="58" t="s">
        <v>56</v>
      </c>
      <c r="E504" s="58" t="s">
        <v>60</v>
      </c>
      <c r="F504" s="33" t="str">
        <f>IFERROR(VLOOKUP(TRIM(E504),ACTIVIDADES!$A$1:$D$17,2,FALSE),"NO ENCONTRADO")</f>
        <v>MANEJO DE SOMBRA</v>
      </c>
      <c r="G504" s="63">
        <v>1</v>
      </c>
      <c r="H504" s="38">
        <f>IFERROR(VLOOKUP(TRIM(E504),ACTIVIDADES!$A$1:$D$17,4,FALSE),"")</f>
        <v>75</v>
      </c>
      <c r="I504" s="35">
        <f t="shared" si="7"/>
        <v>75</v>
      </c>
    </row>
    <row r="505" spans="1:9" x14ac:dyDescent="0.3">
      <c r="A505" s="60">
        <v>46172</v>
      </c>
      <c r="B505" s="1">
        <v>11</v>
      </c>
      <c r="C505" s="24" t="s">
        <v>85</v>
      </c>
      <c r="D505" s="58" t="s">
        <v>56</v>
      </c>
      <c r="E505" s="58" t="s">
        <v>60</v>
      </c>
      <c r="F505" s="33" t="str">
        <f>IFERROR(VLOOKUP(TRIM(E505),ACTIVIDADES!$A$1:$D$17,2,FALSE),"NO ENCONTRADO")</f>
        <v>MANEJO DE SOMBRA</v>
      </c>
      <c r="G505" s="63">
        <v>1</v>
      </c>
      <c r="H505" s="38">
        <f>IFERROR(VLOOKUP(TRIM(E505),ACTIVIDADES!$A$1:$D$17,4,FALSE),"")</f>
        <v>75</v>
      </c>
      <c r="I505" s="35">
        <f t="shared" si="7"/>
        <v>75</v>
      </c>
    </row>
    <row r="506" spans="1:9" x14ac:dyDescent="0.3">
      <c r="A506" s="60">
        <v>46172</v>
      </c>
      <c r="B506" s="1">
        <v>12</v>
      </c>
      <c r="C506" s="24" t="s">
        <v>17</v>
      </c>
      <c r="D506" s="58" t="s">
        <v>56</v>
      </c>
      <c r="E506" s="58" t="s">
        <v>60</v>
      </c>
      <c r="F506" s="33" t="str">
        <f>IFERROR(VLOOKUP(TRIM(E506),ACTIVIDADES!$A$1:$D$17,2,FALSE),"NO ENCONTRADO")</f>
        <v>MANEJO DE SOMBRA</v>
      </c>
      <c r="G506" s="63">
        <v>1</v>
      </c>
      <c r="H506" s="38">
        <f>IFERROR(VLOOKUP(TRIM(E506),ACTIVIDADES!$A$1:$D$17,4,FALSE),"")</f>
        <v>75</v>
      </c>
      <c r="I506" s="35">
        <f t="shared" si="7"/>
        <v>75</v>
      </c>
    </row>
    <row r="507" spans="1:9" x14ac:dyDescent="0.3">
      <c r="A507" s="60">
        <v>46172</v>
      </c>
      <c r="B507" s="1">
        <v>13</v>
      </c>
      <c r="C507" s="24" t="s">
        <v>18</v>
      </c>
      <c r="D507" s="58" t="s">
        <v>56</v>
      </c>
      <c r="E507" s="58" t="s">
        <v>60</v>
      </c>
      <c r="F507" s="33" t="str">
        <f>IFERROR(VLOOKUP(TRIM(E507),ACTIVIDADES!$A$1:$D$17,2,FALSE),"NO ENCONTRADO")</f>
        <v>MANEJO DE SOMBRA</v>
      </c>
      <c r="G507" s="63">
        <v>1</v>
      </c>
      <c r="H507" s="38">
        <f>IFERROR(VLOOKUP(TRIM(E507),ACTIVIDADES!$A$1:$D$17,4,FALSE),"")</f>
        <v>75</v>
      </c>
      <c r="I507" s="35">
        <f t="shared" si="7"/>
        <v>75</v>
      </c>
    </row>
    <row r="508" spans="1:9" x14ac:dyDescent="0.3">
      <c r="A508" s="60">
        <v>46172</v>
      </c>
      <c r="B508" s="1">
        <v>14</v>
      </c>
      <c r="C508" s="24" t="s">
        <v>88</v>
      </c>
      <c r="D508" s="58" t="s">
        <v>56</v>
      </c>
      <c r="E508" s="58" t="s">
        <v>60</v>
      </c>
      <c r="F508" s="33" t="str">
        <f>IFERROR(VLOOKUP(TRIM(E508),ACTIVIDADES!$A$1:$D$17,2,FALSE),"NO ENCONTRADO")</f>
        <v>MANEJO DE SOMBRA</v>
      </c>
      <c r="G508" s="63">
        <v>1</v>
      </c>
      <c r="H508" s="38">
        <f>IFERROR(VLOOKUP(TRIM(E508),ACTIVIDADES!$A$1:$D$17,4,FALSE),"")</f>
        <v>75</v>
      </c>
      <c r="I508" s="35">
        <f t="shared" si="7"/>
        <v>75</v>
      </c>
    </row>
    <row r="509" spans="1:9" x14ac:dyDescent="0.3">
      <c r="A509" s="60">
        <v>46172</v>
      </c>
      <c r="B509" s="1">
        <v>15</v>
      </c>
      <c r="C509" s="40" t="s">
        <v>20</v>
      </c>
      <c r="D509" s="58" t="s">
        <v>56</v>
      </c>
      <c r="E509" s="58" t="s">
        <v>60</v>
      </c>
      <c r="F509" s="33" t="str">
        <f>IFERROR(VLOOKUP(TRIM(E509),ACTIVIDADES!$A$1:$D$17,2,FALSE),"NO ENCONTRADO")</f>
        <v>MANEJO DE SOMBRA</v>
      </c>
      <c r="G509" s="63">
        <v>1</v>
      </c>
      <c r="H509" s="38">
        <f>IFERROR(VLOOKUP(TRIM(E509),ACTIVIDADES!$A$1:$D$17,4,FALSE),"")</f>
        <v>75</v>
      </c>
      <c r="I509" s="35">
        <f t="shared" si="7"/>
        <v>75</v>
      </c>
    </row>
    <row r="510" spans="1:9" x14ac:dyDescent="0.3">
      <c r="A510" s="60">
        <v>46172</v>
      </c>
      <c r="B510" s="1">
        <v>17</v>
      </c>
      <c r="C510" s="24" t="s">
        <v>91</v>
      </c>
      <c r="D510" s="58" t="s">
        <v>56</v>
      </c>
      <c r="E510" s="58" t="s">
        <v>60</v>
      </c>
      <c r="F510" s="33" t="str">
        <f>IFERROR(VLOOKUP(TRIM(E510),ACTIVIDADES!$A$1:$D$17,2,FALSE),"NO ENCONTRADO")</f>
        <v>MANEJO DE SOMBRA</v>
      </c>
      <c r="G510" s="63">
        <v>1</v>
      </c>
      <c r="H510" s="38">
        <f>IFERROR(VLOOKUP(TRIM(E510),ACTIVIDADES!$A$1:$D$17,4,FALSE),"")</f>
        <v>75</v>
      </c>
      <c r="I510" s="35">
        <f t="shared" si="7"/>
        <v>75</v>
      </c>
    </row>
    <row r="511" spans="1:9" x14ac:dyDescent="0.3">
      <c r="A511" s="60">
        <v>46172</v>
      </c>
      <c r="B511" s="1">
        <v>18</v>
      </c>
      <c r="C511" s="30" t="s">
        <v>23</v>
      </c>
      <c r="D511" s="58" t="s">
        <v>56</v>
      </c>
      <c r="E511" s="58" t="s">
        <v>60</v>
      </c>
      <c r="F511" s="33" t="str">
        <f>IFERROR(VLOOKUP(TRIM(E511),ACTIVIDADES!$A$1:$D$17,2,FALSE),"NO ENCONTRADO")</f>
        <v>MANEJO DE SOMBRA</v>
      </c>
      <c r="G511" s="63">
        <v>1</v>
      </c>
      <c r="H511" s="38">
        <f>IFERROR(VLOOKUP(TRIM(E511),ACTIVIDADES!$A$1:$D$17,4,FALSE),"")</f>
        <v>75</v>
      </c>
      <c r="I511" s="35">
        <f t="shared" si="7"/>
        <v>75</v>
      </c>
    </row>
    <row r="512" spans="1:9" x14ac:dyDescent="0.3">
      <c r="A512" s="60">
        <v>46172</v>
      </c>
      <c r="B512" s="1">
        <v>19</v>
      </c>
      <c r="C512" s="53" t="s">
        <v>92</v>
      </c>
      <c r="D512" s="58" t="s">
        <v>56</v>
      </c>
      <c r="E512" s="58" t="s">
        <v>60</v>
      </c>
      <c r="F512" s="33" t="str">
        <f>IFERROR(VLOOKUP(TRIM(E512),ACTIVIDADES!$A$1:$D$17,2,FALSE),"NO ENCONTRADO")</f>
        <v>MANEJO DE SOMBRA</v>
      </c>
      <c r="G512" s="63">
        <v>1</v>
      </c>
      <c r="H512" s="38">
        <f>IFERROR(VLOOKUP(TRIM(E512),ACTIVIDADES!$A$1:$D$17,4,FALSE),"")</f>
        <v>75</v>
      </c>
      <c r="I512" s="35">
        <f t="shared" si="7"/>
        <v>75</v>
      </c>
    </row>
    <row r="513" spans="1:9" x14ac:dyDescent="0.3">
      <c r="A513" s="60">
        <v>46172</v>
      </c>
      <c r="B513" s="1">
        <v>20</v>
      </c>
      <c r="C513" s="24" t="s">
        <v>25</v>
      </c>
      <c r="D513" s="58" t="s">
        <v>56</v>
      </c>
      <c r="E513" s="58" t="s">
        <v>60</v>
      </c>
      <c r="F513" s="33" t="str">
        <f>IFERROR(VLOOKUP(TRIM(E513),ACTIVIDADES!$A$1:$D$17,2,FALSE),"NO ENCONTRADO")</f>
        <v>MANEJO DE SOMBRA</v>
      </c>
      <c r="G513" s="63">
        <v>1</v>
      </c>
      <c r="H513" s="38">
        <f>IFERROR(VLOOKUP(TRIM(E513),ACTIVIDADES!$A$1:$D$17,4,FALSE),"")</f>
        <v>75</v>
      </c>
      <c r="I513" s="35">
        <f t="shared" si="7"/>
        <v>75</v>
      </c>
    </row>
    <row r="514" spans="1:9" x14ac:dyDescent="0.3">
      <c r="A514" s="60">
        <v>46172</v>
      </c>
      <c r="B514" s="1">
        <v>21</v>
      </c>
      <c r="C514" s="29" t="s">
        <v>26</v>
      </c>
      <c r="D514" s="58" t="s">
        <v>56</v>
      </c>
      <c r="E514" s="58" t="s">
        <v>60</v>
      </c>
      <c r="F514" s="33" t="str">
        <f>IFERROR(VLOOKUP(TRIM(E514),ACTIVIDADES!$A$1:$D$17,2,FALSE),"NO ENCONTRADO")</f>
        <v>MANEJO DE SOMBRA</v>
      </c>
      <c r="G514" s="63">
        <v>1</v>
      </c>
      <c r="H514" s="38">
        <f>IFERROR(VLOOKUP(TRIM(E514),ACTIVIDADES!$A$1:$D$17,4,FALSE),"")</f>
        <v>75</v>
      </c>
      <c r="I514" s="35">
        <f t="shared" ref="I514:I577" si="8">IFERROR(G514*H514,"")</f>
        <v>75</v>
      </c>
    </row>
    <row r="515" spans="1:9" x14ac:dyDescent="0.3">
      <c r="A515" s="60">
        <v>46172</v>
      </c>
      <c r="B515" s="1">
        <v>22</v>
      </c>
      <c r="C515" s="24" t="s">
        <v>27</v>
      </c>
      <c r="D515" s="58" t="s">
        <v>56</v>
      </c>
      <c r="E515" s="58" t="s">
        <v>60</v>
      </c>
      <c r="F515" s="33" t="str">
        <f>IFERROR(VLOOKUP(TRIM(E515),ACTIVIDADES!$A$1:$D$17,2,FALSE),"NO ENCONTRADO")</f>
        <v>MANEJO DE SOMBRA</v>
      </c>
      <c r="G515" s="63">
        <v>1</v>
      </c>
      <c r="H515" s="38">
        <f>IFERROR(VLOOKUP(TRIM(E515),ACTIVIDADES!$A$1:$D$17,4,FALSE),"")</f>
        <v>75</v>
      </c>
      <c r="I515" s="35">
        <f t="shared" si="8"/>
        <v>75</v>
      </c>
    </row>
    <row r="516" spans="1:9" x14ac:dyDescent="0.3">
      <c r="A516" s="60">
        <v>46172</v>
      </c>
      <c r="B516" s="1">
        <v>23</v>
      </c>
      <c r="C516" s="24" t="s">
        <v>96</v>
      </c>
      <c r="D516" s="58" t="s">
        <v>56</v>
      </c>
      <c r="E516" s="58" t="s">
        <v>60</v>
      </c>
      <c r="F516" s="33" t="str">
        <f>IFERROR(VLOOKUP(TRIM(E516),ACTIVIDADES!$A$1:$D$17,2,FALSE),"NO ENCONTRADO")</f>
        <v>MANEJO DE SOMBRA</v>
      </c>
      <c r="G516" s="63">
        <v>1</v>
      </c>
      <c r="H516" s="38">
        <f>IFERROR(VLOOKUP(TRIM(E516),ACTIVIDADES!$A$1:$D$17,4,FALSE),"")</f>
        <v>75</v>
      </c>
      <c r="I516" s="35">
        <f t="shared" si="8"/>
        <v>75</v>
      </c>
    </row>
    <row r="517" spans="1:9" x14ac:dyDescent="0.3">
      <c r="A517" s="60">
        <v>46172</v>
      </c>
      <c r="B517" s="1">
        <v>24</v>
      </c>
      <c r="C517" s="24" t="s">
        <v>29</v>
      </c>
      <c r="D517" s="58" t="s">
        <v>56</v>
      </c>
      <c r="E517" s="58" t="s">
        <v>60</v>
      </c>
      <c r="F517" s="33" t="str">
        <f>IFERROR(VLOOKUP(TRIM(E517),ACTIVIDADES!$A$1:$D$17,2,FALSE),"NO ENCONTRADO")</f>
        <v>MANEJO DE SOMBRA</v>
      </c>
      <c r="G517" s="63">
        <v>1</v>
      </c>
      <c r="H517" s="38">
        <f>IFERROR(VLOOKUP(TRIM(E517),ACTIVIDADES!$A$1:$D$17,4,FALSE),"")</f>
        <v>75</v>
      </c>
      <c r="I517" s="35">
        <f t="shared" si="8"/>
        <v>75</v>
      </c>
    </row>
    <row r="518" spans="1:9" x14ac:dyDescent="0.3">
      <c r="A518" s="60">
        <v>46172</v>
      </c>
      <c r="B518" s="1">
        <v>26</v>
      </c>
      <c r="C518" s="24" t="s">
        <v>99</v>
      </c>
      <c r="D518" s="58" t="s">
        <v>56</v>
      </c>
      <c r="E518" s="58" t="s">
        <v>60</v>
      </c>
      <c r="F518" s="33" t="str">
        <f>IFERROR(VLOOKUP(TRIM(E518),ACTIVIDADES!$A$1:$D$17,2,FALSE),"NO ENCONTRADO")</f>
        <v>MANEJO DE SOMBRA</v>
      </c>
      <c r="G518" s="63">
        <v>1</v>
      </c>
      <c r="H518" s="38">
        <f>IFERROR(VLOOKUP(TRIM(E518),ACTIVIDADES!$A$1:$D$17,4,FALSE),"")</f>
        <v>75</v>
      </c>
      <c r="I518" s="35">
        <f t="shared" si="8"/>
        <v>75</v>
      </c>
    </row>
    <row r="519" spans="1:9" x14ac:dyDescent="0.3">
      <c r="A519" s="60">
        <v>46172</v>
      </c>
      <c r="B519" s="1">
        <v>27</v>
      </c>
      <c r="C519" s="55" t="s">
        <v>100</v>
      </c>
      <c r="D519" s="58" t="s">
        <v>150</v>
      </c>
      <c r="E519" s="58" t="s">
        <v>50</v>
      </c>
      <c r="F519" s="33" t="str">
        <f>IFERROR(VLOOKUP(TRIM(E519),ACTIVIDADES!$A$1:$D$17,2,FALSE),"NO ENCONTRADO")</f>
        <v>MANTENIMIENTO GENERAL</v>
      </c>
      <c r="G519" s="63">
        <v>1</v>
      </c>
      <c r="H519" s="38">
        <f>IFERROR(VLOOKUP(TRIM(E519),ACTIVIDADES!$A$1:$D$17,4,FALSE),"")</f>
        <v>75</v>
      </c>
      <c r="I519" s="35">
        <f t="shared" si="8"/>
        <v>75</v>
      </c>
    </row>
    <row r="520" spans="1:9" x14ac:dyDescent="0.3">
      <c r="A520" s="60">
        <v>46172</v>
      </c>
      <c r="B520" s="1">
        <v>28</v>
      </c>
      <c r="C520" s="24" t="s">
        <v>33</v>
      </c>
      <c r="D520" s="58" t="s">
        <v>56</v>
      </c>
      <c r="E520" s="58" t="s">
        <v>60</v>
      </c>
      <c r="F520" s="33" t="str">
        <f>IFERROR(VLOOKUP(TRIM(E520),ACTIVIDADES!$A$1:$D$17,2,FALSE),"NO ENCONTRADO")</f>
        <v>MANEJO DE SOMBRA</v>
      </c>
      <c r="G520" s="63">
        <v>1</v>
      </c>
      <c r="H520" s="38">
        <f>IFERROR(VLOOKUP(TRIM(E520),ACTIVIDADES!$A$1:$D$17,4,FALSE),"")</f>
        <v>75</v>
      </c>
      <c r="I520" s="35">
        <f t="shared" si="8"/>
        <v>75</v>
      </c>
    </row>
    <row r="521" spans="1:9" x14ac:dyDescent="0.3">
      <c r="A521" s="60">
        <v>46172</v>
      </c>
      <c r="B521" s="1">
        <v>29</v>
      </c>
      <c r="C521" s="24" t="s">
        <v>102</v>
      </c>
      <c r="D521" s="58" t="s">
        <v>56</v>
      </c>
      <c r="E521" s="58" t="s">
        <v>60</v>
      </c>
      <c r="F521" s="33" t="str">
        <f>IFERROR(VLOOKUP(TRIM(E521),ACTIVIDADES!$A$1:$D$17,2,FALSE),"NO ENCONTRADO")</f>
        <v>MANEJO DE SOMBRA</v>
      </c>
      <c r="G521" s="63">
        <v>1</v>
      </c>
      <c r="H521" s="38">
        <f>IFERROR(VLOOKUP(TRIM(E521),ACTIVIDADES!$A$1:$D$17,4,FALSE),"")</f>
        <v>75</v>
      </c>
      <c r="I521" s="35">
        <f t="shared" si="8"/>
        <v>75</v>
      </c>
    </row>
    <row r="522" spans="1:9" x14ac:dyDescent="0.3">
      <c r="A522" s="60">
        <v>46172</v>
      </c>
      <c r="B522" s="1">
        <v>30</v>
      </c>
      <c r="C522" s="24" t="s">
        <v>35</v>
      </c>
      <c r="D522" s="58" t="s">
        <v>56</v>
      </c>
      <c r="E522" s="58" t="s">
        <v>60</v>
      </c>
      <c r="F522" s="33" t="str">
        <f>IFERROR(VLOOKUP(TRIM(E522),ACTIVIDADES!$A$1:$D$17,2,FALSE),"NO ENCONTRADO")</f>
        <v>MANEJO DE SOMBRA</v>
      </c>
      <c r="G522" s="63">
        <v>1</v>
      </c>
      <c r="H522" s="38">
        <f>IFERROR(VLOOKUP(TRIM(E522),ACTIVIDADES!$A$1:$D$17,4,FALSE),"")</f>
        <v>75</v>
      </c>
      <c r="I522" s="35">
        <f t="shared" si="8"/>
        <v>75</v>
      </c>
    </row>
    <row r="523" spans="1:9" x14ac:dyDescent="0.3">
      <c r="A523" s="60">
        <v>46172</v>
      </c>
      <c r="B523" s="1">
        <v>31</v>
      </c>
      <c r="C523" s="24" t="s">
        <v>9</v>
      </c>
      <c r="D523" s="58" t="s">
        <v>56</v>
      </c>
      <c r="E523" s="58" t="s">
        <v>60</v>
      </c>
      <c r="F523" s="33" t="str">
        <f>IFERROR(VLOOKUP(TRIM(E523),ACTIVIDADES!$A$1:$D$17,2,FALSE),"NO ENCONTRADO")</f>
        <v>MANEJO DE SOMBRA</v>
      </c>
      <c r="G523" s="63">
        <v>1</v>
      </c>
      <c r="H523" s="38">
        <f>IFERROR(VLOOKUP(TRIM(E523),ACTIVIDADES!$A$1:$D$17,4,FALSE),"")</f>
        <v>75</v>
      </c>
      <c r="I523" s="35">
        <f t="shared" si="8"/>
        <v>75</v>
      </c>
    </row>
    <row r="524" spans="1:9" x14ac:dyDescent="0.3">
      <c r="A524" s="60">
        <v>46172</v>
      </c>
      <c r="B524" s="1">
        <v>32</v>
      </c>
      <c r="C524" s="55" t="s">
        <v>37</v>
      </c>
      <c r="D524" s="58" t="s">
        <v>56</v>
      </c>
      <c r="E524" s="58" t="s">
        <v>60</v>
      </c>
      <c r="F524" s="33" t="str">
        <f>IFERROR(VLOOKUP(TRIM(E524),ACTIVIDADES!$A$1:$D$17,2,FALSE),"NO ENCONTRADO")</f>
        <v>MANEJO DE SOMBRA</v>
      </c>
      <c r="G524" s="63">
        <v>1</v>
      </c>
      <c r="H524" s="38">
        <f>IFERROR(VLOOKUP(TRIM(E524),ACTIVIDADES!$A$1:$D$17,4,FALSE),"")</f>
        <v>75</v>
      </c>
      <c r="I524" s="35">
        <f t="shared" si="8"/>
        <v>75</v>
      </c>
    </row>
    <row r="525" spans="1:9" x14ac:dyDescent="0.3">
      <c r="A525" s="60">
        <v>46172</v>
      </c>
      <c r="B525" s="1">
        <v>33</v>
      </c>
      <c r="C525" s="24" t="s">
        <v>7</v>
      </c>
      <c r="D525" s="58" t="s">
        <v>56</v>
      </c>
      <c r="E525" s="58" t="s">
        <v>60</v>
      </c>
      <c r="F525" s="33" t="str">
        <f>IFERROR(VLOOKUP(TRIM(E525),ACTIVIDADES!$A$1:$D$17,2,FALSE),"NO ENCONTRADO")</f>
        <v>MANEJO DE SOMBRA</v>
      </c>
      <c r="G525" s="63">
        <v>1</v>
      </c>
      <c r="H525" s="38">
        <f>IFERROR(VLOOKUP(TRIM(E525),ACTIVIDADES!$A$1:$D$17,4,FALSE),"")</f>
        <v>75</v>
      </c>
      <c r="I525" s="35">
        <f t="shared" si="8"/>
        <v>75</v>
      </c>
    </row>
    <row r="526" spans="1:9" x14ac:dyDescent="0.3">
      <c r="A526" s="60">
        <v>46172</v>
      </c>
      <c r="B526" s="1">
        <v>34</v>
      </c>
      <c r="C526" s="24" t="s">
        <v>107</v>
      </c>
      <c r="D526" s="58" t="s">
        <v>56</v>
      </c>
      <c r="E526" s="58" t="s">
        <v>60</v>
      </c>
      <c r="F526" s="33" t="str">
        <f>IFERROR(VLOOKUP(TRIM(E526),ACTIVIDADES!$A$1:$D$17,2,FALSE),"NO ENCONTRADO")</f>
        <v>MANEJO DE SOMBRA</v>
      </c>
      <c r="G526" s="63">
        <v>1</v>
      </c>
      <c r="H526" s="38">
        <f>IFERROR(VLOOKUP(TRIM(E526),ACTIVIDADES!$A$1:$D$17,4,FALSE),"")</f>
        <v>75</v>
      </c>
      <c r="I526" s="35">
        <f t="shared" si="8"/>
        <v>75</v>
      </c>
    </row>
    <row r="527" spans="1:9" x14ac:dyDescent="0.3">
      <c r="A527" s="60">
        <v>46172</v>
      </c>
      <c r="B527" s="1">
        <v>35</v>
      </c>
      <c r="C527" s="24" t="s">
        <v>108</v>
      </c>
      <c r="D527" s="58" t="s">
        <v>56</v>
      </c>
      <c r="E527" s="58" t="s">
        <v>60</v>
      </c>
      <c r="F527" s="33" t="str">
        <f>IFERROR(VLOOKUP(TRIM(E527),ACTIVIDADES!$A$1:$D$17,2,FALSE),"NO ENCONTRADO")</f>
        <v>MANEJO DE SOMBRA</v>
      </c>
      <c r="G527" s="63">
        <v>1</v>
      </c>
      <c r="H527" s="38">
        <f>IFERROR(VLOOKUP(TRIM(E527),ACTIVIDADES!$A$1:$D$17,4,FALSE),"")</f>
        <v>75</v>
      </c>
      <c r="I527" s="35">
        <f t="shared" si="8"/>
        <v>75</v>
      </c>
    </row>
    <row r="528" spans="1:9" x14ac:dyDescent="0.3">
      <c r="A528" s="60">
        <v>46172</v>
      </c>
      <c r="B528" s="1">
        <v>36</v>
      </c>
      <c r="C528" s="58" t="s">
        <v>109</v>
      </c>
      <c r="D528" s="58" t="s">
        <v>56</v>
      </c>
      <c r="E528" s="58" t="s">
        <v>60</v>
      </c>
      <c r="F528" s="33" t="str">
        <f>IFERROR(VLOOKUP(TRIM(E528),ACTIVIDADES!$A$1:$D$17,2,FALSE),"NO ENCONTRADO")</f>
        <v>MANEJO DE SOMBRA</v>
      </c>
      <c r="G528" s="63">
        <v>1</v>
      </c>
      <c r="H528" s="38">
        <f>IFERROR(VLOOKUP(TRIM(E528),ACTIVIDADES!$A$1:$D$17,4,FALSE),"")</f>
        <v>75</v>
      </c>
      <c r="I528" s="35">
        <f t="shared" si="8"/>
        <v>75</v>
      </c>
    </row>
    <row r="529" spans="1:9" x14ac:dyDescent="0.3">
      <c r="A529" s="60">
        <v>46172</v>
      </c>
      <c r="B529" s="1">
        <v>37</v>
      </c>
      <c r="C529" s="53" t="s">
        <v>42</v>
      </c>
      <c r="D529" s="58" t="s">
        <v>56</v>
      </c>
      <c r="E529" s="58" t="s">
        <v>60</v>
      </c>
      <c r="F529" s="33" t="str">
        <f>IFERROR(VLOOKUP(TRIM(E529),ACTIVIDADES!$A$1:$D$17,2,FALSE),"NO ENCONTRADO")</f>
        <v>MANEJO DE SOMBRA</v>
      </c>
      <c r="G529" s="63">
        <v>1</v>
      </c>
      <c r="H529" s="38">
        <f>IFERROR(VLOOKUP(TRIM(E529),ACTIVIDADES!$A$1:$D$17,4,FALSE),"")</f>
        <v>75</v>
      </c>
      <c r="I529" s="35">
        <f t="shared" si="8"/>
        <v>75</v>
      </c>
    </row>
    <row r="530" spans="1:9" x14ac:dyDescent="0.3">
      <c r="A530" s="60">
        <v>46172</v>
      </c>
      <c r="B530" s="1">
        <v>38</v>
      </c>
      <c r="C530" s="55" t="s">
        <v>43</v>
      </c>
      <c r="D530" s="58" t="s">
        <v>56</v>
      </c>
      <c r="E530" s="58" t="s">
        <v>60</v>
      </c>
      <c r="F530" s="33" t="str">
        <f>IFERROR(VLOOKUP(TRIM(E530),ACTIVIDADES!$A$1:$D$17,2,FALSE),"NO ENCONTRADO")</f>
        <v>MANEJO DE SOMBRA</v>
      </c>
      <c r="G530" s="63">
        <v>1</v>
      </c>
      <c r="H530" s="38">
        <f>IFERROR(VLOOKUP(TRIM(E530),ACTIVIDADES!$A$1:$D$17,4,FALSE),"")</f>
        <v>75</v>
      </c>
      <c r="I530" s="35">
        <f t="shared" si="8"/>
        <v>75</v>
      </c>
    </row>
    <row r="531" spans="1:9" x14ac:dyDescent="0.3">
      <c r="A531" s="60">
        <v>46172</v>
      </c>
      <c r="B531" s="1">
        <v>39</v>
      </c>
      <c r="C531" s="24" t="s">
        <v>44</v>
      </c>
      <c r="D531" s="58" t="s">
        <v>56</v>
      </c>
      <c r="E531" s="58" t="s">
        <v>60</v>
      </c>
      <c r="F531" s="33" t="str">
        <f>IFERROR(VLOOKUP(TRIM(E531),ACTIVIDADES!$A$1:$D$17,2,FALSE),"NO ENCONTRADO")</f>
        <v>MANEJO DE SOMBRA</v>
      </c>
      <c r="G531" s="63">
        <v>1</v>
      </c>
      <c r="H531" s="38">
        <f>IFERROR(VLOOKUP(TRIM(E531),ACTIVIDADES!$A$1:$D$17,4,FALSE),"")</f>
        <v>75</v>
      </c>
      <c r="I531" s="35">
        <f t="shared" si="8"/>
        <v>75</v>
      </c>
    </row>
    <row r="532" spans="1:9" x14ac:dyDescent="0.3">
      <c r="A532" s="60">
        <v>46172</v>
      </c>
      <c r="B532" s="55">
        <v>40</v>
      </c>
      <c r="C532" s="55" t="s">
        <v>156</v>
      </c>
      <c r="D532" s="58" t="s">
        <v>56</v>
      </c>
      <c r="E532" s="58" t="s">
        <v>60</v>
      </c>
      <c r="F532" s="33" t="str">
        <f>IFERROR(VLOOKUP(TRIM(E532),ACTIVIDADES!$A$1:$D$17,2,FALSE),"NO ENCONTRADO")</f>
        <v>MANEJO DE SOMBRA</v>
      </c>
      <c r="G532" s="63">
        <v>1</v>
      </c>
      <c r="H532" s="38">
        <f>IFERROR(VLOOKUP(TRIM(E532),ACTIVIDADES!$A$1:$D$17,4,FALSE),"")</f>
        <v>75</v>
      </c>
      <c r="I532" s="35">
        <f t="shared" si="8"/>
        <v>75</v>
      </c>
    </row>
    <row r="533" spans="1:9" x14ac:dyDescent="0.3">
      <c r="A533" s="59">
        <v>46174</v>
      </c>
      <c r="B533" s="1">
        <v>1</v>
      </c>
      <c r="C533" s="40" t="s">
        <v>6</v>
      </c>
      <c r="D533" s="1" t="s">
        <v>49</v>
      </c>
      <c r="E533" s="1" t="s">
        <v>49</v>
      </c>
      <c r="F533" s="33" t="str">
        <f>IFERROR(VLOOKUP(TRIM(E533),ACTIVIDADES!$A$1:$D$17,2,FALSE),"NO ENCONTRADO")</f>
        <v>CAPORAL</v>
      </c>
      <c r="G533" s="63">
        <v>1</v>
      </c>
      <c r="H533" s="38">
        <f>IFERROR(VLOOKUP(TRIM(E533),ACTIVIDADES!$A$1:$D$17,4,FALSE),"")</f>
        <v>100</v>
      </c>
      <c r="I533" s="35">
        <f t="shared" si="8"/>
        <v>100</v>
      </c>
    </row>
    <row r="534" spans="1:9" x14ac:dyDescent="0.3">
      <c r="A534" s="59">
        <v>46174</v>
      </c>
      <c r="B534" s="1">
        <v>2</v>
      </c>
      <c r="C534" s="29" t="s">
        <v>10</v>
      </c>
      <c r="D534" s="1" t="s">
        <v>49</v>
      </c>
      <c r="E534" s="1" t="s">
        <v>49</v>
      </c>
      <c r="F534" s="33" t="str">
        <f>IFERROR(VLOOKUP(TRIM(E534),ACTIVIDADES!$A$1:$D$17,2,FALSE),"NO ENCONTRADO")</f>
        <v>CAPORAL</v>
      </c>
      <c r="G534" s="63">
        <v>1</v>
      </c>
      <c r="H534" s="38">
        <f>IFERROR(VLOOKUP(TRIM(E534),ACTIVIDADES!$A$1:$D$17,4,FALSE),"")</f>
        <v>100</v>
      </c>
      <c r="I534" s="35">
        <f t="shared" si="8"/>
        <v>100</v>
      </c>
    </row>
    <row r="535" spans="1:9" x14ac:dyDescent="0.3">
      <c r="A535" s="59">
        <v>46174</v>
      </c>
      <c r="B535" s="1">
        <v>3</v>
      </c>
      <c r="C535" s="29" t="s">
        <v>22</v>
      </c>
      <c r="D535" s="53" t="s">
        <v>49</v>
      </c>
      <c r="E535" s="53" t="s">
        <v>49</v>
      </c>
      <c r="F535" s="33" t="str">
        <f>IFERROR(VLOOKUP(TRIM(E535),ACTIVIDADES!$A$1:$D$17,2,FALSE),"NO ENCONTRADO")</f>
        <v>CAPORAL</v>
      </c>
      <c r="G535" s="63">
        <v>1</v>
      </c>
      <c r="H535" s="38">
        <f>IFERROR(VLOOKUP(TRIM(E535),ACTIVIDADES!$A$1:$D$17,4,FALSE),"")</f>
        <v>100</v>
      </c>
      <c r="I535" s="35">
        <f t="shared" si="8"/>
        <v>100</v>
      </c>
    </row>
    <row r="536" spans="1:9" x14ac:dyDescent="0.3">
      <c r="A536" s="59">
        <v>46174</v>
      </c>
      <c r="B536" s="1">
        <v>4</v>
      </c>
      <c r="C536" s="40" t="s">
        <v>36</v>
      </c>
      <c r="D536" s="53" t="s">
        <v>150</v>
      </c>
      <c r="E536" s="47" t="s">
        <v>149</v>
      </c>
      <c r="F536" s="33" t="str">
        <f>IFERROR(VLOOKUP(TRIM(E536),ACTIVIDADES!$A$1:$D$17,2,FALSE),"NO ENCONTRADO")</f>
        <v>HACIENDA</v>
      </c>
      <c r="G536" s="63">
        <v>1</v>
      </c>
      <c r="H536" s="38">
        <f>IFERROR(VLOOKUP(TRIM(E536),ACTIVIDADES!$A$1:$D$17,4,FALSE),"")</f>
        <v>65</v>
      </c>
      <c r="I536" s="35">
        <f t="shared" si="8"/>
        <v>65</v>
      </c>
    </row>
    <row r="537" spans="1:9" x14ac:dyDescent="0.3">
      <c r="A537" s="59">
        <v>46174</v>
      </c>
      <c r="B537" s="1">
        <v>5</v>
      </c>
      <c r="C537" s="29" t="s">
        <v>38</v>
      </c>
      <c r="D537" s="47" t="s">
        <v>150</v>
      </c>
      <c r="E537" s="47" t="s">
        <v>149</v>
      </c>
      <c r="F537" s="33" t="str">
        <f>IFERROR(VLOOKUP(TRIM(E537),ACTIVIDADES!$A$1:$D$17,2,FALSE),"NO ENCONTRADO")</f>
        <v>HACIENDA</v>
      </c>
      <c r="G537" s="63">
        <v>1</v>
      </c>
      <c r="H537" s="38">
        <f>IFERROR(VLOOKUP(TRIM(E537),ACTIVIDADES!$A$1:$D$17,4,FALSE),"")</f>
        <v>65</v>
      </c>
      <c r="I537" s="35">
        <f t="shared" si="8"/>
        <v>65</v>
      </c>
    </row>
    <row r="538" spans="1:9" x14ac:dyDescent="0.3">
      <c r="A538" s="59">
        <v>46174</v>
      </c>
      <c r="B538" s="1">
        <v>6</v>
      </c>
      <c r="C538" s="24" t="s">
        <v>11</v>
      </c>
      <c r="D538" s="58" t="s">
        <v>63</v>
      </c>
      <c r="E538" s="58" t="s">
        <v>59</v>
      </c>
      <c r="F538" s="33" t="str">
        <f>IFERROR(VLOOKUP(TRIM(E538),ACTIVIDADES!$A$1:$D$17,2,FALSE),"NO ENCONTRADO")</f>
        <v>LIMPIA LOTE</v>
      </c>
      <c r="G538" s="63">
        <v>1</v>
      </c>
      <c r="H538" s="38">
        <f>IFERROR(VLOOKUP(TRIM(E538),ACTIVIDADES!$A$1:$D$17,4,FALSE),"")</f>
        <v>75</v>
      </c>
      <c r="I538" s="35">
        <f t="shared" si="8"/>
        <v>75</v>
      </c>
    </row>
    <row r="539" spans="1:9" x14ac:dyDescent="0.3">
      <c r="A539" s="59">
        <v>46174</v>
      </c>
      <c r="B539" s="1">
        <v>7</v>
      </c>
      <c r="C539" s="54" t="s">
        <v>12</v>
      </c>
      <c r="D539" s="58" t="s">
        <v>46</v>
      </c>
      <c r="E539" s="58" t="s">
        <v>75</v>
      </c>
      <c r="F539" s="33" t="str">
        <f>IFERROR(VLOOKUP(TRIM(E539),ACTIVIDADES!$A$1:$D$17,2,FALSE),"NO ENCONTRADO")</f>
        <v>TRAZADO PARA SIEMBRA</v>
      </c>
      <c r="G539" s="63">
        <v>1</v>
      </c>
      <c r="H539" s="38">
        <f>IFERROR(VLOOKUP(TRIM(E539),ACTIVIDADES!$A$1:$D$17,4,FALSE),"")</f>
        <v>75</v>
      </c>
      <c r="I539" s="35">
        <f t="shared" si="8"/>
        <v>75</v>
      </c>
    </row>
    <row r="540" spans="1:9" x14ac:dyDescent="0.3">
      <c r="A540" s="59">
        <v>46174</v>
      </c>
      <c r="B540" s="1">
        <v>8</v>
      </c>
      <c r="C540" s="24" t="s">
        <v>84</v>
      </c>
      <c r="D540" s="58" t="s">
        <v>63</v>
      </c>
      <c r="E540" s="58" t="s">
        <v>59</v>
      </c>
      <c r="F540" s="33" t="str">
        <f>IFERROR(VLOOKUP(TRIM(E540),ACTIVIDADES!$A$1:$D$17,2,FALSE),"NO ENCONTRADO")</f>
        <v>LIMPIA LOTE</v>
      </c>
      <c r="G540" s="63">
        <v>1</v>
      </c>
      <c r="H540" s="38">
        <f>IFERROR(VLOOKUP(TRIM(E540),ACTIVIDADES!$A$1:$D$17,4,FALSE),"")</f>
        <v>75</v>
      </c>
      <c r="I540" s="35">
        <f t="shared" si="8"/>
        <v>75</v>
      </c>
    </row>
    <row r="541" spans="1:9" x14ac:dyDescent="0.3">
      <c r="A541" s="59">
        <v>46174</v>
      </c>
      <c r="B541" s="1">
        <v>9</v>
      </c>
      <c r="C541" s="55" t="s">
        <v>82</v>
      </c>
      <c r="D541" s="58" t="s">
        <v>63</v>
      </c>
      <c r="E541" s="58" t="s">
        <v>59</v>
      </c>
      <c r="F541" s="33" t="str">
        <f>IFERROR(VLOOKUP(TRIM(E541),ACTIVIDADES!$A$1:$D$17,2,FALSE),"NO ENCONTRADO")</f>
        <v>LIMPIA LOTE</v>
      </c>
      <c r="G541" s="63">
        <v>1</v>
      </c>
      <c r="H541" s="38">
        <f>IFERROR(VLOOKUP(TRIM(E541),ACTIVIDADES!$A$1:$D$17,4,FALSE),"")</f>
        <v>75</v>
      </c>
      <c r="I541" s="35">
        <f t="shared" si="8"/>
        <v>75</v>
      </c>
    </row>
    <row r="542" spans="1:9" x14ac:dyDescent="0.3">
      <c r="A542" s="59">
        <v>46174</v>
      </c>
      <c r="B542" s="1">
        <v>10</v>
      </c>
      <c r="C542" s="40" t="s">
        <v>14</v>
      </c>
      <c r="D542" s="58" t="s">
        <v>63</v>
      </c>
      <c r="E542" s="58" t="s">
        <v>59</v>
      </c>
      <c r="F542" s="33" t="str">
        <f>IFERROR(VLOOKUP(TRIM(E542),ACTIVIDADES!$A$1:$D$17,2,FALSE),"NO ENCONTRADO")</f>
        <v>LIMPIA LOTE</v>
      </c>
      <c r="G542" s="63">
        <v>1</v>
      </c>
      <c r="H542" s="38">
        <f>IFERROR(VLOOKUP(TRIM(E542),ACTIVIDADES!$A$1:$D$17,4,FALSE),"")</f>
        <v>75</v>
      </c>
      <c r="I542" s="35">
        <f t="shared" si="8"/>
        <v>75</v>
      </c>
    </row>
    <row r="543" spans="1:9" x14ac:dyDescent="0.3">
      <c r="A543" s="59">
        <v>46174</v>
      </c>
      <c r="B543" s="1">
        <v>11</v>
      </c>
      <c r="C543" s="24" t="s">
        <v>85</v>
      </c>
      <c r="D543" s="58" t="s">
        <v>63</v>
      </c>
      <c r="E543" s="58" t="s">
        <v>59</v>
      </c>
      <c r="F543" s="33" t="str">
        <f>IFERROR(VLOOKUP(TRIM(E543),ACTIVIDADES!$A$1:$D$17,2,FALSE),"NO ENCONTRADO")</f>
        <v>LIMPIA LOTE</v>
      </c>
      <c r="G543" s="63">
        <v>1</v>
      </c>
      <c r="H543" s="38">
        <f>IFERROR(VLOOKUP(TRIM(E543),ACTIVIDADES!$A$1:$D$17,4,FALSE),"")</f>
        <v>75</v>
      </c>
      <c r="I543" s="35">
        <f t="shared" si="8"/>
        <v>75</v>
      </c>
    </row>
    <row r="544" spans="1:9" x14ac:dyDescent="0.3">
      <c r="A544" s="59">
        <v>46174</v>
      </c>
      <c r="B544" s="1">
        <v>12</v>
      </c>
      <c r="C544" s="24" t="s">
        <v>17</v>
      </c>
      <c r="D544" s="58" t="s">
        <v>63</v>
      </c>
      <c r="E544" s="58" t="s">
        <v>59</v>
      </c>
      <c r="F544" s="33" t="str">
        <f>IFERROR(VLOOKUP(TRIM(E544),ACTIVIDADES!$A$1:$D$17,2,FALSE),"NO ENCONTRADO")</f>
        <v>LIMPIA LOTE</v>
      </c>
      <c r="G544" s="63">
        <v>1</v>
      </c>
      <c r="H544" s="38">
        <f>IFERROR(VLOOKUP(TRIM(E544),ACTIVIDADES!$A$1:$D$17,4,FALSE),"")</f>
        <v>75</v>
      </c>
      <c r="I544" s="35">
        <f t="shared" si="8"/>
        <v>75</v>
      </c>
    </row>
    <row r="545" spans="1:9" x14ac:dyDescent="0.3">
      <c r="A545" s="59">
        <v>46174</v>
      </c>
      <c r="B545" s="1">
        <v>13</v>
      </c>
      <c r="C545" s="24" t="s">
        <v>18</v>
      </c>
      <c r="D545" s="58" t="s">
        <v>46</v>
      </c>
      <c r="E545" s="58" t="s">
        <v>75</v>
      </c>
      <c r="F545" s="33" t="str">
        <f>IFERROR(VLOOKUP(TRIM(E545),ACTIVIDADES!$A$1:$D$17,2,FALSE),"NO ENCONTRADO")</f>
        <v>TRAZADO PARA SIEMBRA</v>
      </c>
      <c r="G545" s="63">
        <v>1</v>
      </c>
      <c r="H545" s="38">
        <f>IFERROR(VLOOKUP(TRIM(E545),ACTIVIDADES!$A$1:$D$17,4,FALSE),"")</f>
        <v>75</v>
      </c>
      <c r="I545" s="35">
        <f t="shared" si="8"/>
        <v>75</v>
      </c>
    </row>
    <row r="546" spans="1:9" x14ac:dyDescent="0.3">
      <c r="A546" s="59">
        <v>46174</v>
      </c>
      <c r="B546" s="1">
        <v>14</v>
      </c>
      <c r="C546" s="24" t="s">
        <v>88</v>
      </c>
      <c r="D546" s="58" t="s">
        <v>63</v>
      </c>
      <c r="E546" s="58" t="s">
        <v>59</v>
      </c>
      <c r="F546" s="33" t="str">
        <f>IFERROR(VLOOKUP(TRIM(E546),ACTIVIDADES!$A$1:$D$17,2,FALSE),"NO ENCONTRADO")</f>
        <v>LIMPIA LOTE</v>
      </c>
      <c r="G546" s="63">
        <v>1</v>
      </c>
      <c r="H546" s="38">
        <f>IFERROR(VLOOKUP(TRIM(E546),ACTIVIDADES!$A$1:$D$17,4,FALSE),"")</f>
        <v>75</v>
      </c>
      <c r="I546" s="35">
        <f t="shared" si="8"/>
        <v>75</v>
      </c>
    </row>
    <row r="547" spans="1:9" x14ac:dyDescent="0.3">
      <c r="A547" s="59">
        <v>46174</v>
      </c>
      <c r="B547" s="1">
        <v>15</v>
      </c>
      <c r="C547" s="40" t="s">
        <v>20</v>
      </c>
      <c r="D547" s="58" t="s">
        <v>55</v>
      </c>
      <c r="E547" s="58" t="s">
        <v>65</v>
      </c>
      <c r="F547" s="33" t="str">
        <f>IFERROR(VLOOKUP(TRIM(E547),ACTIVIDADES!$A$1:$D$17,2,FALSE),"NO ENCONTRADO")</f>
        <v>CARBON</v>
      </c>
      <c r="G547" s="63">
        <v>1</v>
      </c>
      <c r="H547" s="38">
        <f>IFERROR(VLOOKUP(TRIM(E547),ACTIVIDADES!$A$1:$D$17,4,FALSE),"")</f>
        <v>75</v>
      </c>
      <c r="I547" s="35">
        <f t="shared" si="8"/>
        <v>75</v>
      </c>
    </row>
    <row r="548" spans="1:9" x14ac:dyDescent="0.3">
      <c r="A548" s="59">
        <v>46174</v>
      </c>
      <c r="B548" s="1">
        <v>16</v>
      </c>
      <c r="C548" s="24" t="s">
        <v>90</v>
      </c>
      <c r="D548" s="58" t="s">
        <v>63</v>
      </c>
      <c r="E548" s="58" t="s">
        <v>59</v>
      </c>
      <c r="F548" s="33" t="str">
        <f>IFERROR(VLOOKUP(TRIM(E548),ACTIVIDADES!$A$1:$D$17,2,FALSE),"NO ENCONTRADO")</f>
        <v>LIMPIA LOTE</v>
      </c>
      <c r="G548" s="63">
        <v>1</v>
      </c>
      <c r="H548" s="38">
        <f>IFERROR(VLOOKUP(TRIM(E548),ACTIVIDADES!$A$1:$D$17,4,FALSE),"")</f>
        <v>75</v>
      </c>
      <c r="I548" s="35">
        <f t="shared" si="8"/>
        <v>75</v>
      </c>
    </row>
    <row r="549" spans="1:9" x14ac:dyDescent="0.3">
      <c r="A549" s="59">
        <v>46174</v>
      </c>
      <c r="B549" s="1">
        <v>17</v>
      </c>
      <c r="C549" s="24" t="s">
        <v>91</v>
      </c>
      <c r="D549" s="58" t="s">
        <v>63</v>
      </c>
      <c r="E549" s="58" t="s">
        <v>59</v>
      </c>
      <c r="F549" s="33" t="str">
        <f>IFERROR(VLOOKUP(TRIM(E549),ACTIVIDADES!$A$1:$D$17,2,FALSE),"NO ENCONTRADO")</f>
        <v>LIMPIA LOTE</v>
      </c>
      <c r="G549" s="63">
        <v>1</v>
      </c>
      <c r="H549" s="38">
        <f>IFERROR(VLOOKUP(TRIM(E549),ACTIVIDADES!$A$1:$D$17,4,FALSE),"")</f>
        <v>75</v>
      </c>
      <c r="I549" s="35">
        <f t="shared" si="8"/>
        <v>75</v>
      </c>
    </row>
    <row r="550" spans="1:9" x14ac:dyDescent="0.3">
      <c r="A550" s="59">
        <v>46174</v>
      </c>
      <c r="B550" s="1">
        <v>18</v>
      </c>
      <c r="C550" s="30" t="s">
        <v>23</v>
      </c>
      <c r="D550" s="58" t="s">
        <v>63</v>
      </c>
      <c r="E550" s="58" t="s">
        <v>59</v>
      </c>
      <c r="F550" s="33" t="str">
        <f>IFERROR(VLOOKUP(TRIM(E550),ACTIVIDADES!$A$1:$D$17,2,FALSE),"NO ENCONTRADO")</f>
        <v>LIMPIA LOTE</v>
      </c>
      <c r="G550" s="63">
        <v>1</v>
      </c>
      <c r="H550" s="38">
        <f>IFERROR(VLOOKUP(TRIM(E550),ACTIVIDADES!$A$1:$D$17,4,FALSE),"")</f>
        <v>75</v>
      </c>
      <c r="I550" s="35">
        <f t="shared" si="8"/>
        <v>75</v>
      </c>
    </row>
    <row r="551" spans="1:9" x14ac:dyDescent="0.3">
      <c r="A551" s="59">
        <v>46174</v>
      </c>
      <c r="B551" s="1">
        <v>19</v>
      </c>
      <c r="C551" s="53" t="s">
        <v>92</v>
      </c>
      <c r="D551" s="58" t="s">
        <v>55</v>
      </c>
      <c r="E551" s="58" t="s">
        <v>65</v>
      </c>
      <c r="F551" s="33" t="str">
        <f>IFERROR(VLOOKUP(TRIM(E551),ACTIVIDADES!$A$1:$D$17,2,FALSE),"NO ENCONTRADO")</f>
        <v>CARBON</v>
      </c>
      <c r="G551" s="63">
        <v>1</v>
      </c>
      <c r="H551" s="38">
        <f>IFERROR(VLOOKUP(TRIM(E551),ACTIVIDADES!$A$1:$D$17,4,FALSE),"")</f>
        <v>75</v>
      </c>
      <c r="I551" s="35">
        <f t="shared" si="8"/>
        <v>75</v>
      </c>
    </row>
    <row r="552" spans="1:9" x14ac:dyDescent="0.3">
      <c r="A552" s="59">
        <v>46174</v>
      </c>
      <c r="B552" s="1">
        <v>20</v>
      </c>
      <c r="C552" s="24" t="s">
        <v>25</v>
      </c>
      <c r="D552" s="58" t="s">
        <v>46</v>
      </c>
      <c r="E552" s="58" t="s">
        <v>75</v>
      </c>
      <c r="F552" s="33" t="str">
        <f>IFERROR(VLOOKUP(TRIM(E552),ACTIVIDADES!$A$1:$D$17,2,FALSE),"NO ENCONTRADO")</f>
        <v>TRAZADO PARA SIEMBRA</v>
      </c>
      <c r="G552" s="63">
        <v>1</v>
      </c>
      <c r="H552" s="38">
        <f>IFERROR(VLOOKUP(TRIM(E552),ACTIVIDADES!$A$1:$D$17,4,FALSE),"")</f>
        <v>75</v>
      </c>
      <c r="I552" s="35">
        <f t="shared" si="8"/>
        <v>75</v>
      </c>
    </row>
    <row r="553" spans="1:9" x14ac:dyDescent="0.3">
      <c r="A553" s="59">
        <v>46174</v>
      </c>
      <c r="B553" s="1">
        <v>21</v>
      </c>
      <c r="C553" s="29" t="s">
        <v>26</v>
      </c>
      <c r="D553" s="58" t="s">
        <v>63</v>
      </c>
      <c r="E553" s="58" t="s">
        <v>59</v>
      </c>
      <c r="F553" s="33" t="str">
        <f>IFERROR(VLOOKUP(TRIM(E553),ACTIVIDADES!$A$1:$D$17,2,FALSE),"NO ENCONTRADO")</f>
        <v>LIMPIA LOTE</v>
      </c>
      <c r="G553" s="63">
        <v>1</v>
      </c>
      <c r="H553" s="38">
        <f>IFERROR(VLOOKUP(TRIM(E553),ACTIVIDADES!$A$1:$D$17,4,FALSE),"")</f>
        <v>75</v>
      </c>
      <c r="I553" s="35">
        <f t="shared" si="8"/>
        <v>75</v>
      </c>
    </row>
    <row r="554" spans="1:9" x14ac:dyDescent="0.3">
      <c r="A554" s="59">
        <v>46174</v>
      </c>
      <c r="B554" s="1">
        <v>22</v>
      </c>
      <c r="C554" s="24" t="s">
        <v>27</v>
      </c>
      <c r="D554" s="58" t="s">
        <v>63</v>
      </c>
      <c r="E554" s="58" t="s">
        <v>59</v>
      </c>
      <c r="F554" s="33" t="str">
        <f>IFERROR(VLOOKUP(TRIM(E554),ACTIVIDADES!$A$1:$D$17,2,FALSE),"NO ENCONTRADO")</f>
        <v>LIMPIA LOTE</v>
      </c>
      <c r="G554" s="63">
        <v>1</v>
      </c>
      <c r="H554" s="38">
        <f>IFERROR(VLOOKUP(TRIM(E554),ACTIVIDADES!$A$1:$D$17,4,FALSE),"")</f>
        <v>75</v>
      </c>
      <c r="I554" s="35">
        <f t="shared" si="8"/>
        <v>75</v>
      </c>
    </row>
    <row r="555" spans="1:9" x14ac:dyDescent="0.3">
      <c r="A555" s="59">
        <v>46174</v>
      </c>
      <c r="B555" s="1">
        <v>23</v>
      </c>
      <c r="C555" s="24" t="s">
        <v>96</v>
      </c>
      <c r="D555" s="58" t="s">
        <v>63</v>
      </c>
      <c r="E555" s="58" t="s">
        <v>59</v>
      </c>
      <c r="F555" s="33" t="str">
        <f>IFERROR(VLOOKUP(TRIM(E555),ACTIVIDADES!$A$1:$D$17,2,FALSE),"NO ENCONTRADO")</f>
        <v>LIMPIA LOTE</v>
      </c>
      <c r="G555" s="63">
        <v>1</v>
      </c>
      <c r="H555" s="38">
        <f>IFERROR(VLOOKUP(TRIM(E555),ACTIVIDADES!$A$1:$D$17,4,FALSE),"")</f>
        <v>75</v>
      </c>
      <c r="I555" s="35">
        <f t="shared" si="8"/>
        <v>75</v>
      </c>
    </row>
    <row r="556" spans="1:9" x14ac:dyDescent="0.3">
      <c r="A556" s="59">
        <v>46174</v>
      </c>
      <c r="B556" s="1">
        <v>24</v>
      </c>
      <c r="C556" s="24" t="s">
        <v>29</v>
      </c>
      <c r="D556" s="58" t="s">
        <v>63</v>
      </c>
      <c r="E556" s="58" t="s">
        <v>59</v>
      </c>
      <c r="F556" s="33" t="str">
        <f>IFERROR(VLOOKUP(TRIM(E556),ACTIVIDADES!$A$1:$D$17,2,FALSE),"NO ENCONTRADO")</f>
        <v>LIMPIA LOTE</v>
      </c>
      <c r="G556" s="63">
        <v>1</v>
      </c>
      <c r="H556" s="38">
        <f>IFERROR(VLOOKUP(TRIM(E556),ACTIVIDADES!$A$1:$D$17,4,FALSE),"")</f>
        <v>75</v>
      </c>
      <c r="I556" s="35">
        <f t="shared" si="8"/>
        <v>75</v>
      </c>
    </row>
    <row r="557" spans="1:9" x14ac:dyDescent="0.3">
      <c r="A557" s="59">
        <v>46174</v>
      </c>
      <c r="B557" s="1">
        <v>25</v>
      </c>
      <c r="C557" s="24" t="s">
        <v>30</v>
      </c>
      <c r="D557" s="58" t="s">
        <v>63</v>
      </c>
      <c r="E557" s="58" t="s">
        <v>59</v>
      </c>
      <c r="F557" s="33" t="str">
        <f>IFERROR(VLOOKUP(TRIM(E557),ACTIVIDADES!$A$1:$D$17,2,FALSE),"NO ENCONTRADO")</f>
        <v>LIMPIA LOTE</v>
      </c>
      <c r="G557" s="63">
        <v>1</v>
      </c>
      <c r="H557" s="38">
        <f>IFERROR(VLOOKUP(TRIM(E557),ACTIVIDADES!$A$1:$D$17,4,FALSE),"")</f>
        <v>75</v>
      </c>
      <c r="I557" s="35">
        <f t="shared" si="8"/>
        <v>75</v>
      </c>
    </row>
    <row r="558" spans="1:9" x14ac:dyDescent="0.3">
      <c r="A558" s="59">
        <v>46174</v>
      </c>
      <c r="B558" s="1">
        <v>26</v>
      </c>
      <c r="C558" s="24" t="s">
        <v>99</v>
      </c>
      <c r="D558" s="58" t="s">
        <v>63</v>
      </c>
      <c r="E558" s="58" t="s">
        <v>59</v>
      </c>
      <c r="F558" s="33" t="str">
        <f>IFERROR(VLOOKUP(TRIM(E558),ACTIVIDADES!$A$1:$D$17,2,FALSE),"NO ENCONTRADO")</f>
        <v>LIMPIA LOTE</v>
      </c>
      <c r="G558" s="63">
        <v>1</v>
      </c>
      <c r="H558" s="38">
        <f>IFERROR(VLOOKUP(TRIM(E558),ACTIVIDADES!$A$1:$D$17,4,FALSE),"")</f>
        <v>75</v>
      </c>
      <c r="I558" s="35">
        <f t="shared" si="8"/>
        <v>75</v>
      </c>
    </row>
    <row r="559" spans="1:9" x14ac:dyDescent="0.3">
      <c r="A559" s="59">
        <v>46174</v>
      </c>
      <c r="B559" s="1">
        <v>28</v>
      </c>
      <c r="C559" s="24" t="s">
        <v>33</v>
      </c>
      <c r="D559" s="58" t="s">
        <v>63</v>
      </c>
      <c r="E559" s="58" t="s">
        <v>59</v>
      </c>
      <c r="F559" s="33" t="str">
        <f>IFERROR(VLOOKUP(TRIM(E559),ACTIVIDADES!$A$1:$D$17,2,FALSE),"NO ENCONTRADO")</f>
        <v>LIMPIA LOTE</v>
      </c>
      <c r="G559" s="63">
        <v>1</v>
      </c>
      <c r="H559" s="38">
        <f>IFERROR(VLOOKUP(TRIM(E559),ACTIVIDADES!$A$1:$D$17,4,FALSE),"")</f>
        <v>75</v>
      </c>
      <c r="I559" s="35">
        <f t="shared" si="8"/>
        <v>75</v>
      </c>
    </row>
    <row r="560" spans="1:9" x14ac:dyDescent="0.3">
      <c r="A560" s="59">
        <v>46174</v>
      </c>
      <c r="B560" s="1">
        <v>29</v>
      </c>
      <c r="C560" s="24" t="s">
        <v>102</v>
      </c>
      <c r="D560" s="58" t="s">
        <v>63</v>
      </c>
      <c r="E560" s="58" t="s">
        <v>59</v>
      </c>
      <c r="F560" s="33" t="str">
        <f>IFERROR(VLOOKUP(TRIM(E560),ACTIVIDADES!$A$1:$D$17,2,FALSE),"NO ENCONTRADO")</f>
        <v>LIMPIA LOTE</v>
      </c>
      <c r="G560" s="63">
        <v>1</v>
      </c>
      <c r="H560" s="38">
        <f>IFERROR(VLOOKUP(TRIM(E560),ACTIVIDADES!$A$1:$D$17,4,FALSE),"")</f>
        <v>75</v>
      </c>
      <c r="I560" s="35">
        <f t="shared" si="8"/>
        <v>75</v>
      </c>
    </row>
    <row r="561" spans="1:9" x14ac:dyDescent="0.3">
      <c r="A561" s="59">
        <v>46174</v>
      </c>
      <c r="B561" s="1">
        <v>30</v>
      </c>
      <c r="C561" s="24" t="s">
        <v>35</v>
      </c>
      <c r="D561" s="58" t="s">
        <v>46</v>
      </c>
      <c r="E561" s="58" t="s">
        <v>75</v>
      </c>
      <c r="F561" s="33" t="str">
        <f>IFERROR(VLOOKUP(TRIM(E561),ACTIVIDADES!$A$1:$D$17,2,FALSE),"NO ENCONTRADO")</f>
        <v>TRAZADO PARA SIEMBRA</v>
      </c>
      <c r="G561" s="63">
        <v>1</v>
      </c>
      <c r="H561" s="38">
        <f>IFERROR(VLOOKUP(TRIM(E561),ACTIVIDADES!$A$1:$D$17,4,FALSE),"")</f>
        <v>75</v>
      </c>
      <c r="I561" s="35">
        <f t="shared" si="8"/>
        <v>75</v>
      </c>
    </row>
    <row r="562" spans="1:9" x14ac:dyDescent="0.3">
      <c r="A562" s="59">
        <v>46174</v>
      </c>
      <c r="B562" s="1">
        <v>31</v>
      </c>
      <c r="C562" s="24" t="s">
        <v>9</v>
      </c>
      <c r="D562" s="58" t="s">
        <v>63</v>
      </c>
      <c r="E562" s="58" t="s">
        <v>59</v>
      </c>
      <c r="F562" s="33" t="str">
        <f>IFERROR(VLOOKUP(TRIM(E562),ACTIVIDADES!$A$1:$D$17,2,FALSE),"NO ENCONTRADO")</f>
        <v>LIMPIA LOTE</v>
      </c>
      <c r="G562" s="63">
        <v>1</v>
      </c>
      <c r="H562" s="38">
        <f>IFERROR(VLOOKUP(TRIM(E562),ACTIVIDADES!$A$1:$D$17,4,FALSE),"")</f>
        <v>75</v>
      </c>
      <c r="I562" s="35">
        <f t="shared" si="8"/>
        <v>75</v>
      </c>
    </row>
    <row r="563" spans="1:9" x14ac:dyDescent="0.3">
      <c r="A563" s="59">
        <v>46174</v>
      </c>
      <c r="B563" s="1">
        <v>32</v>
      </c>
      <c r="C563" s="55" t="s">
        <v>37</v>
      </c>
      <c r="D563" s="58" t="s">
        <v>63</v>
      </c>
      <c r="E563" s="58" t="s">
        <v>59</v>
      </c>
      <c r="F563" s="33" t="str">
        <f>IFERROR(VLOOKUP(TRIM(E563),ACTIVIDADES!$A$1:$D$17,2,FALSE),"NO ENCONTRADO")</f>
        <v>LIMPIA LOTE</v>
      </c>
      <c r="G563" s="63">
        <v>1</v>
      </c>
      <c r="H563" s="38">
        <f>IFERROR(VLOOKUP(TRIM(E563),ACTIVIDADES!$A$1:$D$17,4,FALSE),"")</f>
        <v>75</v>
      </c>
      <c r="I563" s="35">
        <f t="shared" si="8"/>
        <v>75</v>
      </c>
    </row>
    <row r="564" spans="1:9" x14ac:dyDescent="0.3">
      <c r="A564" s="59">
        <v>46174</v>
      </c>
      <c r="B564" s="1">
        <v>33</v>
      </c>
      <c r="C564" s="24" t="s">
        <v>7</v>
      </c>
      <c r="D564" s="58" t="s">
        <v>63</v>
      </c>
      <c r="E564" s="58" t="s">
        <v>59</v>
      </c>
      <c r="F564" s="33" t="str">
        <f>IFERROR(VLOOKUP(TRIM(E564),ACTIVIDADES!$A$1:$D$17,2,FALSE),"NO ENCONTRADO")</f>
        <v>LIMPIA LOTE</v>
      </c>
      <c r="G564" s="63">
        <v>1</v>
      </c>
      <c r="H564" s="38">
        <f>IFERROR(VLOOKUP(TRIM(E564),ACTIVIDADES!$A$1:$D$17,4,FALSE),"")</f>
        <v>75</v>
      </c>
      <c r="I564" s="35">
        <f t="shared" si="8"/>
        <v>75</v>
      </c>
    </row>
    <row r="565" spans="1:9" x14ac:dyDescent="0.3">
      <c r="A565" s="59">
        <v>46174</v>
      </c>
      <c r="B565" s="1">
        <v>34</v>
      </c>
      <c r="C565" s="24" t="s">
        <v>107</v>
      </c>
      <c r="D565" s="58" t="s">
        <v>63</v>
      </c>
      <c r="E565" s="58" t="s">
        <v>59</v>
      </c>
      <c r="F565" s="33" t="str">
        <f>IFERROR(VLOOKUP(TRIM(E565),ACTIVIDADES!$A$1:$D$17,2,FALSE),"NO ENCONTRADO")</f>
        <v>LIMPIA LOTE</v>
      </c>
      <c r="G565" s="63">
        <v>1</v>
      </c>
      <c r="H565" s="38">
        <f>IFERROR(VLOOKUP(TRIM(E565),ACTIVIDADES!$A$1:$D$17,4,FALSE),"")</f>
        <v>75</v>
      </c>
      <c r="I565" s="35">
        <f t="shared" si="8"/>
        <v>75</v>
      </c>
    </row>
    <row r="566" spans="1:9" x14ac:dyDescent="0.3">
      <c r="A566" s="59">
        <v>46174</v>
      </c>
      <c r="B566" s="1">
        <v>35</v>
      </c>
      <c r="C566" s="24" t="s">
        <v>108</v>
      </c>
      <c r="D566" s="58" t="s">
        <v>63</v>
      </c>
      <c r="E566" s="58" t="s">
        <v>59</v>
      </c>
      <c r="F566" s="33" t="str">
        <f>IFERROR(VLOOKUP(TRIM(E566),ACTIVIDADES!$A$1:$D$17,2,FALSE),"NO ENCONTRADO")</f>
        <v>LIMPIA LOTE</v>
      </c>
      <c r="G566" s="63">
        <v>1</v>
      </c>
      <c r="H566" s="38">
        <f>IFERROR(VLOOKUP(TRIM(E566),ACTIVIDADES!$A$1:$D$17,4,FALSE),"")</f>
        <v>75</v>
      </c>
      <c r="I566" s="35">
        <f t="shared" si="8"/>
        <v>75</v>
      </c>
    </row>
    <row r="567" spans="1:9" x14ac:dyDescent="0.3">
      <c r="A567" s="59">
        <v>46174</v>
      </c>
      <c r="B567" s="1">
        <v>36</v>
      </c>
      <c r="C567" s="58" t="s">
        <v>109</v>
      </c>
      <c r="D567" s="58" t="s">
        <v>63</v>
      </c>
      <c r="E567" s="58" t="s">
        <v>59</v>
      </c>
      <c r="F567" s="33" t="str">
        <f>IFERROR(VLOOKUP(TRIM(E567),ACTIVIDADES!$A$1:$D$17,2,FALSE),"NO ENCONTRADO")</f>
        <v>LIMPIA LOTE</v>
      </c>
      <c r="G567" s="63">
        <v>1</v>
      </c>
      <c r="H567" s="38">
        <f>IFERROR(VLOOKUP(TRIM(E567),ACTIVIDADES!$A$1:$D$17,4,FALSE),"")</f>
        <v>75</v>
      </c>
      <c r="I567" s="35">
        <f t="shared" si="8"/>
        <v>75</v>
      </c>
    </row>
    <row r="568" spans="1:9" x14ac:dyDescent="0.3">
      <c r="A568" s="59">
        <v>46174</v>
      </c>
      <c r="B568" s="1">
        <v>37</v>
      </c>
      <c r="C568" s="53" t="s">
        <v>42</v>
      </c>
      <c r="D568" s="58" t="s">
        <v>63</v>
      </c>
      <c r="E568" s="58" t="s">
        <v>59</v>
      </c>
      <c r="F568" s="33" t="str">
        <f>IFERROR(VLOOKUP(TRIM(E568),ACTIVIDADES!$A$1:$D$17,2,FALSE),"NO ENCONTRADO")</f>
        <v>LIMPIA LOTE</v>
      </c>
      <c r="G568" s="63">
        <v>1</v>
      </c>
      <c r="H568" s="38">
        <f>IFERROR(VLOOKUP(TRIM(E568),ACTIVIDADES!$A$1:$D$17,4,FALSE),"")</f>
        <v>75</v>
      </c>
      <c r="I568" s="35">
        <f t="shared" si="8"/>
        <v>75</v>
      </c>
    </row>
    <row r="569" spans="1:9" x14ac:dyDescent="0.3">
      <c r="A569" s="59">
        <v>46174</v>
      </c>
      <c r="B569" s="1">
        <v>38</v>
      </c>
      <c r="C569" s="55" t="s">
        <v>43</v>
      </c>
      <c r="D569" s="58" t="s">
        <v>46</v>
      </c>
      <c r="E569" s="58" t="s">
        <v>75</v>
      </c>
      <c r="F569" s="33" t="str">
        <f>IFERROR(VLOOKUP(TRIM(E569),ACTIVIDADES!$A$1:$D$17,2,FALSE),"NO ENCONTRADO")</f>
        <v>TRAZADO PARA SIEMBRA</v>
      </c>
      <c r="G569" s="63">
        <v>1</v>
      </c>
      <c r="H569" s="38">
        <f>IFERROR(VLOOKUP(TRIM(E569),ACTIVIDADES!$A$1:$D$17,4,FALSE),"")</f>
        <v>75</v>
      </c>
      <c r="I569" s="35">
        <f t="shared" si="8"/>
        <v>75</v>
      </c>
    </row>
    <row r="570" spans="1:9" x14ac:dyDescent="0.3">
      <c r="A570" s="59">
        <v>46174</v>
      </c>
      <c r="B570" s="1">
        <v>39</v>
      </c>
      <c r="C570" s="24" t="s">
        <v>44</v>
      </c>
      <c r="D570" s="58" t="s">
        <v>46</v>
      </c>
      <c r="E570" s="58" t="s">
        <v>75</v>
      </c>
      <c r="F570" s="33" t="str">
        <f>IFERROR(VLOOKUP(TRIM(E570),ACTIVIDADES!$A$1:$D$17,2,FALSE),"NO ENCONTRADO")</f>
        <v>TRAZADO PARA SIEMBRA</v>
      </c>
      <c r="G570" s="63">
        <v>1</v>
      </c>
      <c r="H570" s="38">
        <f>IFERROR(VLOOKUP(TRIM(E570),ACTIVIDADES!$A$1:$D$17,4,FALSE),"")</f>
        <v>75</v>
      </c>
      <c r="I570" s="35">
        <f t="shared" si="8"/>
        <v>75</v>
      </c>
    </row>
    <row r="571" spans="1:9" x14ac:dyDescent="0.3">
      <c r="A571" s="59">
        <v>46174</v>
      </c>
      <c r="B571" s="55">
        <v>40</v>
      </c>
      <c r="C571" s="55" t="s">
        <v>156</v>
      </c>
      <c r="D571" s="58" t="s">
        <v>63</v>
      </c>
      <c r="E571" s="58" t="s">
        <v>59</v>
      </c>
      <c r="F571" s="33" t="str">
        <f>IFERROR(VLOOKUP(TRIM(E571),ACTIVIDADES!$A$1:$D$17,2,FALSE),"NO ENCONTRADO")</f>
        <v>LIMPIA LOTE</v>
      </c>
      <c r="G571" s="63">
        <v>1</v>
      </c>
      <c r="H571" s="38">
        <f>IFERROR(VLOOKUP(TRIM(E571),ACTIVIDADES!$A$1:$D$17,4,FALSE),"")</f>
        <v>75</v>
      </c>
      <c r="I571" s="35">
        <f t="shared" si="8"/>
        <v>75</v>
      </c>
    </row>
    <row r="572" spans="1:9" x14ac:dyDescent="0.3">
      <c r="A572" s="59">
        <v>46174</v>
      </c>
      <c r="B572" s="55">
        <v>41</v>
      </c>
      <c r="C572" s="55" t="s">
        <v>157</v>
      </c>
      <c r="D572" s="58" t="s">
        <v>63</v>
      </c>
      <c r="E572" s="58" t="s">
        <v>59</v>
      </c>
      <c r="F572" s="33" t="str">
        <f>IFERROR(VLOOKUP(TRIM(E572),ACTIVIDADES!$A$1:$D$17,2,FALSE),"NO ENCONTRADO")</f>
        <v>LIMPIA LOTE</v>
      </c>
      <c r="G572" s="63">
        <v>1</v>
      </c>
      <c r="H572" s="38">
        <f>IFERROR(VLOOKUP(TRIM(E572),ACTIVIDADES!$A$1:$D$17,4,FALSE),"")</f>
        <v>75</v>
      </c>
      <c r="I572" s="35">
        <f t="shared" si="8"/>
        <v>75</v>
      </c>
    </row>
    <row r="573" spans="1:9" x14ac:dyDescent="0.3">
      <c r="A573" s="61">
        <v>46175</v>
      </c>
      <c r="B573" s="1">
        <v>1</v>
      </c>
      <c r="C573" s="40" t="s">
        <v>6</v>
      </c>
      <c r="D573" s="1" t="s">
        <v>49</v>
      </c>
      <c r="E573" s="1" t="s">
        <v>49</v>
      </c>
      <c r="F573" s="33" t="str">
        <f>IFERROR(VLOOKUP(TRIM(E573),ACTIVIDADES!$A$1:$D$17,2,FALSE),"NO ENCONTRADO")</f>
        <v>CAPORAL</v>
      </c>
      <c r="G573" s="63">
        <v>1</v>
      </c>
      <c r="H573" s="38">
        <f>IFERROR(VLOOKUP(TRIM(E573),ACTIVIDADES!$A$1:$D$17,4,FALSE),"")</f>
        <v>100</v>
      </c>
      <c r="I573" s="35">
        <f t="shared" si="8"/>
        <v>100</v>
      </c>
    </row>
    <row r="574" spans="1:9" x14ac:dyDescent="0.3">
      <c r="A574" s="61">
        <v>46175</v>
      </c>
      <c r="B574" s="1">
        <v>2</v>
      </c>
      <c r="C574" s="29" t="s">
        <v>10</v>
      </c>
      <c r="D574" s="1" t="s">
        <v>49</v>
      </c>
      <c r="E574" s="1" t="s">
        <v>49</v>
      </c>
      <c r="F574" s="33" t="str">
        <f>IFERROR(VLOOKUP(TRIM(E574),ACTIVIDADES!$A$1:$D$17,2,FALSE),"NO ENCONTRADO")</f>
        <v>CAPORAL</v>
      </c>
      <c r="G574" s="63">
        <v>1</v>
      </c>
      <c r="H574" s="38">
        <f>IFERROR(VLOOKUP(TRIM(E574),ACTIVIDADES!$A$1:$D$17,4,FALSE),"")</f>
        <v>100</v>
      </c>
      <c r="I574" s="35">
        <f t="shared" si="8"/>
        <v>100</v>
      </c>
    </row>
    <row r="575" spans="1:9" x14ac:dyDescent="0.3">
      <c r="A575" s="61">
        <v>46175</v>
      </c>
      <c r="B575" s="1">
        <v>3</v>
      </c>
      <c r="C575" s="29" t="s">
        <v>22</v>
      </c>
      <c r="D575" s="53" t="s">
        <v>49</v>
      </c>
      <c r="E575" s="53" t="s">
        <v>49</v>
      </c>
      <c r="F575" s="33" t="str">
        <f>IFERROR(VLOOKUP(TRIM(E575),ACTIVIDADES!$A$1:$D$17,2,FALSE),"NO ENCONTRADO")</f>
        <v>CAPORAL</v>
      </c>
      <c r="G575" s="63">
        <v>1</v>
      </c>
      <c r="H575" s="38">
        <f>IFERROR(VLOOKUP(TRIM(E575),ACTIVIDADES!$A$1:$D$17,4,FALSE),"")</f>
        <v>100</v>
      </c>
      <c r="I575" s="35">
        <f t="shared" si="8"/>
        <v>100</v>
      </c>
    </row>
    <row r="576" spans="1:9" x14ac:dyDescent="0.3">
      <c r="A576" s="61">
        <v>46175</v>
      </c>
      <c r="B576" s="1">
        <v>4</v>
      </c>
      <c r="C576" s="40" t="s">
        <v>36</v>
      </c>
      <c r="D576" s="53" t="s">
        <v>150</v>
      </c>
      <c r="E576" s="47" t="s">
        <v>149</v>
      </c>
      <c r="F576" s="33" t="str">
        <f>IFERROR(VLOOKUP(TRIM(E576),ACTIVIDADES!$A$1:$D$17,2,FALSE),"NO ENCONTRADO")</f>
        <v>HACIENDA</v>
      </c>
      <c r="G576" s="63">
        <v>1</v>
      </c>
      <c r="H576" s="38">
        <f>IFERROR(VLOOKUP(TRIM(E576),ACTIVIDADES!$A$1:$D$17,4,FALSE),"")</f>
        <v>65</v>
      </c>
      <c r="I576" s="35">
        <f t="shared" si="8"/>
        <v>65</v>
      </c>
    </row>
    <row r="577" spans="1:9" x14ac:dyDescent="0.3">
      <c r="A577" s="61">
        <v>46175</v>
      </c>
      <c r="B577" s="1">
        <v>5</v>
      </c>
      <c r="C577" s="29" t="s">
        <v>38</v>
      </c>
      <c r="D577" s="47" t="s">
        <v>150</v>
      </c>
      <c r="E577" s="47" t="s">
        <v>149</v>
      </c>
      <c r="F577" s="33" t="str">
        <f>IFERROR(VLOOKUP(TRIM(E577),ACTIVIDADES!$A$1:$D$17,2,FALSE),"NO ENCONTRADO")</f>
        <v>HACIENDA</v>
      </c>
      <c r="G577" s="63">
        <v>1</v>
      </c>
      <c r="H577" s="38">
        <f>IFERROR(VLOOKUP(TRIM(E577),ACTIVIDADES!$A$1:$D$17,4,FALSE),"")</f>
        <v>65</v>
      </c>
      <c r="I577" s="35">
        <f t="shared" si="8"/>
        <v>65</v>
      </c>
    </row>
    <row r="578" spans="1:9" x14ac:dyDescent="0.3">
      <c r="A578" s="61">
        <v>46175</v>
      </c>
      <c r="B578" s="1">
        <v>6</v>
      </c>
      <c r="C578" s="24" t="s">
        <v>11</v>
      </c>
      <c r="D578" s="58" t="s">
        <v>72</v>
      </c>
      <c r="E578" s="58" t="s">
        <v>59</v>
      </c>
      <c r="F578" s="33" t="str">
        <f>IFERROR(VLOOKUP(TRIM(E578),ACTIVIDADES!$A$1:$D$17,2,FALSE),"NO ENCONTRADO")</f>
        <v>LIMPIA LOTE</v>
      </c>
      <c r="G578" s="63">
        <v>0.5</v>
      </c>
      <c r="H578" s="38">
        <f>IFERROR(VLOOKUP(TRIM(E578),ACTIVIDADES!$A$1:$D$17,4,FALSE),"")</f>
        <v>75</v>
      </c>
      <c r="I578" s="35">
        <f t="shared" ref="I578:I641" si="9">IFERROR(G578*H578,"")</f>
        <v>37.5</v>
      </c>
    </row>
    <row r="579" spans="1:9" x14ac:dyDescent="0.3">
      <c r="A579" s="61">
        <v>46175</v>
      </c>
      <c r="B579" s="1">
        <v>7</v>
      </c>
      <c r="C579" s="54" t="s">
        <v>12</v>
      </c>
      <c r="D579" s="58" t="s">
        <v>46</v>
      </c>
      <c r="E579" s="58" t="s">
        <v>75</v>
      </c>
      <c r="F579" s="33" t="str">
        <f>IFERROR(VLOOKUP(TRIM(E579),ACTIVIDADES!$A$1:$D$17,2,FALSE),"NO ENCONTRADO")</f>
        <v>TRAZADO PARA SIEMBRA</v>
      </c>
      <c r="G579" s="63">
        <v>1</v>
      </c>
      <c r="H579" s="38">
        <f>IFERROR(VLOOKUP(TRIM(E579),ACTIVIDADES!$A$1:$D$17,4,FALSE),"")</f>
        <v>75</v>
      </c>
      <c r="I579" s="35">
        <f t="shared" si="9"/>
        <v>75</v>
      </c>
    </row>
    <row r="580" spans="1:9" x14ac:dyDescent="0.3">
      <c r="A580" s="61">
        <v>46175</v>
      </c>
      <c r="B580" s="1">
        <v>8</v>
      </c>
      <c r="C580" s="24" t="s">
        <v>84</v>
      </c>
      <c r="D580" s="58" t="s">
        <v>46</v>
      </c>
      <c r="E580" s="58" t="s">
        <v>49</v>
      </c>
      <c r="F580" s="33" t="str">
        <f>IFERROR(VLOOKUP(TRIM(E580),ACTIVIDADES!$A$1:$D$17,2,FALSE),"NO ENCONTRADO")</f>
        <v>CAPORAL</v>
      </c>
      <c r="G580" s="63">
        <v>1</v>
      </c>
      <c r="H580" s="38">
        <f>IFERROR(VLOOKUP(TRIM(E580),ACTIVIDADES!$A$1:$D$17,4,FALSE),"")</f>
        <v>100</v>
      </c>
      <c r="I580" s="35">
        <f t="shared" si="9"/>
        <v>100</v>
      </c>
    </row>
    <row r="581" spans="1:9" x14ac:dyDescent="0.3">
      <c r="A581" s="61">
        <v>46175</v>
      </c>
      <c r="B581" s="1">
        <v>9</v>
      </c>
      <c r="C581" s="55" t="s">
        <v>82</v>
      </c>
      <c r="D581" s="58" t="s">
        <v>46</v>
      </c>
      <c r="E581" s="58" t="s">
        <v>161</v>
      </c>
      <c r="F581" s="33" t="str">
        <f>IFERROR(VLOOKUP(TRIM(E581),ACTIVIDADES!$A$1:$D$17,2,FALSE),"NO ENCONTRADO")</f>
        <v xml:space="preserve">AHOYADO </v>
      </c>
      <c r="G581" s="63">
        <v>21</v>
      </c>
      <c r="H581" s="38">
        <f>IFERROR(VLOOKUP(TRIM(E581),ACTIVIDADES!$A$1:$D$17,4,FALSE),"")</f>
        <v>1.5</v>
      </c>
      <c r="I581">
        <f t="shared" si="9"/>
        <v>31.5</v>
      </c>
    </row>
    <row r="582" spans="1:9" x14ac:dyDescent="0.3">
      <c r="A582" s="61">
        <v>46175</v>
      </c>
      <c r="B582" s="1">
        <v>10</v>
      </c>
      <c r="C582" s="40" t="s">
        <v>14</v>
      </c>
      <c r="D582" s="58" t="s">
        <v>46</v>
      </c>
      <c r="E582" s="58" t="s">
        <v>161</v>
      </c>
      <c r="F582" s="33" t="str">
        <f>IFERROR(VLOOKUP(TRIM(E582),ACTIVIDADES!$A$1:$D$17,2,FALSE),"NO ENCONTRADO")</f>
        <v xml:space="preserve">AHOYADO </v>
      </c>
      <c r="G582" s="63">
        <v>16</v>
      </c>
      <c r="H582" s="38">
        <f>IFERROR(VLOOKUP(TRIM(E582),ACTIVIDADES!$A$1:$D$17,4,FALSE),"")</f>
        <v>1.5</v>
      </c>
      <c r="I582" s="35">
        <f t="shared" si="9"/>
        <v>24</v>
      </c>
    </row>
    <row r="583" spans="1:9" x14ac:dyDescent="0.3">
      <c r="A583" s="61">
        <v>46175</v>
      </c>
      <c r="B583" s="1">
        <v>11</v>
      </c>
      <c r="C583" s="24" t="s">
        <v>85</v>
      </c>
      <c r="D583" s="58" t="s">
        <v>72</v>
      </c>
      <c r="E583" s="58" t="s">
        <v>161</v>
      </c>
      <c r="F583" s="33" t="str">
        <f>IFERROR(VLOOKUP(TRIM(E583),ACTIVIDADES!$A$1:$D$17,2,FALSE),"NO ENCONTRADO")</f>
        <v xml:space="preserve">AHOYADO </v>
      </c>
      <c r="G583" s="63">
        <v>0.5</v>
      </c>
      <c r="H583" s="38">
        <f>IFERROR(VLOOKUP(TRIM(E583),ACTIVIDADES!$A$1:$D$17,4,FALSE),"")</f>
        <v>1.5</v>
      </c>
      <c r="I583" s="35">
        <f t="shared" si="9"/>
        <v>0.75</v>
      </c>
    </row>
    <row r="584" spans="1:9" x14ac:dyDescent="0.3">
      <c r="A584" s="61">
        <v>46175</v>
      </c>
      <c r="B584" s="1">
        <v>12</v>
      </c>
      <c r="C584" s="24" t="s">
        <v>17</v>
      </c>
      <c r="D584" s="58" t="s">
        <v>150</v>
      </c>
      <c r="E584" s="58" t="s">
        <v>161</v>
      </c>
      <c r="F584" s="33" t="str">
        <f>IFERROR(VLOOKUP(TRIM(E584),ACTIVIDADES!$A$1:$D$17,2,FALSE),"NO ENCONTRADO")</f>
        <v xml:space="preserve">AHOYADO </v>
      </c>
      <c r="G584" s="63">
        <v>1</v>
      </c>
      <c r="H584" s="38">
        <f>IFERROR(VLOOKUP(TRIM(E584),ACTIVIDADES!$A$1:$D$17,4,FALSE),"")</f>
        <v>1.5</v>
      </c>
      <c r="I584" s="35">
        <f t="shared" si="9"/>
        <v>1.5</v>
      </c>
    </row>
    <row r="585" spans="1:9" x14ac:dyDescent="0.3">
      <c r="A585" s="61">
        <v>46175</v>
      </c>
      <c r="B585" s="1">
        <v>13</v>
      </c>
      <c r="C585" s="24" t="s">
        <v>18</v>
      </c>
      <c r="D585" s="58" t="s">
        <v>46</v>
      </c>
      <c r="E585" s="58" t="s">
        <v>161</v>
      </c>
      <c r="F585" s="33" t="str">
        <f>IFERROR(VLOOKUP(TRIM(E585),ACTIVIDADES!$A$1:$D$17,2,FALSE),"NO ENCONTRADO")</f>
        <v xml:space="preserve">AHOYADO </v>
      </c>
      <c r="G585" s="63">
        <v>1</v>
      </c>
      <c r="H585" s="38">
        <f>IFERROR(VLOOKUP(TRIM(E585),ACTIVIDADES!$A$1:$D$17,4,FALSE),"")</f>
        <v>1.5</v>
      </c>
      <c r="I585" s="35">
        <f t="shared" si="9"/>
        <v>1.5</v>
      </c>
    </row>
    <row r="586" spans="1:9" x14ac:dyDescent="0.3">
      <c r="A586" s="61">
        <v>46175</v>
      </c>
      <c r="B586" s="1">
        <v>14</v>
      </c>
      <c r="C586" s="24" t="s">
        <v>88</v>
      </c>
      <c r="D586" s="58" t="s">
        <v>72</v>
      </c>
      <c r="E586" s="58" t="s">
        <v>161</v>
      </c>
      <c r="F586" s="33" t="str">
        <f>IFERROR(VLOOKUP(TRIM(E586),ACTIVIDADES!$A$1:$D$17,2,FALSE),"NO ENCONTRADO")</f>
        <v xml:space="preserve">AHOYADO </v>
      </c>
      <c r="G586" s="63">
        <v>0.5</v>
      </c>
      <c r="H586" s="38">
        <f>IFERROR(VLOOKUP(TRIM(E586),ACTIVIDADES!$A$1:$D$17,4,FALSE),"")</f>
        <v>1.5</v>
      </c>
      <c r="I586" s="35">
        <f t="shared" si="9"/>
        <v>0.75</v>
      </c>
    </row>
    <row r="587" spans="1:9" x14ac:dyDescent="0.3">
      <c r="A587" s="61">
        <v>46175</v>
      </c>
      <c r="B587" s="1">
        <v>15</v>
      </c>
      <c r="C587" s="40" t="s">
        <v>20</v>
      </c>
      <c r="D587" s="58" t="s">
        <v>55</v>
      </c>
      <c r="E587" s="58" t="s">
        <v>161</v>
      </c>
      <c r="F587" s="33" t="str">
        <f>IFERROR(VLOOKUP(TRIM(E587),ACTIVIDADES!$A$1:$D$17,2,FALSE),"NO ENCONTRADO")</f>
        <v xml:space="preserve">AHOYADO </v>
      </c>
      <c r="G587" s="63">
        <v>1</v>
      </c>
      <c r="H587" s="38">
        <f>IFERROR(VLOOKUP(TRIM(E587),ACTIVIDADES!$A$1:$D$17,4,FALSE),"")</f>
        <v>1.5</v>
      </c>
      <c r="I587" s="35">
        <f t="shared" si="9"/>
        <v>1.5</v>
      </c>
    </row>
    <row r="588" spans="1:9" x14ac:dyDescent="0.3">
      <c r="A588" s="61">
        <v>46175</v>
      </c>
      <c r="B588" s="1">
        <v>16</v>
      </c>
      <c r="C588" s="24" t="s">
        <v>90</v>
      </c>
      <c r="D588" s="58" t="s">
        <v>46</v>
      </c>
      <c r="E588" s="58" t="s">
        <v>161</v>
      </c>
      <c r="F588" s="33" t="str">
        <f>IFERROR(VLOOKUP(TRIM(E588),ACTIVIDADES!$A$1:$D$17,2,FALSE),"NO ENCONTRADO")</f>
        <v xml:space="preserve">AHOYADO </v>
      </c>
      <c r="G588" s="63">
        <v>15</v>
      </c>
      <c r="H588" s="38">
        <f>IFERROR(VLOOKUP(TRIM(E588),ACTIVIDADES!$A$1:$D$17,4,FALSE),"")</f>
        <v>1.5</v>
      </c>
      <c r="I588" s="35">
        <f t="shared" si="9"/>
        <v>22.5</v>
      </c>
    </row>
    <row r="589" spans="1:9" x14ac:dyDescent="0.3">
      <c r="A589" s="61">
        <v>46175</v>
      </c>
      <c r="B589" s="1">
        <v>17</v>
      </c>
      <c r="C589" s="24" t="s">
        <v>91</v>
      </c>
      <c r="D589" s="58" t="s">
        <v>46</v>
      </c>
      <c r="E589" s="58" t="s">
        <v>161</v>
      </c>
      <c r="F589" s="33" t="str">
        <f>IFERROR(VLOOKUP(TRIM(E589),ACTIVIDADES!$A$1:$D$17,2,FALSE),"NO ENCONTRADO")</f>
        <v xml:space="preserve">AHOYADO </v>
      </c>
      <c r="G589" s="63">
        <v>30</v>
      </c>
      <c r="H589" s="38">
        <f>IFERROR(VLOOKUP(TRIM(E589),ACTIVIDADES!$A$1:$D$17,4,FALSE),"")</f>
        <v>1.5</v>
      </c>
      <c r="I589" s="35">
        <f t="shared" si="9"/>
        <v>45</v>
      </c>
    </row>
    <row r="590" spans="1:9" x14ac:dyDescent="0.3">
      <c r="A590" s="61">
        <v>46175</v>
      </c>
      <c r="B590" s="1">
        <v>18</v>
      </c>
      <c r="C590" s="30" t="s">
        <v>23</v>
      </c>
      <c r="D590" s="58" t="s">
        <v>46</v>
      </c>
      <c r="E590" s="58" t="s">
        <v>161</v>
      </c>
      <c r="F590" s="33" t="str">
        <f>IFERROR(VLOOKUP(TRIM(E590),ACTIVIDADES!$A$1:$D$17,2,FALSE),"NO ENCONTRADO")</f>
        <v xml:space="preserve">AHOYADO </v>
      </c>
      <c r="G590" s="63">
        <v>35</v>
      </c>
      <c r="H590" s="38">
        <f>IFERROR(VLOOKUP(TRIM(E590),ACTIVIDADES!$A$1:$D$17,4,FALSE),"")</f>
        <v>1.5</v>
      </c>
      <c r="I590" s="35">
        <f t="shared" si="9"/>
        <v>52.5</v>
      </c>
    </row>
    <row r="591" spans="1:9" x14ac:dyDescent="0.3">
      <c r="A591" s="61">
        <v>46175</v>
      </c>
      <c r="B591" s="1">
        <v>19</v>
      </c>
      <c r="C591" s="53" t="s">
        <v>92</v>
      </c>
      <c r="D591" s="58" t="s">
        <v>55</v>
      </c>
      <c r="E591" s="58" t="s">
        <v>161</v>
      </c>
      <c r="F591" s="33" t="str">
        <f>IFERROR(VLOOKUP(TRIM(E591),ACTIVIDADES!$A$1:$D$17,2,FALSE),"NO ENCONTRADO")</f>
        <v xml:space="preserve">AHOYADO </v>
      </c>
      <c r="G591" s="63">
        <v>1</v>
      </c>
      <c r="H591" s="38">
        <f>IFERROR(VLOOKUP(TRIM(E591),ACTIVIDADES!$A$1:$D$17,4,FALSE),"")</f>
        <v>1.5</v>
      </c>
      <c r="I591" s="35">
        <f t="shared" si="9"/>
        <v>1.5</v>
      </c>
    </row>
    <row r="592" spans="1:9" x14ac:dyDescent="0.3">
      <c r="A592" s="61">
        <v>46175</v>
      </c>
      <c r="B592" s="1">
        <v>20</v>
      </c>
      <c r="C592" s="24" t="s">
        <v>25</v>
      </c>
      <c r="D592" s="58" t="s">
        <v>46</v>
      </c>
      <c r="E592" s="58" t="s">
        <v>161</v>
      </c>
      <c r="F592" s="33" t="str">
        <f>IFERROR(VLOOKUP(TRIM(E592),ACTIVIDADES!$A$1:$D$17,2,FALSE),"NO ENCONTRADO")</f>
        <v xml:space="preserve">AHOYADO </v>
      </c>
      <c r="G592" s="63">
        <v>1</v>
      </c>
      <c r="H592" s="38">
        <f>IFERROR(VLOOKUP(TRIM(E592),ACTIVIDADES!$A$1:$D$17,4,FALSE),"")</f>
        <v>1.5</v>
      </c>
      <c r="I592" s="35">
        <f t="shared" si="9"/>
        <v>1.5</v>
      </c>
    </row>
    <row r="593" spans="1:9" x14ac:dyDescent="0.3">
      <c r="A593" s="61">
        <v>46175</v>
      </c>
      <c r="B593" s="1">
        <v>21</v>
      </c>
      <c r="C593" s="29" t="s">
        <v>26</v>
      </c>
      <c r="D593" s="58" t="s">
        <v>72</v>
      </c>
      <c r="E593" s="58" t="s">
        <v>161</v>
      </c>
      <c r="F593" s="33" t="str">
        <f>IFERROR(VLOOKUP(TRIM(E593),ACTIVIDADES!$A$1:$D$17,2,FALSE),"NO ENCONTRADO")</f>
        <v xml:space="preserve">AHOYADO </v>
      </c>
      <c r="G593" s="63">
        <v>0.5</v>
      </c>
      <c r="H593" s="38">
        <f>IFERROR(VLOOKUP(TRIM(E593),ACTIVIDADES!$A$1:$D$17,4,FALSE),"")</f>
        <v>1.5</v>
      </c>
      <c r="I593" s="35">
        <f t="shared" si="9"/>
        <v>0.75</v>
      </c>
    </row>
    <row r="594" spans="1:9" x14ac:dyDescent="0.3">
      <c r="A594" s="61">
        <v>46175</v>
      </c>
      <c r="B594" s="1">
        <v>22</v>
      </c>
      <c r="C594" s="24" t="s">
        <v>27</v>
      </c>
      <c r="D594" s="58" t="s">
        <v>72</v>
      </c>
      <c r="E594" s="58" t="s">
        <v>161</v>
      </c>
      <c r="F594" s="33" t="str">
        <f>IFERROR(VLOOKUP(TRIM(E594),ACTIVIDADES!$A$1:$D$17,2,FALSE),"NO ENCONTRADO")</f>
        <v xml:space="preserve">AHOYADO </v>
      </c>
      <c r="G594" s="63">
        <v>0.5</v>
      </c>
      <c r="H594" s="38">
        <f>IFERROR(VLOOKUP(TRIM(E594),ACTIVIDADES!$A$1:$D$17,4,FALSE),"")</f>
        <v>1.5</v>
      </c>
      <c r="I594" s="35">
        <f t="shared" si="9"/>
        <v>0.75</v>
      </c>
    </row>
    <row r="595" spans="1:9" x14ac:dyDescent="0.3">
      <c r="A595" s="61">
        <v>46175</v>
      </c>
      <c r="B595" s="1">
        <v>23</v>
      </c>
      <c r="C595" s="24" t="s">
        <v>96</v>
      </c>
      <c r="D595" s="58" t="s">
        <v>72</v>
      </c>
      <c r="E595" s="58" t="s">
        <v>161</v>
      </c>
      <c r="F595" s="33" t="str">
        <f>IFERROR(VLOOKUP(TRIM(E595),ACTIVIDADES!$A$1:$D$17,2,FALSE),"NO ENCONTRADO")</f>
        <v xml:space="preserve">AHOYADO </v>
      </c>
      <c r="G595" s="63">
        <v>0.5</v>
      </c>
      <c r="H595" s="38">
        <f>IFERROR(VLOOKUP(TRIM(E595),ACTIVIDADES!$A$1:$D$17,4,FALSE),"")</f>
        <v>1.5</v>
      </c>
      <c r="I595" s="35">
        <f t="shared" si="9"/>
        <v>0.75</v>
      </c>
    </row>
    <row r="596" spans="1:9" x14ac:dyDescent="0.3">
      <c r="A596" s="61">
        <v>46175</v>
      </c>
      <c r="B596" s="1">
        <v>24</v>
      </c>
      <c r="C596" s="24" t="s">
        <v>29</v>
      </c>
      <c r="D596" s="58" t="s">
        <v>46</v>
      </c>
      <c r="E596" s="58" t="s">
        <v>161</v>
      </c>
      <c r="F596" s="33" t="str">
        <f>IFERROR(VLOOKUP(TRIM(E596),ACTIVIDADES!$A$1:$D$17,2,FALSE),"NO ENCONTRADO")</f>
        <v xml:space="preserve">AHOYADO </v>
      </c>
      <c r="G596" s="63">
        <v>23</v>
      </c>
      <c r="H596" s="38">
        <f>IFERROR(VLOOKUP(TRIM(E596),ACTIVIDADES!$A$1:$D$17,4,FALSE),"")</f>
        <v>1.5</v>
      </c>
      <c r="I596" s="35">
        <f t="shared" si="9"/>
        <v>34.5</v>
      </c>
    </row>
    <row r="597" spans="1:9" x14ac:dyDescent="0.3">
      <c r="A597" s="61">
        <v>46175</v>
      </c>
      <c r="B597" s="1">
        <v>25</v>
      </c>
      <c r="C597" s="24" t="s">
        <v>30</v>
      </c>
      <c r="D597" s="58" t="s">
        <v>46</v>
      </c>
      <c r="E597" s="58" t="s">
        <v>161</v>
      </c>
      <c r="F597" s="33" t="str">
        <f>IFERROR(VLOOKUP(TRIM(E597),ACTIVIDADES!$A$1:$D$17,2,FALSE),"NO ENCONTRADO")</f>
        <v xml:space="preserve">AHOYADO </v>
      </c>
      <c r="G597" s="63">
        <v>11</v>
      </c>
      <c r="H597" s="38">
        <f>IFERROR(VLOOKUP(TRIM(E597),ACTIVIDADES!$A$1:$D$17,4,FALSE),"")</f>
        <v>1.5</v>
      </c>
      <c r="I597" s="35">
        <f t="shared" si="9"/>
        <v>16.5</v>
      </c>
    </row>
    <row r="598" spans="1:9" x14ac:dyDescent="0.3">
      <c r="A598" s="61">
        <v>46175</v>
      </c>
      <c r="B598" s="1">
        <v>26</v>
      </c>
      <c r="C598" s="24" t="s">
        <v>99</v>
      </c>
      <c r="D598" s="58" t="s">
        <v>46</v>
      </c>
      <c r="E598" s="58" t="s">
        <v>161</v>
      </c>
      <c r="F598" s="33" t="str">
        <f>IFERROR(VLOOKUP(TRIM(E598),ACTIVIDADES!$A$1:$D$17,2,FALSE),"NO ENCONTRADO")</f>
        <v xml:space="preserve">AHOYADO </v>
      </c>
      <c r="G598" s="63">
        <v>20</v>
      </c>
      <c r="H598" s="38">
        <f>IFERROR(VLOOKUP(TRIM(E598),ACTIVIDADES!$A$1:$D$17,4,FALSE),"")</f>
        <v>1.5</v>
      </c>
      <c r="I598" s="35">
        <f t="shared" si="9"/>
        <v>30</v>
      </c>
    </row>
    <row r="599" spans="1:9" x14ac:dyDescent="0.3">
      <c r="A599" s="61">
        <v>46175</v>
      </c>
      <c r="B599" s="1">
        <v>27</v>
      </c>
      <c r="C599" s="55" t="s">
        <v>100</v>
      </c>
      <c r="D599" s="58" t="s">
        <v>46</v>
      </c>
      <c r="E599" s="58" t="s">
        <v>161</v>
      </c>
      <c r="F599" s="33" t="str">
        <f>IFERROR(VLOOKUP(TRIM(E599),ACTIVIDADES!$A$1:$D$17,2,FALSE),"NO ENCONTRADO")</f>
        <v xml:space="preserve">AHOYADO </v>
      </c>
      <c r="G599" s="63">
        <v>1</v>
      </c>
      <c r="H599" s="38">
        <f>IFERROR(VLOOKUP(TRIM(E599),ACTIVIDADES!$A$1:$D$17,4,FALSE),"")</f>
        <v>1.5</v>
      </c>
      <c r="I599" s="35">
        <f t="shared" si="9"/>
        <v>1.5</v>
      </c>
    </row>
    <row r="600" spans="1:9" x14ac:dyDescent="0.3">
      <c r="A600" s="61">
        <v>46175</v>
      </c>
      <c r="B600" s="1">
        <v>28</v>
      </c>
      <c r="C600" s="24" t="s">
        <v>33</v>
      </c>
      <c r="D600" s="58" t="s">
        <v>46</v>
      </c>
      <c r="E600" s="58" t="s">
        <v>161</v>
      </c>
      <c r="F600" s="33" t="str">
        <f>IFERROR(VLOOKUP(TRIM(E600),ACTIVIDADES!$A$1:$D$17,2,FALSE),"NO ENCONTRADO")</f>
        <v xml:space="preserve">AHOYADO </v>
      </c>
      <c r="G600" s="63">
        <v>15</v>
      </c>
      <c r="H600" s="38">
        <f>IFERROR(VLOOKUP(TRIM(E600),ACTIVIDADES!$A$1:$D$17,4,FALSE),"")</f>
        <v>1.5</v>
      </c>
      <c r="I600" s="35">
        <f t="shared" si="9"/>
        <v>22.5</v>
      </c>
    </row>
    <row r="601" spans="1:9" x14ac:dyDescent="0.3">
      <c r="A601" s="61">
        <v>46175</v>
      </c>
      <c r="B601" s="1">
        <v>29</v>
      </c>
      <c r="C601" s="24" t="s">
        <v>102</v>
      </c>
      <c r="D601" s="58" t="s">
        <v>72</v>
      </c>
      <c r="E601" s="58" t="s">
        <v>161</v>
      </c>
      <c r="F601" s="33" t="str">
        <f>IFERROR(VLOOKUP(TRIM(E601),ACTIVIDADES!$A$1:$D$17,2,FALSE),"NO ENCONTRADO")</f>
        <v xml:space="preserve">AHOYADO </v>
      </c>
      <c r="G601" s="63">
        <v>0.5</v>
      </c>
      <c r="H601" s="38">
        <f>IFERROR(VLOOKUP(TRIM(E601),ACTIVIDADES!$A$1:$D$17,4,FALSE),"")</f>
        <v>1.5</v>
      </c>
      <c r="I601" s="35">
        <f t="shared" si="9"/>
        <v>0.75</v>
      </c>
    </row>
    <row r="602" spans="1:9" x14ac:dyDescent="0.3">
      <c r="A602" s="61">
        <v>46175</v>
      </c>
      <c r="B602" s="1">
        <v>30</v>
      </c>
      <c r="C602" s="24" t="s">
        <v>35</v>
      </c>
      <c r="D602" s="58" t="s">
        <v>72</v>
      </c>
      <c r="E602" s="58" t="s">
        <v>161</v>
      </c>
      <c r="F602" s="33" t="str">
        <f>IFERROR(VLOOKUP(TRIM(E602),ACTIVIDADES!$A$1:$D$17,2,FALSE),"NO ENCONTRADO")</f>
        <v xml:space="preserve">AHOYADO </v>
      </c>
      <c r="G602" s="63">
        <v>0.5</v>
      </c>
      <c r="H602" s="38">
        <f>IFERROR(VLOOKUP(TRIM(E602),ACTIVIDADES!$A$1:$D$17,4,FALSE),"")</f>
        <v>1.5</v>
      </c>
      <c r="I602" s="35">
        <f t="shared" si="9"/>
        <v>0.75</v>
      </c>
    </row>
    <row r="603" spans="1:9" x14ac:dyDescent="0.3">
      <c r="A603" s="61">
        <v>46175</v>
      </c>
      <c r="B603" s="1">
        <v>32</v>
      </c>
      <c r="C603" s="55" t="s">
        <v>37</v>
      </c>
      <c r="D603" s="58" t="s">
        <v>46</v>
      </c>
      <c r="E603" s="58" t="s">
        <v>161</v>
      </c>
      <c r="F603" s="33" t="str">
        <f>IFERROR(VLOOKUP(TRIM(E603),ACTIVIDADES!$A$1:$D$17,2,FALSE),"NO ENCONTRADO")</f>
        <v xml:space="preserve">AHOYADO </v>
      </c>
      <c r="G603" s="63">
        <v>19</v>
      </c>
      <c r="H603" s="38">
        <f>IFERROR(VLOOKUP(TRIM(E603),ACTIVIDADES!$A$1:$D$17,4,FALSE),"")</f>
        <v>1.5</v>
      </c>
      <c r="I603" s="35">
        <f t="shared" si="9"/>
        <v>28.5</v>
      </c>
    </row>
    <row r="604" spans="1:9" x14ac:dyDescent="0.3">
      <c r="A604" s="61">
        <v>46175</v>
      </c>
      <c r="B604" s="1">
        <v>33</v>
      </c>
      <c r="C604" s="24" t="s">
        <v>7</v>
      </c>
      <c r="D604" s="58" t="s">
        <v>72</v>
      </c>
      <c r="E604" s="58" t="s">
        <v>161</v>
      </c>
      <c r="F604" s="33" t="str">
        <f>IFERROR(VLOOKUP(TRIM(E604),ACTIVIDADES!$A$1:$D$17,2,FALSE),"NO ENCONTRADO")</f>
        <v xml:space="preserve">AHOYADO </v>
      </c>
      <c r="G604" s="63">
        <v>0.5</v>
      </c>
      <c r="H604" s="38">
        <f>IFERROR(VLOOKUP(TRIM(E604),ACTIVIDADES!$A$1:$D$17,4,FALSE),"")</f>
        <v>1.5</v>
      </c>
      <c r="I604" s="35">
        <f t="shared" si="9"/>
        <v>0.75</v>
      </c>
    </row>
    <row r="605" spans="1:9" x14ac:dyDescent="0.3">
      <c r="A605" s="61">
        <v>46175</v>
      </c>
      <c r="B605" s="1">
        <v>34</v>
      </c>
      <c r="C605" s="24" t="s">
        <v>107</v>
      </c>
      <c r="D605" s="58" t="s">
        <v>72</v>
      </c>
      <c r="E605" s="58" t="s">
        <v>161</v>
      </c>
      <c r="F605" s="33" t="str">
        <f>IFERROR(VLOOKUP(TRIM(E605),ACTIVIDADES!$A$1:$D$17,2,FALSE),"NO ENCONTRADO")</f>
        <v xml:space="preserve">AHOYADO </v>
      </c>
      <c r="G605" s="63">
        <v>0.5</v>
      </c>
      <c r="H605" s="38">
        <f>IFERROR(VLOOKUP(TRIM(E605),ACTIVIDADES!$A$1:$D$17,4,FALSE),"")</f>
        <v>1.5</v>
      </c>
      <c r="I605" s="35">
        <f t="shared" si="9"/>
        <v>0.75</v>
      </c>
    </row>
    <row r="606" spans="1:9" x14ac:dyDescent="0.3">
      <c r="A606" s="61">
        <v>46175</v>
      </c>
      <c r="B606" s="1">
        <v>35</v>
      </c>
      <c r="C606" s="24" t="s">
        <v>108</v>
      </c>
      <c r="D606" s="58" t="s">
        <v>72</v>
      </c>
      <c r="E606" s="58" t="s">
        <v>161</v>
      </c>
      <c r="F606" s="33" t="str">
        <f>IFERROR(VLOOKUP(TRIM(E606),ACTIVIDADES!$A$1:$D$17,2,FALSE),"NO ENCONTRADO")</f>
        <v xml:space="preserve">AHOYADO </v>
      </c>
      <c r="G606" s="63">
        <v>0.5</v>
      </c>
      <c r="H606" s="38">
        <f>IFERROR(VLOOKUP(TRIM(E606),ACTIVIDADES!$A$1:$D$17,4,FALSE),"")</f>
        <v>1.5</v>
      </c>
      <c r="I606" s="35">
        <f t="shared" si="9"/>
        <v>0.75</v>
      </c>
    </row>
    <row r="607" spans="1:9" x14ac:dyDescent="0.3">
      <c r="A607" s="61">
        <v>46175</v>
      </c>
      <c r="B607" s="1">
        <v>36</v>
      </c>
      <c r="C607" s="58" t="s">
        <v>109</v>
      </c>
      <c r="D607" s="58" t="s">
        <v>46</v>
      </c>
      <c r="E607" s="58" t="s">
        <v>161</v>
      </c>
      <c r="F607" s="33" t="str">
        <f>IFERROR(VLOOKUP(TRIM(E607),ACTIVIDADES!$A$1:$D$17,2,FALSE),"NO ENCONTRADO")</f>
        <v xml:space="preserve">AHOYADO </v>
      </c>
      <c r="G607" s="63">
        <v>25</v>
      </c>
      <c r="H607" s="38">
        <f>IFERROR(VLOOKUP(TRIM(E607),ACTIVIDADES!$A$1:$D$17,4,FALSE),"")</f>
        <v>1.5</v>
      </c>
      <c r="I607" s="35">
        <f t="shared" si="9"/>
        <v>37.5</v>
      </c>
    </row>
    <row r="608" spans="1:9" x14ac:dyDescent="0.3">
      <c r="A608" s="61">
        <v>46175</v>
      </c>
      <c r="B608" s="1">
        <v>37</v>
      </c>
      <c r="C608" s="53" t="s">
        <v>42</v>
      </c>
      <c r="D608" s="58" t="s">
        <v>72</v>
      </c>
      <c r="E608" s="58" t="s">
        <v>161</v>
      </c>
      <c r="F608" s="33" t="str">
        <f>IFERROR(VLOOKUP(TRIM(E608),ACTIVIDADES!$A$1:$D$17,2,FALSE),"NO ENCONTRADO")</f>
        <v xml:space="preserve">AHOYADO </v>
      </c>
      <c r="G608" s="63">
        <v>0.5</v>
      </c>
      <c r="H608" s="38">
        <f>IFERROR(VLOOKUP(TRIM(E608),ACTIVIDADES!$A$1:$D$17,4,FALSE),"")</f>
        <v>1.5</v>
      </c>
      <c r="I608" s="35">
        <f t="shared" si="9"/>
        <v>0.75</v>
      </c>
    </row>
    <row r="609" spans="1:9" x14ac:dyDescent="0.3">
      <c r="A609" s="61">
        <v>46175</v>
      </c>
      <c r="B609" s="1">
        <v>38</v>
      </c>
      <c r="C609" s="55" t="s">
        <v>43</v>
      </c>
      <c r="D609" s="58" t="s">
        <v>46</v>
      </c>
      <c r="E609" s="58" t="s">
        <v>161</v>
      </c>
      <c r="F609" s="33" t="str">
        <f>IFERROR(VLOOKUP(TRIM(E609),ACTIVIDADES!$A$1:$D$17,2,FALSE),"NO ENCONTRADO")</f>
        <v xml:space="preserve">AHOYADO </v>
      </c>
      <c r="G609" s="63">
        <v>1</v>
      </c>
      <c r="H609" s="38">
        <f>IFERROR(VLOOKUP(TRIM(E609),ACTIVIDADES!$A$1:$D$17,4,FALSE),"")</f>
        <v>1.5</v>
      </c>
      <c r="I609" s="35">
        <f t="shared" si="9"/>
        <v>1.5</v>
      </c>
    </row>
    <row r="610" spans="1:9" x14ac:dyDescent="0.3">
      <c r="A610" s="61">
        <v>46175</v>
      </c>
      <c r="B610" s="1">
        <v>39</v>
      </c>
      <c r="C610" s="24" t="s">
        <v>44</v>
      </c>
      <c r="D610" s="58" t="s">
        <v>46</v>
      </c>
      <c r="E610" s="58" t="s">
        <v>161</v>
      </c>
      <c r="F610" s="33" t="str">
        <f>IFERROR(VLOOKUP(TRIM(E610),ACTIVIDADES!$A$1:$D$17,2,FALSE),"NO ENCONTRADO")</f>
        <v xml:space="preserve">AHOYADO </v>
      </c>
      <c r="G610" s="63">
        <v>1</v>
      </c>
      <c r="H610" s="38">
        <f>IFERROR(VLOOKUP(TRIM(E610),ACTIVIDADES!$A$1:$D$17,4,FALSE),"")</f>
        <v>1.5</v>
      </c>
      <c r="I610" s="35">
        <f t="shared" si="9"/>
        <v>1.5</v>
      </c>
    </row>
    <row r="611" spans="1:9" x14ac:dyDescent="0.3">
      <c r="A611" s="61">
        <v>46175</v>
      </c>
      <c r="B611" s="55">
        <v>40</v>
      </c>
      <c r="C611" s="55" t="s">
        <v>156</v>
      </c>
      <c r="D611" s="58" t="s">
        <v>72</v>
      </c>
      <c r="E611" s="58" t="s">
        <v>161</v>
      </c>
      <c r="F611" s="33" t="str">
        <f>IFERROR(VLOOKUP(TRIM(E611),ACTIVIDADES!$A$1:$D$17,2,FALSE),"NO ENCONTRADO")</f>
        <v xml:space="preserve">AHOYADO </v>
      </c>
      <c r="G611" s="63">
        <v>0.5</v>
      </c>
      <c r="H611" s="38">
        <f>IFERROR(VLOOKUP(TRIM(E611),ACTIVIDADES!$A$1:$D$17,4,FALSE),"")</f>
        <v>1.5</v>
      </c>
      <c r="I611" s="35">
        <f t="shared" si="9"/>
        <v>0.75</v>
      </c>
    </row>
    <row r="612" spans="1:9" x14ac:dyDescent="0.3">
      <c r="A612" s="61">
        <v>46175</v>
      </c>
      <c r="B612" s="55">
        <v>41</v>
      </c>
      <c r="C612" s="55" t="s">
        <v>157</v>
      </c>
      <c r="D612" s="58" t="s">
        <v>72</v>
      </c>
      <c r="E612" s="58" t="s">
        <v>161</v>
      </c>
      <c r="F612" s="33" t="str">
        <f>IFERROR(VLOOKUP(TRIM(E612),ACTIVIDADES!$A$1:$D$17,2,FALSE),"NO ENCONTRADO")</f>
        <v xml:space="preserve">AHOYADO </v>
      </c>
      <c r="G612" s="63">
        <v>0.4</v>
      </c>
      <c r="H612" s="38">
        <f>IFERROR(VLOOKUP(TRIM(E612),ACTIVIDADES!$A$1:$D$17,4,FALSE),"")</f>
        <v>1.5</v>
      </c>
      <c r="I612" s="35">
        <f t="shared" si="9"/>
        <v>0.60000000000000009</v>
      </c>
    </row>
    <row r="613" spans="1:9" x14ac:dyDescent="0.3">
      <c r="A613" s="60">
        <v>46176</v>
      </c>
      <c r="B613" s="1">
        <v>1</v>
      </c>
      <c r="C613" s="40" t="s">
        <v>6</v>
      </c>
      <c r="D613" s="1" t="s">
        <v>49</v>
      </c>
      <c r="E613" s="1" t="s">
        <v>161</v>
      </c>
      <c r="F613" s="33" t="str">
        <f>IFERROR(VLOOKUP(TRIM(E613),ACTIVIDADES!$A$1:$D$17,2,FALSE),"NO ENCONTRADO")</f>
        <v xml:space="preserve">AHOYADO </v>
      </c>
      <c r="G613" s="63">
        <v>1</v>
      </c>
      <c r="H613" s="38">
        <f>IFERROR(VLOOKUP(TRIM(E613),ACTIVIDADES!$A$1:$D$17,4,FALSE),"")</f>
        <v>1.5</v>
      </c>
      <c r="I613" s="35">
        <f t="shared" si="9"/>
        <v>1.5</v>
      </c>
    </row>
    <row r="614" spans="1:9" x14ac:dyDescent="0.3">
      <c r="A614" s="60">
        <v>46176</v>
      </c>
      <c r="B614" s="1">
        <v>2</v>
      </c>
      <c r="C614" s="29" t="s">
        <v>10</v>
      </c>
      <c r="D614" s="1" t="s">
        <v>49</v>
      </c>
      <c r="E614" s="1" t="s">
        <v>161</v>
      </c>
      <c r="F614" s="33" t="str">
        <f>IFERROR(VLOOKUP(TRIM(E614),ACTIVIDADES!$A$1:$D$17,2,FALSE),"NO ENCONTRADO")</f>
        <v xml:space="preserve">AHOYADO </v>
      </c>
      <c r="G614" s="63">
        <v>1</v>
      </c>
      <c r="H614" s="38">
        <f>IFERROR(VLOOKUP(TRIM(E614),ACTIVIDADES!$A$1:$D$17,4,FALSE),"")</f>
        <v>1.5</v>
      </c>
      <c r="I614" s="35">
        <f t="shared" si="9"/>
        <v>1.5</v>
      </c>
    </row>
    <row r="615" spans="1:9" x14ac:dyDescent="0.3">
      <c r="A615" s="60">
        <v>46176</v>
      </c>
      <c r="B615" s="1">
        <v>3</v>
      </c>
      <c r="C615" s="29" t="s">
        <v>22</v>
      </c>
      <c r="D615" s="53" t="s">
        <v>49</v>
      </c>
      <c r="E615" s="53" t="s">
        <v>161</v>
      </c>
      <c r="F615" s="33" t="str">
        <f>IFERROR(VLOOKUP(TRIM(E615),ACTIVIDADES!$A$1:$D$17,2,FALSE),"NO ENCONTRADO")</f>
        <v xml:space="preserve">AHOYADO </v>
      </c>
      <c r="G615" s="63">
        <v>1</v>
      </c>
      <c r="H615" s="38">
        <f>IFERROR(VLOOKUP(TRIM(E615),ACTIVIDADES!$A$1:$D$17,4,FALSE),"")</f>
        <v>1.5</v>
      </c>
      <c r="I615" s="35">
        <f t="shared" si="9"/>
        <v>1.5</v>
      </c>
    </row>
    <row r="616" spans="1:9" x14ac:dyDescent="0.3">
      <c r="A616" s="60">
        <v>46176</v>
      </c>
      <c r="B616" s="1">
        <v>4</v>
      </c>
      <c r="C616" s="40" t="s">
        <v>36</v>
      </c>
      <c r="D616" s="53" t="s">
        <v>150</v>
      </c>
      <c r="E616" s="47" t="s">
        <v>161</v>
      </c>
      <c r="F616" s="33" t="str">
        <f>IFERROR(VLOOKUP(TRIM(E616),ACTIVIDADES!$A$1:$D$17,2,FALSE),"NO ENCONTRADO")</f>
        <v xml:space="preserve">AHOYADO </v>
      </c>
      <c r="G616" s="63">
        <v>1</v>
      </c>
      <c r="H616" s="38">
        <f>IFERROR(VLOOKUP(TRIM(E616),ACTIVIDADES!$A$1:$D$17,4,FALSE),"")</f>
        <v>1.5</v>
      </c>
      <c r="I616" s="35">
        <f t="shared" si="9"/>
        <v>1.5</v>
      </c>
    </row>
    <row r="617" spans="1:9" x14ac:dyDescent="0.3">
      <c r="A617" s="60">
        <v>46176</v>
      </c>
      <c r="B617" s="1">
        <v>5</v>
      </c>
      <c r="C617" s="29" t="s">
        <v>38</v>
      </c>
      <c r="D617" s="47" t="s">
        <v>150</v>
      </c>
      <c r="E617" s="47" t="s">
        <v>161</v>
      </c>
      <c r="F617" s="33" t="str">
        <f>IFERROR(VLOOKUP(TRIM(E617),ACTIVIDADES!$A$1:$D$17,2,FALSE),"NO ENCONTRADO")</f>
        <v xml:space="preserve">AHOYADO </v>
      </c>
      <c r="G617" s="63">
        <v>1</v>
      </c>
      <c r="H617" s="38">
        <f>IFERROR(VLOOKUP(TRIM(E617),ACTIVIDADES!$A$1:$D$17,4,FALSE),"")</f>
        <v>1.5</v>
      </c>
      <c r="I617" s="35">
        <f t="shared" si="9"/>
        <v>1.5</v>
      </c>
    </row>
    <row r="618" spans="1:9" x14ac:dyDescent="0.3">
      <c r="A618" s="60">
        <v>46176</v>
      </c>
      <c r="B618" s="1">
        <v>6</v>
      </c>
      <c r="C618" s="24" t="s">
        <v>11</v>
      </c>
      <c r="D618" s="58" t="s">
        <v>72</v>
      </c>
      <c r="E618" s="58" t="s">
        <v>161</v>
      </c>
      <c r="F618" s="33" t="str">
        <f>IFERROR(VLOOKUP(TRIM(E618),ACTIVIDADES!$A$1:$D$17,2,FALSE),"NO ENCONTRADO")</f>
        <v xml:space="preserve">AHOYADO </v>
      </c>
      <c r="G618" s="63">
        <v>0.5</v>
      </c>
      <c r="H618" s="38">
        <f>IFERROR(VLOOKUP(TRIM(E618),ACTIVIDADES!$A$1:$D$17,4,FALSE),"")</f>
        <v>1.5</v>
      </c>
      <c r="I618" s="35">
        <f t="shared" si="9"/>
        <v>0.75</v>
      </c>
    </row>
    <row r="619" spans="1:9" x14ac:dyDescent="0.3">
      <c r="A619" s="60">
        <v>46176</v>
      </c>
      <c r="B619" s="1">
        <v>7</v>
      </c>
      <c r="C619" s="54" t="s">
        <v>12</v>
      </c>
      <c r="D619" s="58" t="s">
        <v>46</v>
      </c>
      <c r="E619" s="58" t="s">
        <v>161</v>
      </c>
      <c r="F619" s="33" t="str">
        <f>IFERROR(VLOOKUP(TRIM(E619),ACTIVIDADES!$A$1:$D$17,2,FALSE),"NO ENCONTRADO")</f>
        <v xml:space="preserve">AHOYADO </v>
      </c>
      <c r="G619" s="63">
        <v>1</v>
      </c>
      <c r="H619" s="38">
        <f>IFERROR(VLOOKUP(TRIM(E619),ACTIVIDADES!$A$1:$D$17,4,FALSE),"")</f>
        <v>1.5</v>
      </c>
      <c r="I619" s="35">
        <f t="shared" si="9"/>
        <v>1.5</v>
      </c>
    </row>
    <row r="620" spans="1:9" x14ac:dyDescent="0.3">
      <c r="A620" s="60">
        <v>46176</v>
      </c>
      <c r="B620" s="1">
        <v>8</v>
      </c>
      <c r="C620" s="24" t="s">
        <v>84</v>
      </c>
      <c r="D620" s="58" t="s">
        <v>46</v>
      </c>
      <c r="E620" s="58" t="s">
        <v>161</v>
      </c>
      <c r="F620" s="33" t="str">
        <f>IFERROR(VLOOKUP(TRIM(E620),ACTIVIDADES!$A$1:$D$17,2,FALSE),"NO ENCONTRADO")</f>
        <v xml:space="preserve">AHOYADO </v>
      </c>
      <c r="G620" s="63">
        <v>1</v>
      </c>
      <c r="H620" s="38">
        <f>IFERROR(VLOOKUP(TRIM(E620),ACTIVIDADES!$A$1:$D$17,4,FALSE),"")</f>
        <v>1.5</v>
      </c>
      <c r="I620" s="35">
        <f t="shared" si="9"/>
        <v>1.5</v>
      </c>
    </row>
    <row r="621" spans="1:9" x14ac:dyDescent="0.3">
      <c r="A621" s="60">
        <v>46176</v>
      </c>
      <c r="B621" s="1">
        <v>9</v>
      </c>
      <c r="C621" s="55" t="s">
        <v>82</v>
      </c>
      <c r="D621" s="58" t="s">
        <v>46</v>
      </c>
      <c r="E621" s="58" t="s">
        <v>161</v>
      </c>
      <c r="F621" s="33" t="str">
        <f>IFERROR(VLOOKUP(TRIM(E621),ACTIVIDADES!$A$1:$D$17,2,FALSE),"NO ENCONTRADO")</f>
        <v xml:space="preserve">AHOYADO </v>
      </c>
      <c r="G621" s="63">
        <v>43</v>
      </c>
      <c r="H621" s="38">
        <f>IFERROR(VLOOKUP(TRIM(E621),ACTIVIDADES!$A$1:$D$17,4,FALSE),"")</f>
        <v>1.5</v>
      </c>
      <c r="I621" s="35">
        <f t="shared" si="9"/>
        <v>64.5</v>
      </c>
    </row>
    <row r="622" spans="1:9" x14ac:dyDescent="0.3">
      <c r="A622" s="60">
        <v>46176</v>
      </c>
      <c r="B622" s="1">
        <v>10</v>
      </c>
      <c r="C622" s="40" t="s">
        <v>14</v>
      </c>
      <c r="D622" s="58" t="s">
        <v>64</v>
      </c>
      <c r="E622" s="58" t="s">
        <v>161</v>
      </c>
      <c r="F622" s="33" t="str">
        <f>IFERROR(VLOOKUP(TRIM(E622),ACTIVIDADES!$A$1:$D$17,2,FALSE),"NO ENCONTRADO")</f>
        <v xml:space="preserve">AHOYADO </v>
      </c>
      <c r="G622" s="63">
        <v>1</v>
      </c>
      <c r="H622" s="38">
        <f>IFERROR(VLOOKUP(TRIM(E622),ACTIVIDADES!$A$1:$D$17,4,FALSE),"")</f>
        <v>1.5</v>
      </c>
      <c r="I622" s="35">
        <f t="shared" si="9"/>
        <v>1.5</v>
      </c>
    </row>
    <row r="623" spans="1:9" x14ac:dyDescent="0.3">
      <c r="A623" s="60">
        <v>46176</v>
      </c>
      <c r="B623" s="1">
        <v>11</v>
      </c>
      <c r="C623" s="24" t="s">
        <v>85</v>
      </c>
      <c r="D623" s="58" t="s">
        <v>72</v>
      </c>
      <c r="E623" s="58" t="s">
        <v>161</v>
      </c>
      <c r="F623" s="33" t="str">
        <f>IFERROR(VLOOKUP(TRIM(E623),ACTIVIDADES!$A$1:$D$17,2,FALSE),"NO ENCONTRADO")</f>
        <v xml:space="preserve">AHOYADO </v>
      </c>
      <c r="G623" s="63">
        <v>0.5</v>
      </c>
      <c r="H623" s="38">
        <f>IFERROR(VLOOKUP(TRIM(E623),ACTIVIDADES!$A$1:$D$17,4,FALSE),"")</f>
        <v>1.5</v>
      </c>
      <c r="I623" s="35">
        <f t="shared" si="9"/>
        <v>0.75</v>
      </c>
    </row>
    <row r="624" spans="1:9" x14ac:dyDescent="0.3">
      <c r="A624" s="60">
        <v>46176</v>
      </c>
      <c r="B624" s="1">
        <v>12</v>
      </c>
      <c r="C624" s="24" t="s">
        <v>17</v>
      </c>
      <c r="D624" s="58" t="s">
        <v>46</v>
      </c>
      <c r="E624" s="58" t="s">
        <v>161</v>
      </c>
      <c r="F624" s="33" t="str">
        <f>IFERROR(VLOOKUP(TRIM(E624),ACTIVIDADES!$A$1:$D$17,2,FALSE),"NO ENCONTRADO")</f>
        <v xml:space="preserve">AHOYADO </v>
      </c>
      <c r="G624" s="63">
        <v>40</v>
      </c>
      <c r="H624" s="38">
        <f>IFERROR(VLOOKUP(TRIM(E624),ACTIVIDADES!$A$1:$D$17,4,FALSE),"")</f>
        <v>1.5</v>
      </c>
      <c r="I624" s="35">
        <f t="shared" si="9"/>
        <v>60</v>
      </c>
    </row>
    <row r="625" spans="1:9" x14ac:dyDescent="0.3">
      <c r="A625" s="60">
        <v>46176</v>
      </c>
      <c r="B625" s="1">
        <v>13</v>
      </c>
      <c r="C625" s="24" t="s">
        <v>18</v>
      </c>
      <c r="D625" s="58" t="s">
        <v>46</v>
      </c>
      <c r="E625" s="58" t="s">
        <v>161</v>
      </c>
      <c r="F625" s="33" t="str">
        <f>IFERROR(VLOOKUP(TRIM(E625),ACTIVIDADES!$A$1:$D$17,2,FALSE),"NO ENCONTRADO")</f>
        <v xml:space="preserve">AHOYADO </v>
      </c>
      <c r="G625" s="63">
        <v>1</v>
      </c>
      <c r="H625" s="38">
        <f>IFERROR(VLOOKUP(TRIM(E625),ACTIVIDADES!$A$1:$D$17,4,FALSE),"")</f>
        <v>1.5</v>
      </c>
      <c r="I625" s="35">
        <f t="shared" si="9"/>
        <v>1.5</v>
      </c>
    </row>
    <row r="626" spans="1:9" x14ac:dyDescent="0.3">
      <c r="A626" s="60">
        <v>46176</v>
      </c>
      <c r="B626" s="1">
        <v>14</v>
      </c>
      <c r="C626" s="24" t="s">
        <v>88</v>
      </c>
      <c r="D626" s="58" t="s">
        <v>72</v>
      </c>
      <c r="E626" s="58" t="s">
        <v>161</v>
      </c>
      <c r="F626" s="33" t="str">
        <f>IFERROR(VLOOKUP(TRIM(E626),ACTIVIDADES!$A$1:$D$17,2,FALSE),"NO ENCONTRADO")</f>
        <v xml:space="preserve">AHOYADO </v>
      </c>
      <c r="G626" s="63">
        <v>0.5</v>
      </c>
      <c r="H626" s="38">
        <f>IFERROR(VLOOKUP(TRIM(E626),ACTIVIDADES!$A$1:$D$17,4,FALSE),"")</f>
        <v>1.5</v>
      </c>
      <c r="I626" s="35">
        <f t="shared" si="9"/>
        <v>0.75</v>
      </c>
    </row>
    <row r="627" spans="1:9" x14ac:dyDescent="0.3">
      <c r="A627" s="60">
        <v>46176</v>
      </c>
      <c r="B627" s="1">
        <v>15</v>
      </c>
      <c r="C627" s="40" t="s">
        <v>20</v>
      </c>
      <c r="D627" s="58" t="s">
        <v>64</v>
      </c>
      <c r="E627" s="58" t="s">
        <v>161</v>
      </c>
      <c r="F627" s="33" t="str">
        <f>IFERROR(VLOOKUP(TRIM(E627),ACTIVIDADES!$A$1:$D$17,2,FALSE),"NO ENCONTRADO")</f>
        <v xml:space="preserve">AHOYADO </v>
      </c>
      <c r="G627" s="63">
        <v>1</v>
      </c>
      <c r="H627" s="38">
        <f>IFERROR(VLOOKUP(TRIM(E627),ACTIVIDADES!$A$1:$D$17,4,FALSE),"")</f>
        <v>1.5</v>
      </c>
      <c r="I627" s="35">
        <f t="shared" si="9"/>
        <v>1.5</v>
      </c>
    </row>
    <row r="628" spans="1:9" x14ac:dyDescent="0.3">
      <c r="A628" s="60">
        <v>46176</v>
      </c>
      <c r="B628" s="1">
        <v>16</v>
      </c>
      <c r="C628" s="24" t="s">
        <v>90</v>
      </c>
      <c r="D628" s="58" t="s">
        <v>46</v>
      </c>
      <c r="E628" s="58" t="s">
        <v>161</v>
      </c>
      <c r="F628" s="33" t="str">
        <f>IFERROR(VLOOKUP(TRIM(E628),ACTIVIDADES!$A$1:$D$17,2,FALSE),"NO ENCONTRADO")</f>
        <v xml:space="preserve">AHOYADO </v>
      </c>
      <c r="G628" s="63">
        <v>42</v>
      </c>
      <c r="H628" s="38">
        <f>IFERROR(VLOOKUP(TRIM(E628),ACTIVIDADES!$A$1:$D$17,4,FALSE),"")</f>
        <v>1.5</v>
      </c>
      <c r="I628" s="35">
        <f t="shared" si="9"/>
        <v>63</v>
      </c>
    </row>
    <row r="629" spans="1:9" x14ac:dyDescent="0.3">
      <c r="A629" s="60">
        <v>46176</v>
      </c>
      <c r="B629" s="1">
        <v>17</v>
      </c>
      <c r="C629" s="24" t="s">
        <v>91</v>
      </c>
      <c r="D629" s="58" t="s">
        <v>46</v>
      </c>
      <c r="E629" s="58" t="s">
        <v>161</v>
      </c>
      <c r="F629" s="33" t="str">
        <f>IFERROR(VLOOKUP(TRIM(E629),ACTIVIDADES!$A$1:$D$17,2,FALSE),"NO ENCONTRADO")</f>
        <v xml:space="preserve">AHOYADO </v>
      </c>
      <c r="G629" s="63">
        <v>50</v>
      </c>
      <c r="H629" s="38">
        <f>IFERROR(VLOOKUP(TRIM(E629),ACTIVIDADES!$A$1:$D$17,4,FALSE),"")</f>
        <v>1.5</v>
      </c>
      <c r="I629" s="35">
        <f t="shared" si="9"/>
        <v>75</v>
      </c>
    </row>
    <row r="630" spans="1:9" x14ac:dyDescent="0.3">
      <c r="A630" s="60">
        <v>46176</v>
      </c>
      <c r="B630" s="1">
        <v>18</v>
      </c>
      <c r="C630" s="30" t="s">
        <v>23</v>
      </c>
      <c r="D630" s="58" t="s">
        <v>46</v>
      </c>
      <c r="E630" s="58" t="s">
        <v>161</v>
      </c>
      <c r="F630" s="33" t="str">
        <f>IFERROR(VLOOKUP(TRIM(E630),ACTIVIDADES!$A$1:$D$17,2,FALSE),"NO ENCONTRADO")</f>
        <v xml:space="preserve">AHOYADO </v>
      </c>
      <c r="G630" s="63">
        <v>50</v>
      </c>
      <c r="H630" s="38">
        <f>IFERROR(VLOOKUP(TRIM(E630),ACTIVIDADES!$A$1:$D$17,4,FALSE),"")</f>
        <v>1.5</v>
      </c>
      <c r="I630" s="35">
        <f t="shared" si="9"/>
        <v>75</v>
      </c>
    </row>
    <row r="631" spans="1:9" x14ac:dyDescent="0.3">
      <c r="A631" s="60">
        <v>46176</v>
      </c>
      <c r="B631" s="1">
        <v>19</v>
      </c>
      <c r="C631" s="53" t="s">
        <v>92</v>
      </c>
      <c r="D631" s="58" t="s">
        <v>46</v>
      </c>
      <c r="E631" s="58" t="s">
        <v>161</v>
      </c>
      <c r="F631" s="33" t="str">
        <f>IFERROR(VLOOKUP(TRIM(E631),ACTIVIDADES!$A$1:$D$17,2,FALSE),"NO ENCONTRADO")</f>
        <v xml:space="preserve">AHOYADO </v>
      </c>
      <c r="G631" s="63">
        <v>50</v>
      </c>
      <c r="H631" s="38">
        <f>IFERROR(VLOOKUP(TRIM(E631),ACTIVIDADES!$A$1:$D$17,4,FALSE),"")</f>
        <v>1.5</v>
      </c>
      <c r="I631" s="35">
        <f t="shared" si="9"/>
        <v>75</v>
      </c>
    </row>
    <row r="632" spans="1:9" x14ac:dyDescent="0.3">
      <c r="A632" s="60">
        <v>46176</v>
      </c>
      <c r="B632" s="1">
        <v>20</v>
      </c>
      <c r="C632" s="24" t="s">
        <v>25</v>
      </c>
      <c r="D632" s="58" t="s">
        <v>46</v>
      </c>
      <c r="E632" s="58" t="s">
        <v>161</v>
      </c>
      <c r="F632" s="33" t="str">
        <f>IFERROR(VLOOKUP(TRIM(E632),ACTIVIDADES!$A$1:$D$17,2,FALSE),"NO ENCONTRADO")</f>
        <v xml:space="preserve">AHOYADO </v>
      </c>
      <c r="G632" s="63">
        <v>1</v>
      </c>
      <c r="H632" s="38">
        <f>IFERROR(VLOOKUP(TRIM(E632),ACTIVIDADES!$A$1:$D$17,4,FALSE),"")</f>
        <v>1.5</v>
      </c>
      <c r="I632" s="35">
        <f t="shared" si="9"/>
        <v>1.5</v>
      </c>
    </row>
    <row r="633" spans="1:9" x14ac:dyDescent="0.3">
      <c r="A633" s="60">
        <v>46176</v>
      </c>
      <c r="B633" s="1">
        <v>21</v>
      </c>
      <c r="C633" s="29" t="s">
        <v>26</v>
      </c>
      <c r="D633" s="58" t="s">
        <v>72</v>
      </c>
      <c r="E633" s="58" t="s">
        <v>161</v>
      </c>
      <c r="F633" s="33" t="str">
        <f>IFERROR(VLOOKUP(TRIM(E633),ACTIVIDADES!$A$1:$D$17,2,FALSE),"NO ENCONTRADO")</f>
        <v xml:space="preserve">AHOYADO </v>
      </c>
      <c r="G633" s="63">
        <v>0.5</v>
      </c>
      <c r="H633" s="38">
        <f>IFERROR(VLOOKUP(TRIM(E633),ACTIVIDADES!$A$1:$D$17,4,FALSE),"")</f>
        <v>1.5</v>
      </c>
      <c r="I633" s="35">
        <f t="shared" si="9"/>
        <v>0.75</v>
      </c>
    </row>
    <row r="634" spans="1:9" x14ac:dyDescent="0.3">
      <c r="A634" s="60">
        <v>46176</v>
      </c>
      <c r="B634" s="1">
        <v>22</v>
      </c>
      <c r="C634" s="24" t="s">
        <v>27</v>
      </c>
      <c r="D634" s="58" t="s">
        <v>72</v>
      </c>
      <c r="E634" s="58" t="s">
        <v>161</v>
      </c>
      <c r="F634" s="33" t="str">
        <f>IFERROR(VLOOKUP(TRIM(E634),ACTIVIDADES!$A$1:$D$17,2,FALSE),"NO ENCONTRADO")</f>
        <v xml:space="preserve">AHOYADO </v>
      </c>
      <c r="G634" s="63">
        <v>0.5</v>
      </c>
      <c r="H634" s="38">
        <f>IFERROR(VLOOKUP(TRIM(E634),ACTIVIDADES!$A$1:$D$17,4,FALSE),"")</f>
        <v>1.5</v>
      </c>
      <c r="I634" s="35">
        <f t="shared" si="9"/>
        <v>0.75</v>
      </c>
    </row>
    <row r="635" spans="1:9" x14ac:dyDescent="0.3">
      <c r="A635" s="60">
        <v>46176</v>
      </c>
      <c r="B635" s="1">
        <v>23</v>
      </c>
      <c r="C635" s="24" t="s">
        <v>96</v>
      </c>
      <c r="D635" s="58" t="s">
        <v>72</v>
      </c>
      <c r="E635" s="58" t="s">
        <v>161</v>
      </c>
      <c r="F635" s="33" t="str">
        <f>IFERROR(VLOOKUP(TRIM(E635),ACTIVIDADES!$A$1:$D$17,2,FALSE),"NO ENCONTRADO")</f>
        <v xml:space="preserve">AHOYADO </v>
      </c>
      <c r="G635" s="63">
        <v>0.5</v>
      </c>
      <c r="H635" s="38">
        <f>IFERROR(VLOOKUP(TRIM(E635),ACTIVIDADES!$A$1:$D$17,4,FALSE),"")</f>
        <v>1.5</v>
      </c>
      <c r="I635" s="35">
        <f t="shared" si="9"/>
        <v>0.75</v>
      </c>
    </row>
    <row r="636" spans="1:9" x14ac:dyDescent="0.3">
      <c r="A636" s="60">
        <v>46176</v>
      </c>
      <c r="B636" s="1">
        <v>24</v>
      </c>
      <c r="C636" s="24" t="s">
        <v>29</v>
      </c>
      <c r="D636" s="58" t="s">
        <v>46</v>
      </c>
      <c r="E636" s="58" t="s">
        <v>161</v>
      </c>
      <c r="F636" s="33" t="str">
        <f>IFERROR(VLOOKUP(TRIM(E636),ACTIVIDADES!$A$1:$D$17,2,FALSE),"NO ENCONTRADO")</f>
        <v xml:space="preserve">AHOYADO </v>
      </c>
      <c r="G636" s="63">
        <v>40</v>
      </c>
      <c r="H636" s="38">
        <f>IFERROR(VLOOKUP(TRIM(E636),ACTIVIDADES!$A$1:$D$17,4,FALSE),"")</f>
        <v>1.5</v>
      </c>
      <c r="I636" s="35">
        <f t="shared" si="9"/>
        <v>60</v>
      </c>
    </row>
    <row r="637" spans="1:9" x14ac:dyDescent="0.3">
      <c r="A637" s="60">
        <v>46176</v>
      </c>
      <c r="B637" s="1">
        <v>25</v>
      </c>
      <c r="C637" s="24" t="s">
        <v>30</v>
      </c>
      <c r="D637" s="58" t="s">
        <v>46</v>
      </c>
      <c r="E637" s="58" t="s">
        <v>161</v>
      </c>
      <c r="F637" s="33" t="str">
        <f>IFERROR(VLOOKUP(TRIM(E637),ACTIVIDADES!$A$1:$D$17,2,FALSE),"NO ENCONTRADO")</f>
        <v xml:space="preserve">AHOYADO </v>
      </c>
      <c r="G637" s="63">
        <v>20</v>
      </c>
      <c r="H637" s="38">
        <f>IFERROR(VLOOKUP(TRIM(E637),ACTIVIDADES!$A$1:$D$17,4,FALSE),"")</f>
        <v>1.5</v>
      </c>
      <c r="I637" s="35">
        <f t="shared" si="9"/>
        <v>30</v>
      </c>
    </row>
    <row r="638" spans="1:9" x14ac:dyDescent="0.3">
      <c r="A638" s="60">
        <v>46176</v>
      </c>
      <c r="B638" s="1">
        <v>26</v>
      </c>
      <c r="C638" s="24" t="s">
        <v>99</v>
      </c>
      <c r="D638" s="58" t="s">
        <v>46</v>
      </c>
      <c r="E638" s="58" t="s">
        <v>161</v>
      </c>
      <c r="F638" s="33" t="str">
        <f>IFERROR(VLOOKUP(TRIM(E638),ACTIVIDADES!$A$1:$D$17,2,FALSE),"NO ENCONTRADO")</f>
        <v xml:space="preserve">AHOYADO </v>
      </c>
      <c r="G638" s="63">
        <v>40</v>
      </c>
      <c r="H638" s="38">
        <f>IFERROR(VLOOKUP(TRIM(E638),ACTIVIDADES!$A$1:$D$17,4,FALSE),"")</f>
        <v>1.5</v>
      </c>
      <c r="I638" s="35">
        <f t="shared" si="9"/>
        <v>60</v>
      </c>
    </row>
    <row r="639" spans="1:9" x14ac:dyDescent="0.3">
      <c r="A639" s="60">
        <v>46176</v>
      </c>
      <c r="B639" s="1">
        <v>27</v>
      </c>
      <c r="C639" s="55" t="s">
        <v>100</v>
      </c>
      <c r="D639" s="58" t="s">
        <v>46</v>
      </c>
      <c r="E639" s="58" t="s">
        <v>161</v>
      </c>
      <c r="F639" s="33" t="str">
        <f>IFERROR(VLOOKUP(TRIM(E639),ACTIVIDADES!$A$1:$D$17,2,FALSE),"NO ENCONTRADO")</f>
        <v xml:space="preserve">AHOYADO </v>
      </c>
      <c r="G639" s="63">
        <v>1</v>
      </c>
      <c r="H639" s="38">
        <f>IFERROR(VLOOKUP(TRIM(E639),ACTIVIDADES!$A$1:$D$17,4,FALSE),"")</f>
        <v>1.5</v>
      </c>
      <c r="I639" s="35">
        <f t="shared" si="9"/>
        <v>1.5</v>
      </c>
    </row>
    <row r="640" spans="1:9" x14ac:dyDescent="0.3">
      <c r="A640" s="60">
        <v>46176</v>
      </c>
      <c r="B640" s="1">
        <v>28</v>
      </c>
      <c r="C640" s="24" t="s">
        <v>33</v>
      </c>
      <c r="D640" s="58" t="s">
        <v>46</v>
      </c>
      <c r="E640" s="58" t="s">
        <v>161</v>
      </c>
      <c r="F640" s="33" t="str">
        <f>IFERROR(VLOOKUP(TRIM(E640),ACTIVIDADES!$A$1:$D$17,2,FALSE),"NO ENCONTRADO")</f>
        <v xml:space="preserve">AHOYADO </v>
      </c>
      <c r="G640" s="63">
        <v>30</v>
      </c>
      <c r="H640" s="38">
        <f>IFERROR(VLOOKUP(TRIM(E640),ACTIVIDADES!$A$1:$D$17,4,FALSE),"")</f>
        <v>1.5</v>
      </c>
      <c r="I640" s="35">
        <f t="shared" si="9"/>
        <v>45</v>
      </c>
    </row>
    <row r="641" spans="1:9" x14ac:dyDescent="0.3">
      <c r="A641" s="60">
        <v>46176</v>
      </c>
      <c r="B641" s="1">
        <v>29</v>
      </c>
      <c r="C641" s="24" t="s">
        <v>102</v>
      </c>
      <c r="D641" s="58" t="s">
        <v>72</v>
      </c>
      <c r="E641" s="58" t="s">
        <v>161</v>
      </c>
      <c r="F641" s="33" t="str">
        <f>IFERROR(VLOOKUP(TRIM(E641),ACTIVIDADES!$A$1:$D$17,2,FALSE),"NO ENCONTRADO")</f>
        <v xml:space="preserve">AHOYADO </v>
      </c>
      <c r="G641" s="63">
        <v>0.5</v>
      </c>
      <c r="H641" s="38">
        <f>IFERROR(VLOOKUP(TRIM(E641),ACTIVIDADES!$A$1:$D$17,4,FALSE),"")</f>
        <v>1.5</v>
      </c>
      <c r="I641" s="35">
        <f t="shared" si="9"/>
        <v>0.75</v>
      </c>
    </row>
    <row r="642" spans="1:9" x14ac:dyDescent="0.3">
      <c r="A642" s="60">
        <v>46176</v>
      </c>
      <c r="B642" s="1">
        <v>30</v>
      </c>
      <c r="C642" s="24" t="s">
        <v>35</v>
      </c>
      <c r="D642" s="58" t="s">
        <v>46</v>
      </c>
      <c r="E642" s="58" t="s">
        <v>161</v>
      </c>
      <c r="F642" s="33" t="str">
        <f>IFERROR(VLOOKUP(TRIM(E642),ACTIVIDADES!$A$1:$D$17,2,FALSE),"NO ENCONTRADO")</f>
        <v xml:space="preserve">AHOYADO </v>
      </c>
      <c r="G642" s="63">
        <v>1</v>
      </c>
      <c r="H642" s="38">
        <f>IFERROR(VLOOKUP(TRIM(E642),ACTIVIDADES!$A$1:$D$17,4,FALSE),"")</f>
        <v>1.5</v>
      </c>
      <c r="I642" s="35">
        <f t="shared" ref="I642:I652" si="10">IFERROR(G642*H642,"")</f>
        <v>1.5</v>
      </c>
    </row>
    <row r="643" spans="1:9" x14ac:dyDescent="0.3">
      <c r="A643" s="60">
        <v>46176</v>
      </c>
      <c r="B643" s="1">
        <v>31</v>
      </c>
      <c r="C643" s="24" t="s">
        <v>9</v>
      </c>
      <c r="D643" s="58" t="s">
        <v>72</v>
      </c>
      <c r="E643" s="58" t="s">
        <v>161</v>
      </c>
      <c r="F643" s="33" t="str">
        <f>IFERROR(VLOOKUP(TRIM(E643),ACTIVIDADES!$A$1:$D$17,2,FALSE),"NO ENCONTRADO")</f>
        <v xml:space="preserve">AHOYADO </v>
      </c>
      <c r="G643" s="63">
        <v>0.5</v>
      </c>
      <c r="H643" s="38">
        <f>IFERROR(VLOOKUP(TRIM(E643),ACTIVIDADES!$A$1:$D$17,4,FALSE),"")</f>
        <v>1.5</v>
      </c>
      <c r="I643" s="35">
        <f t="shared" si="10"/>
        <v>0.75</v>
      </c>
    </row>
    <row r="644" spans="1:9" x14ac:dyDescent="0.3">
      <c r="A644" s="60">
        <v>46176</v>
      </c>
      <c r="B644" s="1">
        <v>32</v>
      </c>
      <c r="C644" s="55" t="s">
        <v>37</v>
      </c>
      <c r="D644" s="58" t="s">
        <v>46</v>
      </c>
      <c r="E644" s="58" t="s">
        <v>161</v>
      </c>
      <c r="F644" s="33" t="str">
        <f>IFERROR(VLOOKUP(TRIM(E644),ACTIVIDADES!$A$1:$D$17,2,FALSE),"NO ENCONTRADO")</f>
        <v xml:space="preserve">AHOYADO </v>
      </c>
      <c r="G644" s="63">
        <v>41</v>
      </c>
      <c r="H644" s="38">
        <f>IFERROR(VLOOKUP(TRIM(E644),ACTIVIDADES!$A$1:$D$17,4,FALSE),"")</f>
        <v>1.5</v>
      </c>
      <c r="I644" s="35">
        <f t="shared" si="10"/>
        <v>61.5</v>
      </c>
    </row>
    <row r="645" spans="1:9" x14ac:dyDescent="0.3">
      <c r="A645" s="60">
        <v>46176</v>
      </c>
      <c r="B645" s="1">
        <v>33</v>
      </c>
      <c r="C645" s="24" t="s">
        <v>7</v>
      </c>
      <c r="D645" s="58" t="s">
        <v>72</v>
      </c>
      <c r="E645" s="58" t="s">
        <v>161</v>
      </c>
      <c r="F645" s="33" t="str">
        <f>IFERROR(VLOOKUP(TRIM(E645),ACTIVIDADES!$A$1:$D$17,2,FALSE),"NO ENCONTRADO")</f>
        <v xml:space="preserve">AHOYADO </v>
      </c>
      <c r="G645" s="63">
        <v>0.5</v>
      </c>
      <c r="H645" s="38">
        <f>IFERROR(VLOOKUP(TRIM(E645),ACTIVIDADES!$A$1:$D$17,4,FALSE),"")</f>
        <v>1.5</v>
      </c>
      <c r="I645" s="35">
        <f t="shared" si="10"/>
        <v>0.75</v>
      </c>
    </row>
    <row r="646" spans="1:9" x14ac:dyDescent="0.3">
      <c r="A646" s="60">
        <v>46176</v>
      </c>
      <c r="B646" s="1">
        <v>34</v>
      </c>
      <c r="C646" s="24" t="s">
        <v>107</v>
      </c>
      <c r="D646" s="58" t="s">
        <v>72</v>
      </c>
      <c r="E646" s="58" t="s">
        <v>161</v>
      </c>
      <c r="F646" s="33" t="str">
        <f>IFERROR(VLOOKUP(TRIM(E646),ACTIVIDADES!$A$1:$D$17,2,FALSE),"NO ENCONTRADO")</f>
        <v xml:space="preserve">AHOYADO </v>
      </c>
      <c r="G646" s="63">
        <v>0.3</v>
      </c>
      <c r="H646" s="38">
        <f>IFERROR(VLOOKUP(TRIM(E646),ACTIVIDADES!$A$1:$D$17,4,FALSE),"")</f>
        <v>1.5</v>
      </c>
      <c r="I646" s="35">
        <f t="shared" si="10"/>
        <v>0.44999999999999996</v>
      </c>
    </row>
    <row r="647" spans="1:9" x14ac:dyDescent="0.3">
      <c r="A647" s="60">
        <v>46176</v>
      </c>
      <c r="B647" s="1">
        <v>35</v>
      </c>
      <c r="C647" s="24" t="s">
        <v>108</v>
      </c>
      <c r="D647" s="58" t="s">
        <v>72</v>
      </c>
      <c r="E647" s="58" t="s">
        <v>161</v>
      </c>
      <c r="F647" s="33" t="str">
        <f>IFERROR(VLOOKUP(TRIM(E647),ACTIVIDADES!$A$1:$D$17,2,FALSE),"NO ENCONTRADO")</f>
        <v xml:space="preserve">AHOYADO </v>
      </c>
      <c r="G647" s="63">
        <v>0.5</v>
      </c>
      <c r="H647" s="38">
        <f>IFERROR(VLOOKUP(TRIM(E647),ACTIVIDADES!$A$1:$D$17,4,FALSE),"")</f>
        <v>1.5</v>
      </c>
      <c r="I647" s="35">
        <f t="shared" si="10"/>
        <v>0.75</v>
      </c>
    </row>
    <row r="648" spans="1:9" x14ac:dyDescent="0.3">
      <c r="A648" s="60">
        <v>46176</v>
      </c>
      <c r="B648" s="1">
        <v>36</v>
      </c>
      <c r="C648" s="58" t="s">
        <v>109</v>
      </c>
      <c r="D648" s="58" t="s">
        <v>46</v>
      </c>
      <c r="E648" s="58" t="s">
        <v>161</v>
      </c>
      <c r="F648" s="33" t="str">
        <f>IFERROR(VLOOKUP(TRIM(E648),ACTIVIDADES!$A$1:$D$17,2,FALSE),"NO ENCONTRADO")</f>
        <v xml:space="preserve">AHOYADO </v>
      </c>
      <c r="G648" s="63">
        <v>39</v>
      </c>
      <c r="H648" s="38">
        <f>IFERROR(VLOOKUP(TRIM(E648),ACTIVIDADES!$A$1:$D$17,4,FALSE),"")</f>
        <v>1.5</v>
      </c>
      <c r="I648" s="35">
        <f t="shared" si="10"/>
        <v>58.5</v>
      </c>
    </row>
    <row r="649" spans="1:9" x14ac:dyDescent="0.3">
      <c r="A649" s="60">
        <v>46176</v>
      </c>
      <c r="B649" s="1">
        <v>37</v>
      </c>
      <c r="C649" s="53" t="s">
        <v>42</v>
      </c>
      <c r="D649" s="58" t="s">
        <v>72</v>
      </c>
      <c r="E649" s="58" t="s">
        <v>59</v>
      </c>
      <c r="F649" s="33" t="str">
        <f>IFERROR(VLOOKUP(TRIM(E649),ACTIVIDADES!$A$1:$D$17,2,FALSE),"NO ENCONTRADO")</f>
        <v>LIMPIA LOTE</v>
      </c>
      <c r="G649" s="63">
        <v>0.5</v>
      </c>
      <c r="H649" s="38">
        <f>IFERROR(VLOOKUP(TRIM(E649),ACTIVIDADES!$A$1:$D$17,4,FALSE),"")</f>
        <v>75</v>
      </c>
      <c r="I649" s="35">
        <f t="shared" si="10"/>
        <v>37.5</v>
      </c>
    </row>
    <row r="650" spans="1:9" x14ac:dyDescent="0.3">
      <c r="A650" s="60">
        <v>46176</v>
      </c>
      <c r="B650" s="1">
        <v>38</v>
      </c>
      <c r="C650" s="55" t="s">
        <v>43</v>
      </c>
      <c r="D650" s="58" t="s">
        <v>46</v>
      </c>
      <c r="E650" s="58" t="s">
        <v>75</v>
      </c>
      <c r="F650" s="33" t="str">
        <f>IFERROR(VLOOKUP(TRIM(E650),ACTIVIDADES!$A$1:$D$17,2,FALSE),"NO ENCONTRADO")</f>
        <v>TRAZADO PARA SIEMBRA</v>
      </c>
      <c r="G650" s="63">
        <v>1</v>
      </c>
      <c r="H650" s="38">
        <f>IFERROR(VLOOKUP(TRIM(E650),ACTIVIDADES!$A$1:$D$17,4,FALSE),"")</f>
        <v>75</v>
      </c>
      <c r="I650" s="35">
        <f t="shared" si="10"/>
        <v>75</v>
      </c>
    </row>
    <row r="651" spans="1:9" x14ac:dyDescent="0.3">
      <c r="A651" s="60">
        <v>46176</v>
      </c>
      <c r="B651" s="1">
        <v>39</v>
      </c>
      <c r="C651" s="24" t="s">
        <v>44</v>
      </c>
      <c r="D651" s="58" t="s">
        <v>46</v>
      </c>
      <c r="E651" s="58" t="s">
        <v>75</v>
      </c>
      <c r="F651" s="33" t="str">
        <f>IFERROR(VLOOKUP(TRIM(E651),ACTIVIDADES!$A$1:$D$17,2,FALSE),"NO ENCONTRADO")</f>
        <v>TRAZADO PARA SIEMBRA</v>
      </c>
      <c r="G651" s="63">
        <v>1</v>
      </c>
      <c r="H651" s="38">
        <f>IFERROR(VLOOKUP(TRIM(E651),ACTIVIDADES!$A$1:$D$17,4,FALSE),"")</f>
        <v>75</v>
      </c>
      <c r="I651" s="35">
        <f t="shared" si="10"/>
        <v>75</v>
      </c>
    </row>
    <row r="652" spans="1:9" x14ac:dyDescent="0.3">
      <c r="A652" s="60">
        <v>46176</v>
      </c>
      <c r="B652" s="55">
        <v>40</v>
      </c>
      <c r="C652" s="55" t="s">
        <v>156</v>
      </c>
      <c r="D652" s="58" t="s">
        <v>72</v>
      </c>
      <c r="E652" s="58" t="s">
        <v>59</v>
      </c>
      <c r="F652" s="33" t="str">
        <f>IFERROR(VLOOKUP(TRIM(E652),ACTIVIDADES!$A$1:$D$17,2,FALSE),"NO ENCONTRADO")</f>
        <v>LIMPIA LOTE</v>
      </c>
      <c r="G652" s="63">
        <v>0.5</v>
      </c>
      <c r="H652" s="38">
        <f>IFERROR(VLOOKUP(TRIM(E652),ACTIVIDADES!$A$1:$D$17,4,FALSE),"")</f>
        <v>75</v>
      </c>
      <c r="I652" s="35">
        <f t="shared" si="10"/>
        <v>37.5</v>
      </c>
    </row>
    <row r="653" spans="1:9" x14ac:dyDescent="0.3">
      <c r="I653" s="65">
        <f>SUM(I2:I652)</f>
        <v>44661.549999999996</v>
      </c>
    </row>
  </sheetData>
  <autoFilter ref="A1:I653" xr:uid="{FE648ED4-5769-463A-83D5-97ABF18DCE4D}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FDEF-713E-4144-B293-055E011FD581}">
  <dimension ref="A1:H44"/>
  <sheetViews>
    <sheetView tabSelected="1" workbookViewId="0">
      <selection activeCell="D1" sqref="D1"/>
    </sheetView>
  </sheetViews>
  <sheetFormatPr baseColWidth="10" defaultRowHeight="15.6" x14ac:dyDescent="0.3"/>
  <cols>
    <col min="1" max="1" width="32.5" style="24" bestFit="1" customWidth="1"/>
    <col min="2" max="2" width="11.3984375" style="35" bestFit="1" customWidth="1"/>
    <col min="3" max="3" width="14.09765625" style="35" customWidth="1"/>
    <col min="4" max="4" width="15" style="35" customWidth="1"/>
    <col min="5" max="5" width="14.796875" style="35" bestFit="1" customWidth="1"/>
    <col min="7" max="7" width="27.5" style="52" bestFit="1" customWidth="1"/>
  </cols>
  <sheetData>
    <row r="1" spans="1:8" x14ac:dyDescent="0.3">
      <c r="A1" s="27" t="s">
        <v>120</v>
      </c>
      <c r="B1" s="42" t="s">
        <v>144</v>
      </c>
      <c r="C1" s="42" t="s">
        <v>154</v>
      </c>
      <c r="D1" s="42" t="s">
        <v>142</v>
      </c>
      <c r="E1" s="42" t="s">
        <v>146</v>
      </c>
      <c r="F1" s="43" t="s">
        <v>141</v>
      </c>
      <c r="G1" s="48" t="s">
        <v>145</v>
      </c>
      <c r="H1" s="43"/>
    </row>
    <row r="2" spans="1:8" x14ac:dyDescent="0.3">
      <c r="A2" s="40" t="s">
        <v>14</v>
      </c>
      <c r="B2" s="41">
        <f>SUMIF(PLANILLA!$C$2:$C$999,PAGOS!A2,PLANILLA!$I$2:$I$999)</f>
        <v>1163</v>
      </c>
      <c r="C2" s="35">
        <f>75*2</f>
        <v>150</v>
      </c>
      <c r="D2" s="35">
        <v>40</v>
      </c>
      <c r="E2" s="35">
        <f>+B2+C2-D2</f>
        <v>1273</v>
      </c>
      <c r="F2" s="22"/>
      <c r="G2" s="49"/>
    </row>
    <row r="3" spans="1:8" x14ac:dyDescent="0.3">
      <c r="A3" s="24" t="s">
        <v>44</v>
      </c>
      <c r="B3" s="41">
        <f>SUMIF(PLANILLA!$C$2:$C$999,PAGOS!A3,PLANILLA!$I$2:$I$999)</f>
        <v>1276.5</v>
      </c>
      <c r="C3" s="35">
        <f t="shared" ref="C3:C35" si="0">75*2</f>
        <v>150</v>
      </c>
      <c r="D3" s="35">
        <v>0</v>
      </c>
      <c r="E3" s="35">
        <f t="shared" ref="E3:E43" si="1">+B3+C3-D3</f>
        <v>1426.5</v>
      </c>
      <c r="F3" s="22"/>
      <c r="G3" s="49"/>
    </row>
    <row r="4" spans="1:8" x14ac:dyDescent="0.3">
      <c r="A4" s="24" t="s">
        <v>90</v>
      </c>
      <c r="B4" s="41">
        <f>SUMIF(PLANILLA!$C$2:$C$999,PAGOS!A4,PLANILLA!$I$2:$I$999)</f>
        <v>1148</v>
      </c>
      <c r="C4" s="35">
        <f>75*1</f>
        <v>75</v>
      </c>
      <c r="D4" s="35">
        <v>40</v>
      </c>
      <c r="E4" s="35">
        <f t="shared" si="1"/>
        <v>1183</v>
      </c>
      <c r="F4" s="22" t="s">
        <v>147</v>
      </c>
      <c r="G4" s="50">
        <v>4029152135</v>
      </c>
    </row>
    <row r="5" spans="1:8" x14ac:dyDescent="0.3">
      <c r="A5" s="24" t="s">
        <v>33</v>
      </c>
      <c r="B5" s="41">
        <f>SUMIF(PLANILLA!$C$2:$C$999,PAGOS!A5,PLANILLA!$I$2:$I$999)</f>
        <v>1205</v>
      </c>
      <c r="C5" s="35">
        <f t="shared" si="0"/>
        <v>150</v>
      </c>
      <c r="D5" s="35">
        <v>0</v>
      </c>
      <c r="E5" s="35">
        <f t="shared" si="1"/>
        <v>1355</v>
      </c>
      <c r="F5" s="22" t="s">
        <v>147</v>
      </c>
      <c r="G5" s="51">
        <v>4029163700</v>
      </c>
    </row>
    <row r="6" spans="1:8" x14ac:dyDescent="0.3">
      <c r="A6" s="24" t="s">
        <v>91</v>
      </c>
      <c r="B6" s="41">
        <f>SUMIF(PLANILLA!$C$2:$C$999,PAGOS!A6,PLANILLA!$I$2:$I$999)</f>
        <v>1182.5</v>
      </c>
      <c r="C6" s="35">
        <f t="shared" si="0"/>
        <v>150</v>
      </c>
      <c r="D6" s="35">
        <v>40</v>
      </c>
      <c r="E6" s="35">
        <f t="shared" si="1"/>
        <v>1292.5</v>
      </c>
      <c r="F6" s="22"/>
      <c r="G6" s="51"/>
    </row>
    <row r="7" spans="1:8" x14ac:dyDescent="0.3">
      <c r="A7" s="24" t="s">
        <v>17</v>
      </c>
      <c r="B7" s="41">
        <f>SUMIF(PLANILLA!$C$2:$C$999,PAGOS!A7,PLANILLA!$I$2:$I$999)</f>
        <v>1049</v>
      </c>
      <c r="C7" s="35">
        <f>75*1</f>
        <v>75</v>
      </c>
      <c r="D7" s="35">
        <v>40</v>
      </c>
      <c r="E7" s="35">
        <f t="shared" si="1"/>
        <v>1084</v>
      </c>
      <c r="F7" s="22"/>
      <c r="G7" s="50"/>
    </row>
    <row r="8" spans="1:8" x14ac:dyDescent="0.3">
      <c r="A8" s="24" t="s">
        <v>85</v>
      </c>
      <c r="B8" s="41">
        <f>SUMIF(PLANILLA!$C$2:$C$999,PAGOS!A8,PLANILLA!$I$2:$I$999)</f>
        <v>1041.5</v>
      </c>
      <c r="C8" s="35">
        <f t="shared" si="0"/>
        <v>150</v>
      </c>
      <c r="D8" s="35">
        <v>0</v>
      </c>
      <c r="E8" s="35">
        <f t="shared" si="1"/>
        <v>1191.5</v>
      </c>
      <c r="F8" s="22" t="s">
        <v>147</v>
      </c>
      <c r="G8" s="50">
        <v>4029166385</v>
      </c>
    </row>
    <row r="9" spans="1:8" x14ac:dyDescent="0.3">
      <c r="A9" s="73" t="s">
        <v>23</v>
      </c>
      <c r="B9" s="41">
        <f>SUMIF(PLANILLA!$C$2:$C$999,PAGOS!A9,PLANILLA!$I$2:$I$999)</f>
        <v>1022.5</v>
      </c>
      <c r="C9" s="35">
        <f>75*2</f>
        <v>150</v>
      </c>
      <c r="D9" s="35">
        <v>40</v>
      </c>
      <c r="E9" s="35">
        <f t="shared" si="1"/>
        <v>1132.5</v>
      </c>
      <c r="F9" s="22" t="s">
        <v>147</v>
      </c>
      <c r="G9" s="49">
        <v>4029157433</v>
      </c>
    </row>
    <row r="10" spans="1:8" x14ac:dyDescent="0.3">
      <c r="A10" s="24" t="s">
        <v>84</v>
      </c>
      <c r="B10" s="41">
        <f>SUMIF(PLANILLA!$C$2:$C$999,PAGOS!A10,PLANILLA!$I$2:$I$999)</f>
        <v>871.5</v>
      </c>
      <c r="C10" s="35">
        <f>75*1</f>
        <v>75</v>
      </c>
      <c r="D10" s="35">
        <v>0</v>
      </c>
      <c r="E10" s="35">
        <f t="shared" si="1"/>
        <v>946.5</v>
      </c>
      <c r="F10" s="22" t="s">
        <v>147</v>
      </c>
      <c r="G10" s="49">
        <v>4029152117</v>
      </c>
    </row>
    <row r="11" spans="1:8" x14ac:dyDescent="0.3">
      <c r="A11" s="24" t="s">
        <v>29</v>
      </c>
      <c r="B11" s="41">
        <f>SUMIF(PLANILLA!$C$2:$C$999,PAGOS!A11,PLANILLA!$I$2:$I$999)</f>
        <v>1157</v>
      </c>
      <c r="C11" s="35">
        <f t="shared" si="0"/>
        <v>150</v>
      </c>
      <c r="D11" s="35">
        <v>0</v>
      </c>
      <c r="E11" s="35">
        <f t="shared" si="1"/>
        <v>1307</v>
      </c>
      <c r="F11" s="22" t="s">
        <v>147</v>
      </c>
      <c r="G11" s="49">
        <v>3029028657</v>
      </c>
    </row>
    <row r="12" spans="1:8" x14ac:dyDescent="0.3">
      <c r="A12" s="40" t="s">
        <v>20</v>
      </c>
      <c r="B12" s="41">
        <f>SUMIF(PLANILLA!$C$2:$C$999,PAGOS!A12,PLANILLA!$I$2:$I$999)</f>
        <v>1203</v>
      </c>
      <c r="C12" s="35">
        <f t="shared" si="0"/>
        <v>150</v>
      </c>
      <c r="D12" s="35">
        <v>0</v>
      </c>
      <c r="E12" s="35">
        <f t="shared" si="1"/>
        <v>1353</v>
      </c>
      <c r="F12" s="22"/>
      <c r="G12" s="50"/>
    </row>
    <row r="13" spans="1:8" x14ac:dyDescent="0.3">
      <c r="A13" s="24" t="s">
        <v>11</v>
      </c>
      <c r="B13" s="41">
        <f>SUMIF(PLANILLA!$C$2:$C$999,PAGOS!A13,PLANILLA!$I$2:$I$999)</f>
        <v>1228.25</v>
      </c>
      <c r="C13" s="35">
        <f t="shared" si="0"/>
        <v>150</v>
      </c>
      <c r="D13" s="35">
        <v>0</v>
      </c>
      <c r="E13" s="35">
        <f t="shared" si="1"/>
        <v>1378.25</v>
      </c>
      <c r="F13" s="22"/>
      <c r="G13" s="50"/>
    </row>
    <row r="14" spans="1:8" x14ac:dyDescent="0.3">
      <c r="A14" s="24" t="s">
        <v>88</v>
      </c>
      <c r="B14" s="41">
        <f>SUMIF(PLANILLA!$C$2:$C$999,PAGOS!A14,PLANILLA!$I$2:$I$999)</f>
        <v>966.5</v>
      </c>
      <c r="C14" s="35">
        <f t="shared" si="0"/>
        <v>150</v>
      </c>
      <c r="D14" s="35">
        <v>0</v>
      </c>
      <c r="E14" s="35">
        <f t="shared" si="1"/>
        <v>1116.5</v>
      </c>
      <c r="F14" s="22" t="s">
        <v>147</v>
      </c>
      <c r="G14" s="49">
        <v>4029166371</v>
      </c>
    </row>
    <row r="15" spans="1:8" x14ac:dyDescent="0.3">
      <c r="A15" s="24" t="s">
        <v>18</v>
      </c>
      <c r="B15" s="41">
        <f>SUMIF(PLANILLA!$C$2:$C$999,PAGOS!A15,PLANILLA!$I$2:$I$999)</f>
        <v>978</v>
      </c>
      <c r="C15" s="35">
        <f>75*2</f>
        <v>150</v>
      </c>
      <c r="D15" s="35">
        <v>0</v>
      </c>
      <c r="E15" s="35">
        <f t="shared" si="1"/>
        <v>1128</v>
      </c>
      <c r="F15" s="22" t="s">
        <v>147</v>
      </c>
      <c r="G15" s="49">
        <v>4029166399</v>
      </c>
    </row>
    <row r="16" spans="1:8" x14ac:dyDescent="0.3">
      <c r="A16" s="24" t="s">
        <v>99</v>
      </c>
      <c r="B16" s="41">
        <f>SUMIF(PLANILLA!$C$2:$C$999,PAGOS!A16,PLANILLA!$I$2:$I$999)</f>
        <v>1152.5</v>
      </c>
      <c r="C16" s="35">
        <f>75*1</f>
        <v>75</v>
      </c>
      <c r="D16" s="35">
        <v>0</v>
      </c>
      <c r="E16" s="35">
        <f t="shared" si="1"/>
        <v>1227.5</v>
      </c>
      <c r="F16" s="22"/>
      <c r="G16" s="51"/>
    </row>
    <row r="17" spans="1:7" x14ac:dyDescent="0.3">
      <c r="A17" s="24" t="s">
        <v>30</v>
      </c>
      <c r="B17" s="41">
        <f>SUMIF(PLANILLA!$C$2:$C$999,PAGOS!A17,PLANILLA!$I$2:$I$999)</f>
        <v>641.5</v>
      </c>
      <c r="C17" s="35">
        <f>75*0</f>
        <v>0</v>
      </c>
      <c r="D17" s="35">
        <v>0</v>
      </c>
      <c r="E17" s="35">
        <f t="shared" si="1"/>
        <v>641.5</v>
      </c>
      <c r="F17" s="22" t="s">
        <v>147</v>
      </c>
      <c r="G17" s="51">
        <v>3029028689</v>
      </c>
    </row>
    <row r="18" spans="1:7" x14ac:dyDescent="0.3">
      <c r="A18" s="40" t="s">
        <v>38</v>
      </c>
      <c r="B18" s="41">
        <f>SUMIF(PLANILLA!$C$2:$C$999,PAGOS!A18,PLANILLA!$I$2:$I$999)</f>
        <v>1171.5</v>
      </c>
      <c r="C18" s="35">
        <f t="shared" si="0"/>
        <v>150</v>
      </c>
      <c r="D18" s="35">
        <v>0</v>
      </c>
      <c r="E18" s="35">
        <f t="shared" si="1"/>
        <v>1321.5</v>
      </c>
      <c r="F18" s="22" t="s">
        <v>147</v>
      </c>
      <c r="G18" s="49">
        <v>4029165827</v>
      </c>
    </row>
    <row r="19" spans="1:7" x14ac:dyDescent="0.3">
      <c r="A19" s="24" t="s">
        <v>12</v>
      </c>
      <c r="B19" s="41">
        <f>SUMIF(PLANILLA!$C$2:$C$999,PAGOS!A19,PLANILLA!$I$2:$I$999)</f>
        <v>1276.5</v>
      </c>
      <c r="C19" s="35">
        <f>75*2</f>
        <v>150</v>
      </c>
      <c r="D19" s="35">
        <v>40</v>
      </c>
      <c r="E19" s="35">
        <f t="shared" si="1"/>
        <v>1386.5</v>
      </c>
      <c r="F19" s="22"/>
      <c r="G19" s="50"/>
    </row>
    <row r="20" spans="1:7" x14ac:dyDescent="0.3">
      <c r="A20" s="40" t="s">
        <v>10</v>
      </c>
      <c r="B20" s="41">
        <f>SUMIF(PLANILLA!$C$2:$C$999,PAGOS!A20,PLANILLA!$I$2:$I$999)</f>
        <v>1701.5</v>
      </c>
      <c r="C20" s="35">
        <f t="shared" si="0"/>
        <v>150</v>
      </c>
      <c r="D20" s="35">
        <v>0</v>
      </c>
      <c r="E20" s="35">
        <f t="shared" si="1"/>
        <v>1851.5</v>
      </c>
      <c r="F20" s="22"/>
      <c r="G20" s="50"/>
    </row>
    <row r="21" spans="1:7" x14ac:dyDescent="0.3">
      <c r="A21" s="40" t="s">
        <v>22</v>
      </c>
      <c r="B21" s="41">
        <f>SUMIF(PLANILLA!$C$2:$C$999,PAGOS!A21,PLANILLA!$I$2:$I$999)</f>
        <v>1676.5</v>
      </c>
      <c r="C21" s="35">
        <f t="shared" si="0"/>
        <v>150</v>
      </c>
      <c r="D21" s="35">
        <v>0</v>
      </c>
      <c r="E21" s="35">
        <f t="shared" si="1"/>
        <v>1826.5</v>
      </c>
      <c r="F21" s="22"/>
      <c r="G21" s="51"/>
    </row>
    <row r="22" spans="1:7" x14ac:dyDescent="0.3">
      <c r="A22" s="24" t="s">
        <v>82</v>
      </c>
      <c r="B22" s="41">
        <f>SUMIF(PLANILLA!$C$2:$C$999,PAGOS!A22,PLANILLA!$I$2:$I$999)</f>
        <v>1198.5</v>
      </c>
      <c r="C22" s="35">
        <f>75*2</f>
        <v>150</v>
      </c>
      <c r="D22" s="35">
        <v>40</v>
      </c>
      <c r="E22" s="35">
        <f t="shared" si="1"/>
        <v>1308.5</v>
      </c>
      <c r="F22" s="22"/>
      <c r="G22" s="50"/>
    </row>
    <row r="23" spans="1:7" x14ac:dyDescent="0.3">
      <c r="A23" s="24" t="s">
        <v>43</v>
      </c>
      <c r="B23" s="41">
        <f>SUMIF(PLANILLA!$C$2:$C$999,PAGOS!A23,PLANILLA!$I$2:$I$999)</f>
        <v>994</v>
      </c>
      <c r="C23" s="35">
        <f>75*1</f>
        <v>75</v>
      </c>
      <c r="D23" s="35">
        <v>0</v>
      </c>
      <c r="E23" s="35">
        <f t="shared" si="1"/>
        <v>1069</v>
      </c>
      <c r="F23" s="22" t="s">
        <v>147</v>
      </c>
      <c r="G23" s="49">
        <v>4029161954</v>
      </c>
    </row>
    <row r="24" spans="1:7" x14ac:dyDescent="0.3">
      <c r="A24" s="24" t="s">
        <v>100</v>
      </c>
      <c r="B24" s="41">
        <f>SUMIF(PLANILLA!$C$2:$C$999,PAGOS!A24,PLANILLA!$I$2:$I$999)</f>
        <v>453</v>
      </c>
      <c r="C24" s="35">
        <f>75*0</f>
        <v>0</v>
      </c>
      <c r="D24" s="35">
        <v>40</v>
      </c>
      <c r="E24" s="35">
        <f t="shared" si="1"/>
        <v>413</v>
      </c>
      <c r="F24" s="22" t="s">
        <v>147</v>
      </c>
      <c r="G24" s="49">
        <v>4029159358</v>
      </c>
    </row>
    <row r="25" spans="1:7" x14ac:dyDescent="0.3">
      <c r="A25" s="24" t="s">
        <v>35</v>
      </c>
      <c r="B25" s="41">
        <f>SUMIF(PLANILLA!$C$2:$C$999,PAGOS!A25,PLANILLA!$I$2:$I$999)</f>
        <v>1202.25</v>
      </c>
      <c r="C25" s="35">
        <f t="shared" si="0"/>
        <v>150</v>
      </c>
      <c r="D25" s="35">
        <v>40</v>
      </c>
      <c r="E25" s="35">
        <f t="shared" si="1"/>
        <v>1312.25</v>
      </c>
      <c r="F25" s="22"/>
      <c r="G25" s="50"/>
    </row>
    <row r="26" spans="1:7" x14ac:dyDescent="0.3">
      <c r="A26" s="24" t="s">
        <v>92</v>
      </c>
      <c r="B26" s="41">
        <f>SUMIF(PLANILLA!$C$2:$C$999,PAGOS!A26,PLANILLA!$I$2:$I$999)</f>
        <v>901.5</v>
      </c>
      <c r="C26" s="35">
        <f>75*1</f>
        <v>75</v>
      </c>
      <c r="D26" s="35">
        <v>0</v>
      </c>
      <c r="E26" s="35">
        <f t="shared" si="1"/>
        <v>976.5</v>
      </c>
      <c r="F26" s="22" t="s">
        <v>147</v>
      </c>
      <c r="G26" s="49">
        <v>4029152167</v>
      </c>
    </row>
    <row r="27" spans="1:7" x14ac:dyDescent="0.3">
      <c r="A27" s="24" t="s">
        <v>7</v>
      </c>
      <c r="B27" s="41">
        <f>SUMIF(PLANILLA!$C$2:$C$999,PAGOS!A27,PLANILLA!$I$2:$I$999)</f>
        <v>1064</v>
      </c>
      <c r="C27" s="35">
        <f>75*1</f>
        <v>75</v>
      </c>
      <c r="D27" s="35">
        <v>0</v>
      </c>
      <c r="E27" s="35">
        <f t="shared" si="1"/>
        <v>1139</v>
      </c>
      <c r="F27" s="22" t="s">
        <v>147</v>
      </c>
      <c r="G27" s="50">
        <v>4029152153</v>
      </c>
    </row>
    <row r="28" spans="1:7" x14ac:dyDescent="0.3">
      <c r="A28" s="24" t="s">
        <v>102</v>
      </c>
      <c r="B28" s="41">
        <f>SUMIF(PLANILLA!$C$2:$C$999,PAGOS!A28,PLANILLA!$I$2:$I$999)</f>
        <v>1191.5</v>
      </c>
      <c r="C28" s="35">
        <f>75*2</f>
        <v>150</v>
      </c>
      <c r="D28" s="35">
        <v>0</v>
      </c>
      <c r="E28" s="35">
        <f t="shared" si="1"/>
        <v>1341.5</v>
      </c>
      <c r="F28" s="22"/>
      <c r="G28" s="51"/>
    </row>
    <row r="29" spans="1:7" x14ac:dyDescent="0.3">
      <c r="A29" s="24" t="s">
        <v>27</v>
      </c>
      <c r="B29" s="41">
        <f>SUMIF(PLANILLA!$C$2:$C$999,PAGOS!A29,PLANILLA!$I$2:$I$999)</f>
        <v>1139</v>
      </c>
      <c r="C29" s="35">
        <f>75*2</f>
        <v>150</v>
      </c>
      <c r="D29" s="35">
        <v>0</v>
      </c>
      <c r="E29" s="35">
        <f t="shared" si="1"/>
        <v>1289</v>
      </c>
      <c r="F29" s="22"/>
      <c r="G29" s="51"/>
    </row>
    <row r="30" spans="1:7" x14ac:dyDescent="0.3">
      <c r="A30" s="40" t="s">
        <v>6</v>
      </c>
      <c r="B30" s="41">
        <f>SUMIF(PLANILLA!$C$2:$C$999,PAGOS!A30,PLANILLA!$I$2:$I$999)</f>
        <v>1801.5</v>
      </c>
      <c r="C30" s="35">
        <f t="shared" si="0"/>
        <v>150</v>
      </c>
      <c r="D30" s="35">
        <v>0</v>
      </c>
      <c r="E30" s="35">
        <f t="shared" si="1"/>
        <v>1951.5</v>
      </c>
      <c r="F30" s="22" t="s">
        <v>147</v>
      </c>
      <c r="G30" s="49">
        <v>4029152218</v>
      </c>
    </row>
    <row r="31" spans="1:7" x14ac:dyDescent="0.3">
      <c r="A31" s="24" t="s">
        <v>9</v>
      </c>
      <c r="B31" s="41">
        <f>SUMIF(PLANILLA!$C$2:$C$999,PAGOS!A31,PLANILLA!$I$2:$I$999)</f>
        <v>1190.75</v>
      </c>
      <c r="C31" s="35">
        <f>75*2</f>
        <v>150</v>
      </c>
      <c r="D31" s="35">
        <v>0</v>
      </c>
      <c r="E31" s="35">
        <f t="shared" si="1"/>
        <v>1340.75</v>
      </c>
      <c r="F31" s="22" t="s">
        <v>147</v>
      </c>
      <c r="G31" s="50">
        <v>4029151948</v>
      </c>
    </row>
    <row r="32" spans="1:7" x14ac:dyDescent="0.3">
      <c r="A32" s="24" t="s">
        <v>108</v>
      </c>
      <c r="B32" s="41">
        <f>SUMIF(PLANILLA!$C$2:$C$999,PAGOS!A32,PLANILLA!$I$2:$I$999)</f>
        <v>1116.5</v>
      </c>
      <c r="C32" s="35">
        <f>75*2</f>
        <v>150</v>
      </c>
      <c r="D32" s="35">
        <v>0</v>
      </c>
      <c r="E32" s="35">
        <f t="shared" si="1"/>
        <v>1266.5</v>
      </c>
      <c r="F32" s="22" t="s">
        <v>147</v>
      </c>
      <c r="G32" s="51">
        <v>4029161922</v>
      </c>
    </row>
    <row r="33" spans="1:7" x14ac:dyDescent="0.3">
      <c r="A33" s="24" t="s">
        <v>107</v>
      </c>
      <c r="B33" s="41">
        <f>SUMIF(PLANILLA!$C$2:$C$999,PAGOS!A33,PLANILLA!$I$2:$I$999)</f>
        <v>1046.2</v>
      </c>
      <c r="C33" s="35">
        <f>75*1</f>
        <v>75</v>
      </c>
      <c r="D33" s="35">
        <v>0</v>
      </c>
      <c r="E33" s="35">
        <f t="shared" si="1"/>
        <v>1121.2</v>
      </c>
      <c r="F33" s="22" t="s">
        <v>147</v>
      </c>
      <c r="G33" s="49">
        <v>4029159110</v>
      </c>
    </row>
    <row r="34" spans="1:7" x14ac:dyDescent="0.3">
      <c r="A34" s="24" t="s">
        <v>37</v>
      </c>
      <c r="B34" s="41">
        <f>SUMIF(PLANILLA!$C$2:$C$999,PAGOS!A34,PLANILLA!$I$2:$I$999)</f>
        <v>1002.5</v>
      </c>
      <c r="C34" s="35">
        <f>75*0</f>
        <v>0</v>
      </c>
      <c r="D34" s="35">
        <v>40</v>
      </c>
      <c r="E34" s="35">
        <f t="shared" si="1"/>
        <v>962.5</v>
      </c>
      <c r="F34" s="22" t="s">
        <v>147</v>
      </c>
      <c r="G34" s="49">
        <v>4029157516</v>
      </c>
    </row>
    <row r="35" spans="1:7" x14ac:dyDescent="0.3">
      <c r="A35" s="40" t="s">
        <v>36</v>
      </c>
      <c r="B35" s="41">
        <f>SUMIF(PLANILLA!$C$2:$C$999,PAGOS!A35,PLANILLA!$I$2:$I$999)</f>
        <v>1171.5</v>
      </c>
      <c r="C35" s="35">
        <f t="shared" si="0"/>
        <v>150</v>
      </c>
      <c r="D35" s="35">
        <v>0</v>
      </c>
      <c r="E35" s="35">
        <f t="shared" si="1"/>
        <v>1321.5</v>
      </c>
      <c r="F35" s="22" t="s">
        <v>147</v>
      </c>
      <c r="G35" s="49">
        <v>4029165845</v>
      </c>
    </row>
    <row r="36" spans="1:7" x14ac:dyDescent="0.3">
      <c r="A36" s="24" t="s">
        <v>42</v>
      </c>
      <c r="B36" s="41">
        <f>SUMIF(PLANILLA!$C$2:$C$999,PAGOS!A36,PLANILLA!$I$2:$I$999)</f>
        <v>1153.25</v>
      </c>
      <c r="C36" s="35">
        <f>75*1</f>
        <v>75</v>
      </c>
      <c r="D36" s="35">
        <v>0</v>
      </c>
      <c r="E36" s="35">
        <f t="shared" si="1"/>
        <v>1228.25</v>
      </c>
      <c r="F36" s="22" t="s">
        <v>147</v>
      </c>
      <c r="G36" s="50">
        <v>3029026017</v>
      </c>
    </row>
    <row r="37" spans="1:7" x14ac:dyDescent="0.3">
      <c r="A37" s="24" t="s">
        <v>96</v>
      </c>
      <c r="B37" s="41">
        <f>SUMIF(PLANILLA!$C$2:$C$999,PAGOS!A37,PLANILLA!$I$2:$I$999)</f>
        <v>1116.5</v>
      </c>
      <c r="C37" s="35">
        <f>75*1</f>
        <v>75</v>
      </c>
      <c r="D37" s="35">
        <v>0</v>
      </c>
      <c r="E37" s="35">
        <f t="shared" si="1"/>
        <v>1191.5</v>
      </c>
      <c r="F37" s="22" t="s">
        <v>147</v>
      </c>
      <c r="G37" s="50">
        <v>4396067306</v>
      </c>
    </row>
    <row r="38" spans="1:7" x14ac:dyDescent="0.3">
      <c r="A38" s="24" t="s">
        <v>25</v>
      </c>
      <c r="B38" s="41">
        <f>SUMIF(PLANILLA!$C$2:$C$999,PAGOS!A38,PLANILLA!$I$2:$I$999)</f>
        <v>1128</v>
      </c>
      <c r="C38" s="35">
        <f>75*2</f>
        <v>150</v>
      </c>
      <c r="D38" s="35">
        <v>0</v>
      </c>
      <c r="E38" s="35">
        <f t="shared" si="1"/>
        <v>1278</v>
      </c>
      <c r="F38" s="22" t="s">
        <v>147</v>
      </c>
      <c r="G38" s="49">
        <v>4015403844</v>
      </c>
    </row>
    <row r="39" spans="1:7" x14ac:dyDescent="0.3">
      <c r="A39" s="24" t="s">
        <v>109</v>
      </c>
      <c r="B39" s="41">
        <f>SUMIF(PLANILLA!$C$2:$C$999,PAGOS!A39,PLANILLA!$I$2:$I$999)</f>
        <v>1008.5</v>
      </c>
      <c r="C39" s="35">
        <f>75*2</f>
        <v>150</v>
      </c>
      <c r="D39" s="35">
        <v>40</v>
      </c>
      <c r="E39" s="35">
        <f t="shared" si="1"/>
        <v>1118.5</v>
      </c>
      <c r="F39" s="22" t="s">
        <v>147</v>
      </c>
      <c r="G39" s="49">
        <v>3029029349</v>
      </c>
    </row>
    <row r="40" spans="1:7" x14ac:dyDescent="0.3">
      <c r="A40" s="24" t="s">
        <v>26</v>
      </c>
      <c r="B40" s="41">
        <f>SUMIF(PLANILLA!$C$2:$C$999,PAGOS!A40,PLANILLA!$I$2:$I$999)</f>
        <v>1116.5</v>
      </c>
      <c r="C40" s="35">
        <f>75*2</f>
        <v>150</v>
      </c>
      <c r="D40" s="35">
        <v>0</v>
      </c>
      <c r="E40" s="35">
        <f t="shared" si="1"/>
        <v>1266.5</v>
      </c>
      <c r="F40" s="22" t="s">
        <v>147</v>
      </c>
      <c r="G40" s="49">
        <v>4029165592</v>
      </c>
    </row>
    <row r="41" spans="1:7" s="55" customFormat="1" x14ac:dyDescent="0.3">
      <c r="A41" s="55" t="s">
        <v>156</v>
      </c>
      <c r="B41" s="41">
        <f>SUMIF(PLANILLA!$C$2:$C$999,PAGOS!A41,PLANILLA!$I$2:$I$999)</f>
        <v>333.25</v>
      </c>
      <c r="C41" s="35">
        <f>75*0</f>
        <v>0</v>
      </c>
      <c r="D41" s="35">
        <v>0</v>
      </c>
      <c r="E41" s="35">
        <f t="shared" ref="E41:E42" si="2">+B41+C41-D41</f>
        <v>333.25</v>
      </c>
    </row>
    <row r="42" spans="1:7" s="55" customFormat="1" x14ac:dyDescent="0.3">
      <c r="A42" s="55" t="s">
        <v>157</v>
      </c>
      <c r="B42" s="41">
        <f>SUMIF(PLANILLA!$C$2:$C$999,PAGOS!A42,PLANILLA!$I$2:$I$999)</f>
        <v>220.6</v>
      </c>
      <c r="C42" s="35">
        <f>75*0</f>
        <v>0</v>
      </c>
      <c r="D42" s="35">
        <v>0</v>
      </c>
      <c r="E42" s="35">
        <f t="shared" si="2"/>
        <v>220.6</v>
      </c>
    </row>
    <row r="43" spans="1:7" s="43" customFormat="1" x14ac:dyDescent="0.3">
      <c r="A43" s="9"/>
      <c r="B43" s="65">
        <f>SUM(B2:B42)</f>
        <v>44661.549999999996</v>
      </c>
      <c r="C43" s="42"/>
      <c r="D43" s="42"/>
      <c r="E43" s="42">
        <f t="shared" si="1"/>
        <v>44661.549999999996</v>
      </c>
      <c r="G43" s="48"/>
    </row>
    <row r="44" spans="1:7" s="43" customFormat="1" x14ac:dyDescent="0.3">
      <c r="A44" s="9"/>
      <c r="B44" s="65">
        <f>+PLANILLA!I653</f>
        <v>44661.549999999996</v>
      </c>
      <c r="C44" s="42"/>
      <c r="D44" s="42"/>
      <c r="E44" s="42"/>
      <c r="G44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 MANUEL FLORES</vt:lpstr>
      <vt:lpstr>DATA ORIGINAL</vt:lpstr>
      <vt:lpstr>ACTIVIDADES</vt:lpstr>
      <vt:lpstr>PLANILLA</vt:lpstr>
      <vt:lpstr>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Arimany</dc:creator>
  <cp:lastModifiedBy>Manuel Flores</cp:lastModifiedBy>
  <cp:lastPrinted>2026-05-25T14:53:03Z</cp:lastPrinted>
  <dcterms:created xsi:type="dcterms:W3CDTF">2026-05-07T16:22:25Z</dcterms:created>
  <dcterms:modified xsi:type="dcterms:W3CDTF">2026-06-05T17:55:21Z</dcterms:modified>
</cp:coreProperties>
</file>