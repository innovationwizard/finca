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cg22-my.sharepoint.com/personal/luis_castellanos_fincadanilandia_com_gt/Documents/Documentos/"/>
    </mc:Choice>
  </mc:AlternateContent>
  <xr:revisionPtr revIDLastSave="346" documentId="8_{E24243D3-FF56-404D-B8CF-7FAA5918C040}" xr6:coauthVersionLast="47" xr6:coauthVersionMax="47" xr10:uidLastSave="{D80EC2A2-C615-4830-993A-C03C82BF2C2D}"/>
  <bookViews>
    <workbookView xWindow="-108" yWindow="-108" windowWidth="23256" windowHeight="12456" activeTab="2" xr2:uid="{00000000-000D-0000-FFFF-FFFF00000000}"/>
  </bookViews>
  <sheets>
    <sheet name="RI " sheetId="7" state="hidden" r:id="rId1"/>
    <sheet name="Hoja1" sheetId="8" state="hidden" r:id="rId2"/>
    <sheet name="5. INGRESOS DE CAFÉ" sheetId="9" r:id="rId3"/>
    <sheet name="Hoja2" sheetId="11" r:id="rId4"/>
    <sheet name="6. INGRESO DE COMPRA DE CAFE" sheetId="10" r:id="rId5"/>
    <sheet name="DATOS" sheetId="2" r:id="rId6"/>
  </sheets>
  <definedNames>
    <definedName name="_xlnm._FilterDatabase" localSheetId="2" hidden="1">'5. INGRESOS DE CAFÉ'!$A$5:$J$175</definedName>
    <definedName name="_xlnm.Print_Area" localSheetId="2">'5. INGRESOS DE CAFÉ'!$A$1:$J$79</definedName>
    <definedName name="_xlnm.Print_Area" localSheetId="0">'RI '!$A$1:$F$31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4" i="9" l="1"/>
  <c r="F145" i="9"/>
  <c r="F142" i="9"/>
  <c r="F151" i="9"/>
  <c r="G151" i="9" s="1"/>
  <c r="F152" i="9"/>
  <c r="G152" i="9" s="1"/>
  <c r="F126" i="9"/>
  <c r="G126" i="9" s="1"/>
  <c r="F125" i="9"/>
  <c r="F124" i="9"/>
  <c r="F106" i="9"/>
  <c r="F107" i="9"/>
  <c r="F108" i="9"/>
  <c r="F109" i="9"/>
  <c r="G109" i="9" s="1"/>
  <c r="F110" i="9"/>
  <c r="F111" i="9"/>
  <c r="F112" i="9"/>
  <c r="F113" i="9"/>
  <c r="F114" i="9"/>
  <c r="F115" i="9"/>
  <c r="F116" i="9"/>
  <c r="F117" i="9"/>
  <c r="F118" i="9"/>
  <c r="G118" i="9" s="1"/>
  <c r="F119" i="9"/>
  <c r="F120" i="9"/>
  <c r="G120" i="9" s="1"/>
  <c r="F121" i="9"/>
  <c r="G121" i="9" s="1"/>
  <c r="F122" i="9"/>
  <c r="F105" i="9"/>
  <c r="G105" i="9" s="1"/>
  <c r="F104" i="9"/>
  <c r="G104" i="9" s="1"/>
  <c r="F101" i="9"/>
  <c r="G101" i="9" s="1"/>
  <c r="E150" i="9"/>
  <c r="G150" i="9" s="1"/>
  <c r="F143" i="9"/>
  <c r="G143" i="9" s="1"/>
  <c r="G141" i="9"/>
  <c r="G140" i="9"/>
  <c r="G139" i="9"/>
  <c r="G138" i="9"/>
  <c r="G137" i="9"/>
  <c r="G136" i="9"/>
  <c r="G135" i="9"/>
  <c r="E140" i="9"/>
  <c r="E87" i="9"/>
  <c r="F85" i="9"/>
  <c r="G73" i="9"/>
  <c r="G71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8" i="9"/>
  <c r="G69" i="9"/>
  <c r="G70" i="9"/>
  <c r="G75" i="9"/>
  <c r="G76" i="9"/>
  <c r="G77" i="9"/>
  <c r="G78" i="9"/>
  <c r="G79" i="9"/>
  <c r="G80" i="9"/>
  <c r="G85" i="9"/>
  <c r="G88" i="9"/>
  <c r="G89" i="9"/>
  <c r="G90" i="9"/>
  <c r="G91" i="9"/>
  <c r="G92" i="9"/>
  <c r="G93" i="9"/>
  <c r="G94" i="9"/>
  <c r="G95" i="9"/>
  <c r="G96" i="9"/>
  <c r="G97" i="9"/>
  <c r="G98" i="9"/>
  <c r="G100" i="9"/>
  <c r="G102" i="9"/>
  <c r="G106" i="9"/>
  <c r="G107" i="9"/>
  <c r="G108" i="9"/>
  <c r="G110" i="9"/>
  <c r="G111" i="9"/>
  <c r="G112" i="9"/>
  <c r="G113" i="9"/>
  <c r="G114" i="9"/>
  <c r="G115" i="9"/>
  <c r="G116" i="9"/>
  <c r="G127" i="9"/>
  <c r="G129" i="9"/>
  <c r="G131" i="9"/>
  <c r="G133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4" i="9"/>
  <c r="G8" i="9"/>
  <c r="G9" i="9"/>
  <c r="G10" i="9"/>
  <c r="G11" i="9"/>
  <c r="G12" i="9"/>
  <c r="G13" i="9"/>
  <c r="G7" i="9"/>
  <c r="G6" i="9"/>
  <c r="C171" i="9" s="1"/>
  <c r="E125" i="9" l="1"/>
  <c r="G125" i="9" s="1"/>
  <c r="E124" i="9"/>
  <c r="G124" i="9" s="1"/>
  <c r="G123" i="9"/>
  <c r="E122" i="9"/>
  <c r="G122" i="9" s="1"/>
  <c r="E119" i="9"/>
  <c r="G119" i="9" s="1"/>
  <c r="E117" i="9"/>
  <c r="G117" i="9" s="1"/>
  <c r="A4" i="11" l="1"/>
  <c r="G87" i="9" l="1"/>
  <c r="E86" i="9"/>
  <c r="G86" i="9" s="1"/>
  <c r="G84" i="9"/>
  <c r="G83" i="9"/>
  <c r="J12" i="9"/>
  <c r="J13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0" i="9" s="1"/>
  <c r="J41" i="9" s="1"/>
  <c r="J42" i="9" s="1"/>
  <c r="J43" i="9" s="1"/>
  <c r="J44" i="9" s="1"/>
  <c r="J45" i="9" s="1"/>
  <c r="J46" i="9" s="1"/>
  <c r="J47" i="9" s="1"/>
  <c r="J48" i="9" s="1"/>
  <c r="J49" i="9" s="1"/>
  <c r="J50" i="9" s="1"/>
  <c r="J51" i="9" s="1"/>
  <c r="J52" i="9" s="1"/>
  <c r="J53" i="9" s="1"/>
  <c r="J54" i="9" s="1"/>
  <c r="J55" i="9" s="1"/>
  <c r="J56" i="9" s="1"/>
  <c r="J57" i="9" s="1"/>
  <c r="J58" i="9" s="1"/>
  <c r="J59" i="9" s="1"/>
  <c r="J60" i="9" s="1"/>
  <c r="J61" i="9" s="1"/>
  <c r="J62" i="9" s="1"/>
  <c r="J63" i="9" s="1"/>
  <c r="J64" i="9" s="1"/>
  <c r="J65" i="9" s="1"/>
  <c r="J66" i="9" s="1"/>
  <c r="J67" i="9" s="1"/>
  <c r="J68" i="9" s="1"/>
  <c r="J69" i="9" s="1"/>
  <c r="J70" i="9" s="1"/>
  <c r="J71" i="9" s="1"/>
  <c r="J72" i="9" s="1"/>
  <c r="J73" i="9" s="1"/>
  <c r="J74" i="9" s="1"/>
  <c r="J75" i="9" s="1"/>
  <c r="J76" i="9" s="1"/>
  <c r="J77" i="9" s="1"/>
  <c r="J78" i="9" s="1"/>
  <c r="J79" i="9" s="1"/>
  <c r="J80" i="9" s="1"/>
  <c r="G82" i="9"/>
  <c r="E81" i="9"/>
  <c r="G81" i="9" s="1"/>
  <c r="E6" i="10"/>
  <c r="F14" i="7"/>
  <c r="F12" i="7"/>
  <c r="F11" i="7"/>
  <c r="J81" i="9" l="1"/>
  <c r="J82" i="9" s="1"/>
  <c r="J83" i="9" s="1"/>
  <c r="J84" i="9" s="1"/>
  <c r="J85" i="9" s="1"/>
  <c r="J86" i="9" s="1"/>
  <c r="J87" i="9" s="1"/>
  <c r="J88" i="9" s="1"/>
  <c r="J89" i="9" s="1"/>
  <c r="J90" i="9" s="1"/>
  <c r="J91" i="9" s="1"/>
  <c r="J92" i="9" s="1"/>
  <c r="J93" i="9" s="1"/>
  <c r="J94" i="9" s="1"/>
  <c r="J95" i="9" s="1"/>
  <c r="J96" i="9" s="1"/>
  <c r="J97" i="9" s="1"/>
  <c r="J98" i="9" s="1"/>
  <c r="J99" i="9" s="1"/>
  <c r="J100" i="9" s="1"/>
  <c r="J101" i="9" s="1"/>
  <c r="J102" i="9" s="1"/>
  <c r="J103" i="9" s="1"/>
  <c r="J104" i="9" s="1"/>
  <c r="J105" i="9" s="1"/>
  <c r="J106" i="9" s="1"/>
  <c r="J107" i="9" s="1"/>
  <c r="J108" i="9" s="1"/>
  <c r="J109" i="9" s="1"/>
  <c r="J110" i="9" s="1"/>
  <c r="J111" i="9" s="1"/>
  <c r="J112" i="9" s="1"/>
  <c r="J113" i="9" s="1"/>
  <c r="J114" i="9" s="1"/>
  <c r="J115" i="9" s="1"/>
  <c r="J116" i="9" s="1"/>
  <c r="J117" i="9" s="1"/>
  <c r="J118" i="9" s="1"/>
  <c r="J119" i="9" s="1"/>
  <c r="J120" i="9" s="1"/>
  <c r="J121" i="9" s="1"/>
  <c r="J122" i="9" s="1"/>
  <c r="F16" i="7"/>
  <c r="J123" i="9" l="1"/>
  <c r="J124" i="9" s="1"/>
  <c r="J125" i="9" s="1"/>
  <c r="J126" i="9" s="1"/>
  <c r="J127" i="9" s="1"/>
  <c r="J128" i="9" s="1"/>
  <c r="J129" i="9" s="1"/>
  <c r="J130" i="9" s="1"/>
  <c r="J131" i="9" s="1"/>
  <c r="J132" i="9" s="1"/>
  <c r="J133" i="9" s="1"/>
  <c r="J134" i="9" s="1"/>
  <c r="J135" i="9" s="1"/>
  <c r="J136" i="9" s="1"/>
  <c r="J137" i="9" s="1"/>
  <c r="J138" i="9" s="1"/>
  <c r="J139" i="9" s="1"/>
  <c r="J140" i="9" s="1"/>
  <c r="J141" i="9" s="1"/>
  <c r="J142" i="9" s="1"/>
  <c r="J143" i="9" s="1"/>
  <c r="J144" i="9" s="1"/>
  <c r="J145" i="9" s="1"/>
  <c r="J146" i="9" s="1"/>
  <c r="J147" i="9" s="1"/>
  <c r="J148" i="9" s="1"/>
  <c r="J149" i="9" s="1"/>
  <c r="J150" i="9" s="1"/>
  <c r="J151" i="9" s="1"/>
  <c r="J152" i="9" s="1"/>
  <c r="J153" i="9" s="1"/>
  <c r="J154" i="9" s="1"/>
  <c r="J155" i="9" s="1"/>
  <c r="J156" i="9" s="1"/>
  <c r="J157" i="9" s="1"/>
  <c r="J158" i="9" s="1"/>
  <c r="J159" i="9" s="1"/>
  <c r="J160" i="9" s="1"/>
  <c r="J161" i="9" s="1"/>
  <c r="J162" i="9" s="1"/>
  <c r="J163" i="9" s="1"/>
  <c r="J164" i="9" s="1"/>
  <c r="J165" i="9" s="1"/>
  <c r="J166" i="9" s="1"/>
  <c r="J167" i="9" s="1"/>
  <c r="J168" i="9" s="1"/>
  <c r="J169" i="9" s="1"/>
  <c r="J170" i="9" s="1"/>
  <c r="C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tc={545E7494-F872-4124-9AEB-B586953C2766}</author>
    <author>tc={F64E4781-6226-4E53-BBD2-6D75CDAB2B63}</author>
    <author>tc={DA86BB64-7426-42D5-B4FD-96657EDB8615}</author>
    <author>tc={AF4DC4D8-F805-486D-AEDC-96F2A982B4A8}</author>
    <author>tc={ADA8CBCD-803F-4B26-B079-F0A415E8EAC9}</author>
    <author>tc={8E1A4A5E-708F-4387-886F-F14EFCBB3D73}</author>
    <author>tc={EFF8D4CE-B05D-4B6A-97FC-3FA6C6CA61AB}</author>
    <author>tc={2A9494CF-96D7-43E2-B4B5-A97F4E55060E}</author>
    <author>tc={5598887A-E823-4956-BF56-02C40DDC7BAC}</author>
    <author>tc={97E3BDEF-7E85-4003-B9D0-14E0E15DBBFF}</author>
    <author>tc={DD457881-D676-4F06-9804-BC54C325D0C9}</author>
    <author>tc={23784582-D003-4F5C-9963-73AA841717D0}</author>
    <author>tc={56577843-7FC2-4F0F-B9BC-8D53C41E2701}</author>
  </authors>
  <commentList>
    <comment ref="C6" authorId="0" shapeId="0" xr:uid="{00000000-0006-0000-02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IC significa ingreso de café
2526 es cosecha 2025 2026
01 es el numero de ingreso, la intención es llevar un control por cada vez que ingresa café a inventario.</t>
      </text>
    </comment>
    <comment ref="E129" authorId="1" shapeId="0" xr:uid="{F64E4781-6226-4E53-BBD2-6D75CDAB2B6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Volunarios
</t>
      </text>
    </comment>
    <comment ref="E135" authorId="2" shapeId="0" xr:uid="{DA86BB64-7426-42D5-B4FD-96657EDB86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voluntarios</t>
      </text>
    </comment>
    <comment ref="E136" authorId="3" shapeId="0" xr:uid="{AF4DC4D8-F805-486D-AEDC-96F2A982B4A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Cuadrilla
</t>
      </text>
    </comment>
    <comment ref="E138" authorId="4" shapeId="0" xr:uid="{ADA8CBCD-803F-4B26-B079-F0A415E8EA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cuadrilla</t>
      </text>
    </comment>
    <comment ref="E140" authorId="5" shapeId="0" xr:uid="{8E1A4A5E-708F-4387-886F-F14EFCBB3D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cuadrilla</t>
      </text>
    </comment>
    <comment ref="E141" authorId="6" shapeId="0" xr:uid="{EFF8D4CE-B05D-4B6A-97FC-3FA6C6CA61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cuadrilla</t>
      </text>
    </comment>
    <comment ref="E142" authorId="7" shapeId="0" xr:uid="{2A9494CF-96D7-43E2-B4B5-A97F4E5506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voluntarios</t>
      </text>
    </comment>
    <comment ref="E143" authorId="8" shapeId="0" xr:uid="{5598887A-E823-4956-BF56-02C40DDC7B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cuadrilla</t>
      </text>
    </comment>
    <comment ref="E144" authorId="9" shapeId="0" xr:uid="{97E3BDEF-7E85-4003-B9D0-14E0E15DBB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voluntarios</t>
      </text>
    </comment>
    <comment ref="E146" authorId="10" shapeId="0" xr:uid="{DD457881-D676-4F06-9804-BC54C325D0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voluntarios</t>
      </text>
    </comment>
    <comment ref="E148" authorId="11" shapeId="0" xr:uid="{23784582-D003-4F5C-9963-73AA841717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voluntarios</t>
      </text>
    </comment>
    <comment ref="E149" authorId="12" shapeId="0" xr:uid="{56577843-7FC2-4F0F-B9BC-8D53C41E27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cuadrilla</t>
      </text>
    </comment>
  </commentList>
</comments>
</file>

<file path=xl/sharedStrings.xml><?xml version="1.0" encoding="utf-8"?>
<sst xmlns="http://schemas.openxmlformats.org/spreadsheetml/2006/main" count="776" uniqueCount="260">
  <si>
    <t>PANTE</t>
  </si>
  <si>
    <t>OBSERVACIONES</t>
  </si>
  <si>
    <t>FINCA DANILANDIA Y ANEXOS, S.A.</t>
  </si>
  <si>
    <t>Arenera</t>
  </si>
  <si>
    <t>Corona</t>
  </si>
  <si>
    <t>Vuelta Grande</t>
  </si>
  <si>
    <t>Crucita I</t>
  </si>
  <si>
    <t>Crucita II</t>
  </si>
  <si>
    <t>Canoa</t>
  </si>
  <si>
    <t>Cañada</t>
  </si>
  <si>
    <t>Mirasol</t>
  </si>
  <si>
    <t>La Galera</t>
  </si>
  <si>
    <t>San Emiliano</t>
  </si>
  <si>
    <t>Las Brizas</t>
  </si>
  <si>
    <t>Erick Humberto Caal Max</t>
  </si>
  <si>
    <t>Marco Antonio Solano</t>
  </si>
  <si>
    <t>Gildaberto Solano Arenas</t>
  </si>
  <si>
    <t>Sandra Lorena Navas Chajon de solano</t>
  </si>
  <si>
    <t>Clemente Sutuj Elias</t>
  </si>
  <si>
    <t>Henry Randolfo Hernandez Solano</t>
  </si>
  <si>
    <t>Carmelo Marroquin Salazar</t>
  </si>
  <si>
    <t>Luz De Maria Martinez Solano</t>
  </si>
  <si>
    <t>Jaime Anibal Marroquin Salazar</t>
  </si>
  <si>
    <t>Leidy Susana Solano Perez</t>
  </si>
  <si>
    <t>Enma Mannolia Perez Najera</t>
  </si>
  <si>
    <t>Jose Alexander Navas Martinez</t>
  </si>
  <si>
    <t>Edgar Rolando Navas Chacon</t>
  </si>
  <si>
    <t>Suleyma Areli Guamush Marroquin</t>
  </si>
  <si>
    <t>Fernando Adelder Guamush Perez</t>
  </si>
  <si>
    <t>German Nolberto Solano Marroquin</t>
  </si>
  <si>
    <t>Carlos Albino Garcia Mendez</t>
  </si>
  <si>
    <t>Abner Adelino Chiguichon Navas</t>
  </si>
  <si>
    <t xml:space="preserve">Baldomero Solano Marroquin </t>
  </si>
  <si>
    <t xml:space="preserve">Jorge Marroquin Zalasar </t>
  </si>
  <si>
    <t>Julia Yanira Marroquin</t>
  </si>
  <si>
    <t>Adister Arcenio Marroquin</t>
  </si>
  <si>
    <t>Erick Ronaldo Hernandez Martinez</t>
  </si>
  <si>
    <t>Dixon Hernandez Martinez</t>
  </si>
  <si>
    <t>Observaciones</t>
  </si>
  <si>
    <t>F. ____________________________</t>
  </si>
  <si>
    <t>Recibido</t>
  </si>
  <si>
    <t>Pendiente</t>
  </si>
  <si>
    <t>Pergamino</t>
  </si>
  <si>
    <t>Oro</t>
  </si>
  <si>
    <t>FECHA:</t>
  </si>
  <si>
    <t>TIPO DE CAFÉ</t>
  </si>
  <si>
    <t>ORO</t>
  </si>
  <si>
    <t>PERGAMINO</t>
  </si>
  <si>
    <t>X</t>
  </si>
  <si>
    <t>QUINTALES</t>
  </si>
  <si>
    <t>TOTAL</t>
  </si>
  <si>
    <t>FLETE</t>
  </si>
  <si>
    <t>TOTAL OCC</t>
  </si>
  <si>
    <t>Encargado de Compras</t>
  </si>
  <si>
    <t>Proveedor</t>
  </si>
  <si>
    <t>BENEFICIO DE CAFÉ</t>
  </si>
  <si>
    <t>INFORME DE PESAJE</t>
  </si>
  <si>
    <t>RI-252601</t>
  </si>
  <si>
    <t>HERBICIDAS</t>
  </si>
  <si>
    <t>YESO</t>
  </si>
  <si>
    <t>CAL</t>
  </si>
  <si>
    <t>Cereza</t>
  </si>
  <si>
    <t>COMBUSTIBLE</t>
  </si>
  <si>
    <t>FERTILIZANTE ORGANICO</t>
  </si>
  <si>
    <t>FERTILIZANTE QUIMICO FOLIARES</t>
  </si>
  <si>
    <t>GALONES</t>
  </si>
  <si>
    <t>CODIGO DE INGRESO</t>
  </si>
  <si>
    <t>FECHA DE INGRESO A INVENTARIO</t>
  </si>
  <si>
    <t>IC-2526-01</t>
  </si>
  <si>
    <t>CANTIDAD DE BULTOS O SACOS</t>
  </si>
  <si>
    <t>NYLON</t>
  </si>
  <si>
    <t>YUTE 69 KG</t>
  </si>
  <si>
    <t>PESO NETO EN QUINTALES DE  LIBRAS</t>
  </si>
  <si>
    <t>CONTROL DE INGRESO DE CAFÉ POR CORTE</t>
  </si>
  <si>
    <t>IC-2526-02</t>
  </si>
  <si>
    <t>IC-2526-03</t>
  </si>
  <si>
    <t>IC-2526-04</t>
  </si>
  <si>
    <t>IC-2526-05</t>
  </si>
  <si>
    <t>IC-2526-06</t>
  </si>
  <si>
    <t>Panaleo</t>
  </si>
  <si>
    <t>IC-2526-07</t>
  </si>
  <si>
    <t>IC-2526-08</t>
  </si>
  <si>
    <t>IC-2526-09</t>
  </si>
  <si>
    <t>IC-2526-10</t>
  </si>
  <si>
    <t>IC-2526-11</t>
  </si>
  <si>
    <t>IC-2526-12</t>
  </si>
  <si>
    <t>IC-2526-13</t>
  </si>
  <si>
    <t>IC-2526-14</t>
  </si>
  <si>
    <t>IC-2526-15</t>
  </si>
  <si>
    <t>IC-2526-16</t>
  </si>
  <si>
    <t>IC-2526-17</t>
  </si>
  <si>
    <t>IC-2526-18</t>
  </si>
  <si>
    <t>IC-2526-19</t>
  </si>
  <si>
    <t>IC-2526-20</t>
  </si>
  <si>
    <t>IC-2526-21</t>
  </si>
  <si>
    <t>IC-2526-22</t>
  </si>
  <si>
    <t>IC-2526-23</t>
  </si>
  <si>
    <t>IC-2526-24</t>
  </si>
  <si>
    <t xml:space="preserve">CONTROL DE INGRESO DE COMPRA DE CAFÉ </t>
  </si>
  <si>
    <t>PROPIETARIO</t>
  </si>
  <si>
    <t>Procedencia dela aldea Tecuamburro</t>
  </si>
  <si>
    <t>ICC-2526-01</t>
  </si>
  <si>
    <t>ICC-2526-02</t>
  </si>
  <si>
    <t>ICC-2526-03</t>
  </si>
  <si>
    <t>NOTA</t>
  </si>
  <si>
    <t>No. De cuenta Ahorro Banrural 4029112595</t>
  </si>
  <si>
    <t>PROCEDENCIA DE CAFÉ</t>
  </si>
  <si>
    <t>Jorgr Alfredo Hernandez</t>
  </si>
  <si>
    <t>No. De cuenta monetaria Bam 30-3031082-0</t>
  </si>
  <si>
    <t>IC-2526-25</t>
  </si>
  <si>
    <t>IC-2526-26</t>
  </si>
  <si>
    <t>IC-2526-27</t>
  </si>
  <si>
    <t>Cosecha</t>
  </si>
  <si>
    <t>Precio</t>
  </si>
  <si>
    <t>Q. 370</t>
  </si>
  <si>
    <t>IC-2526-28</t>
  </si>
  <si>
    <t>IC-2526-29</t>
  </si>
  <si>
    <t>IC-2526-30</t>
  </si>
  <si>
    <t>IC-2526-31</t>
  </si>
  <si>
    <t>IC-2526-32</t>
  </si>
  <si>
    <t>IC-2526-33</t>
  </si>
  <si>
    <t>ICC-2526-04</t>
  </si>
  <si>
    <t>ICC-2526-05</t>
  </si>
  <si>
    <t>Oscar Valdez Solano</t>
  </si>
  <si>
    <t>No. De cuenta Ahorro Banrural 4029115487</t>
  </si>
  <si>
    <t>Q. 405</t>
  </si>
  <si>
    <t>Q. 395</t>
  </si>
  <si>
    <t>IC-2526-34</t>
  </si>
  <si>
    <t>IC-2526-35</t>
  </si>
  <si>
    <t>IC-2526-36</t>
  </si>
  <si>
    <t>ESTADO</t>
  </si>
  <si>
    <t>CANCELADO</t>
  </si>
  <si>
    <t>IC-2526-37</t>
  </si>
  <si>
    <t>IC-2526-38</t>
  </si>
  <si>
    <t>IC-2526-39</t>
  </si>
  <si>
    <t>IC-2526-40</t>
  </si>
  <si>
    <t>IC-2526-41</t>
  </si>
  <si>
    <t>IC-2526-42</t>
  </si>
  <si>
    <t>IC-2526-43</t>
  </si>
  <si>
    <t>IC-2526-44</t>
  </si>
  <si>
    <t>IC-2526-45</t>
  </si>
  <si>
    <t>IC-2526-46</t>
  </si>
  <si>
    <t>IC-2526-47</t>
  </si>
  <si>
    <t>IC-2526-48</t>
  </si>
  <si>
    <t>IC-2526-49</t>
  </si>
  <si>
    <t>IC-2526-50</t>
  </si>
  <si>
    <t>IC-2526-51</t>
  </si>
  <si>
    <t>IC-2526-52</t>
  </si>
  <si>
    <t>IC-2526-53</t>
  </si>
  <si>
    <t>IC-2526-54</t>
  </si>
  <si>
    <t>IC-2526-55</t>
  </si>
  <si>
    <t>IC-2526-56</t>
  </si>
  <si>
    <t>IC-2526-57</t>
  </si>
  <si>
    <t>IC-2526-58</t>
  </si>
  <si>
    <t>IC-2526-59</t>
  </si>
  <si>
    <t>IC-2526-60</t>
  </si>
  <si>
    <t>IC-2526-61</t>
  </si>
  <si>
    <t xml:space="preserve">cereza </t>
  </si>
  <si>
    <t>IC-2526-62</t>
  </si>
  <si>
    <t>IC-2526-63</t>
  </si>
  <si>
    <t>IC-2526-64</t>
  </si>
  <si>
    <t>IC-2526-65</t>
  </si>
  <si>
    <t>IC-2526-66</t>
  </si>
  <si>
    <t>IC-2526-67</t>
  </si>
  <si>
    <t>IC-2526-68</t>
  </si>
  <si>
    <t>IC-2526-69</t>
  </si>
  <si>
    <t>IC-2526-70</t>
  </si>
  <si>
    <t>IC-2526-71</t>
  </si>
  <si>
    <t>IC-2526-72</t>
  </si>
  <si>
    <t>IC-2526-73</t>
  </si>
  <si>
    <t>IC-2526-74</t>
  </si>
  <si>
    <t>IC-2526-75</t>
  </si>
  <si>
    <t>IC-2526-76</t>
  </si>
  <si>
    <t>IC-2526-77</t>
  </si>
  <si>
    <t>IC-2526-78</t>
  </si>
  <si>
    <t>IC-2526-79</t>
  </si>
  <si>
    <t>IC-2526-80</t>
  </si>
  <si>
    <t>IC-2526-81</t>
  </si>
  <si>
    <t>IC-2526-82</t>
  </si>
  <si>
    <t>IC-2526-83</t>
  </si>
  <si>
    <t>IC-2526-84</t>
  </si>
  <si>
    <t>IC-2526-85</t>
  </si>
  <si>
    <t>IC-2526-86</t>
  </si>
  <si>
    <t>IC-2526-87</t>
  </si>
  <si>
    <t>IC-2526-88</t>
  </si>
  <si>
    <t>IC-2526-89</t>
  </si>
  <si>
    <t>IC-2526-90</t>
  </si>
  <si>
    <t>IC-2526-91</t>
  </si>
  <si>
    <t>IC-2526-92</t>
  </si>
  <si>
    <t>IC-2526-93</t>
  </si>
  <si>
    <t>IC-2526-94</t>
  </si>
  <si>
    <t>IC-2526-95</t>
  </si>
  <si>
    <t>IC-2526-96</t>
  </si>
  <si>
    <t>IC-2526-97</t>
  </si>
  <si>
    <t>IC-2526-98</t>
  </si>
  <si>
    <t>IC-2526-99</t>
  </si>
  <si>
    <t>IC-2526-100</t>
  </si>
  <si>
    <t>IC-2526-101</t>
  </si>
  <si>
    <t>IC-2526-102</t>
  </si>
  <si>
    <t>IC-2526-103</t>
  </si>
  <si>
    <t>IC-2526-104</t>
  </si>
  <si>
    <t>IC-2526-105</t>
  </si>
  <si>
    <t>IC-2526-106</t>
  </si>
  <si>
    <t>IC-2526-107</t>
  </si>
  <si>
    <t>IC-2526-108</t>
  </si>
  <si>
    <t>IC-2526-109</t>
  </si>
  <si>
    <t>IC-2526-110</t>
  </si>
  <si>
    <t>IC-2526-111</t>
  </si>
  <si>
    <t>IC-2526-112</t>
  </si>
  <si>
    <t>IC-2526-113</t>
  </si>
  <si>
    <t>IC-2526-114</t>
  </si>
  <si>
    <t>IC-2526-115</t>
  </si>
  <si>
    <t>IC-2526-116</t>
  </si>
  <si>
    <t>IC-2526-117</t>
  </si>
  <si>
    <t>IC-2526-118</t>
  </si>
  <si>
    <t>IC-2526-119</t>
  </si>
  <si>
    <t>IC-2526-120</t>
  </si>
  <si>
    <t>IC-2526-121</t>
  </si>
  <si>
    <t>IC-2526-122</t>
  </si>
  <si>
    <t>cruz 2</t>
  </si>
  <si>
    <t>arenera</t>
  </si>
  <si>
    <t>galera</t>
  </si>
  <si>
    <t>canoa</t>
  </si>
  <si>
    <t>mirasol</t>
  </si>
  <si>
    <t>cruz 1</t>
  </si>
  <si>
    <t>IC-2526-123</t>
  </si>
  <si>
    <t>IC-2526-124</t>
  </si>
  <si>
    <t>IC-2526-125</t>
  </si>
  <si>
    <t>IC-2526-126</t>
  </si>
  <si>
    <t>IC-2526-127</t>
  </si>
  <si>
    <t>IC-2526-128</t>
  </si>
  <si>
    <t>IC-2526-129</t>
  </si>
  <si>
    <t>IC-2526-130</t>
  </si>
  <si>
    <t>IC-2526-131</t>
  </si>
  <si>
    <t>IC-2526-132</t>
  </si>
  <si>
    <t>IC-2526-133</t>
  </si>
  <si>
    <t>IC-2526-134</t>
  </si>
  <si>
    <t>IC-2526-135</t>
  </si>
  <si>
    <t>IC-2526-136</t>
  </si>
  <si>
    <t>IC-2526-137</t>
  </si>
  <si>
    <t>IC-2526-138</t>
  </si>
  <si>
    <t>IC-2526-139</t>
  </si>
  <si>
    <t>IC-2526-140</t>
  </si>
  <si>
    <t>IC-2526-141</t>
  </si>
  <si>
    <t>IC-2526-142</t>
  </si>
  <si>
    <t>IC-2526-143</t>
  </si>
  <si>
    <t>IC-2526-144</t>
  </si>
  <si>
    <t>IC-2526-145</t>
  </si>
  <si>
    <t>IC-2526-146</t>
  </si>
  <si>
    <t>IC-2526-147</t>
  </si>
  <si>
    <t>IC-2526-148</t>
  </si>
  <si>
    <t>IC-2526-149</t>
  </si>
  <si>
    <t>IC-2526-150</t>
  </si>
  <si>
    <t>IC-2526-151</t>
  </si>
  <si>
    <t>IC-2526-152</t>
  </si>
  <si>
    <t>IC-2526-153</t>
  </si>
  <si>
    <t>PESO EN QUINTALES PERGAMINO</t>
  </si>
  <si>
    <t>RENDIMIENTO</t>
  </si>
  <si>
    <t>promedio rendimiento</t>
  </si>
  <si>
    <t>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</si>
</sst>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"/>
      <name val="Tahoma"/>
      <family val="2"/>
    </font>
    <font>
      <i/>
      <sz val="12"/>
      <color theme="1"/>
      <name val="Aptos Narrow"/>
      <family val="2"/>
      <scheme val="minor"/>
    </font>
    <font>
      <u/>
      <sz val="17"/>
      <color theme="1"/>
      <name val="Tahoma"/>
      <family val="2"/>
    </font>
    <font>
      <b/>
      <sz val="13"/>
      <color theme="1"/>
      <name val="Aptos Narrow"/>
      <family val="2"/>
      <scheme val="minor"/>
    </font>
    <font>
      <sz val="11"/>
      <color theme="1"/>
      <name val="Tahoma"/>
      <family val="2"/>
    </font>
    <font>
      <b/>
      <sz val="14"/>
      <color theme="1"/>
      <name val="Aptos Narrow"/>
      <family val="2"/>
      <scheme val="minor"/>
    </font>
    <font>
      <i/>
      <u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10" xfId="0" applyBorder="1"/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6" fillId="0" borderId="7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44" fontId="1" fillId="0" borderId="0" xfId="0" applyNumberFormat="1" applyFont="1" applyAlignment="1">
      <alignment horizontal="right"/>
    </xf>
    <xf numFmtId="44" fontId="1" fillId="0" borderId="8" xfId="0" applyNumberFormat="1" applyFont="1" applyBorder="1"/>
    <xf numFmtId="44" fontId="0" fillId="0" borderId="1" xfId="0" applyNumberFormat="1" applyBorder="1"/>
    <xf numFmtId="0" fontId="1" fillId="0" borderId="1" xfId="0" applyFont="1" applyBorder="1" applyAlignment="1">
      <alignment horizontal="right"/>
    </xf>
    <xf numFmtId="44" fontId="1" fillId="0" borderId="1" xfId="0" applyNumberFormat="1" applyFont="1" applyBorder="1" applyAlignment="1">
      <alignment horizontal="right"/>
    </xf>
    <xf numFmtId="44" fontId="1" fillId="0" borderId="1" xfId="0" applyNumberFormat="1" applyFont="1" applyBorder="1"/>
    <xf numFmtId="0" fontId="3" fillId="0" borderId="0" xfId="0" applyFont="1" applyAlignment="1">
      <alignment vertical="center"/>
    </xf>
    <xf numFmtId="0" fontId="3" fillId="0" borderId="8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4" fontId="6" fillId="0" borderId="13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6" fontId="0" fillId="0" borderId="1" xfId="0" applyNumberFormat="1" applyBorder="1" applyAlignment="1">
      <alignment horizontal="center" vertical="center"/>
    </xf>
    <xf numFmtId="16" fontId="0" fillId="0" borderId="1" xfId="0" applyNumberFormat="1" applyBorder="1"/>
    <xf numFmtId="0" fontId="0" fillId="0" borderId="1" xfId="0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1" xfId="0" applyBorder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DC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0</xdr:row>
      <xdr:rowOff>22223</xdr:rowOff>
    </xdr:from>
    <xdr:to>
      <xdr:col>5</xdr:col>
      <xdr:colOff>1379855</xdr:colOff>
      <xdr:row>3</xdr:row>
      <xdr:rowOff>38379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8CBB94-1405-4655-B9AC-A1304068C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7425" y="22223"/>
          <a:ext cx="2056130" cy="10924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1478280</xdr:colOff>
      <xdr:row>0</xdr:row>
      <xdr:rowOff>91439</xdr:rowOff>
    </xdr:from>
    <xdr:to>
      <xdr:col>10</xdr:col>
      <xdr:colOff>6744</xdr:colOff>
      <xdr:row>2</xdr:row>
      <xdr:rowOff>124208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E7656A-F01F-4685-B31D-C628C0DCC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5660" y="91439"/>
          <a:ext cx="2145359" cy="10309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1495502</xdr:colOff>
      <xdr:row>0</xdr:row>
      <xdr:rowOff>0</xdr:rowOff>
    </xdr:from>
    <xdr:to>
      <xdr:col>7</xdr:col>
      <xdr:colOff>15240</xdr:colOff>
      <xdr:row>3</xdr:row>
      <xdr:rowOff>175260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660C27-34C8-4BE0-80CE-750329DC3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4782" y="0"/>
          <a:ext cx="2169718" cy="89916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e Roberto Lopez" id="{82465728-9BB1-4176-AB5B-146E25235318}" userId="S::jose.lopez@tcg.com.gt::70c8a579-806b-42c2-8779-f85f50301469" providerId="AD"/>
  <person displayName="Luis Castellanos" id="{CE7D5ACD-B1A1-4B14-B1DC-AAB6BB241867}" userId="S::luis.castellanos@fincadanilandia.com.gt::490e782e-c199-4dfb-a2b1-38bd928a03f4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5-10-03T14:53:58.28" personId="{82465728-9BB1-4176-AB5B-146E25235318}" id="{545E7494-F872-4124-9AEB-B586953C2766}">
    <text>IC significa ingreso de café
2526 es cosecha 2025 2026
01 es el numero de ingreso, la intención es llevar un control por cada vez que ingresa café a inventario.</text>
  </threadedComment>
  <threadedComment ref="E129" dT="2026-03-05T22:38:13.31" personId="{CE7D5ACD-B1A1-4B14-B1DC-AAB6BB241867}" id="{F64E4781-6226-4E53-BBD2-6D75CDAB2B63}">
    <text xml:space="preserve">Volunarios
</text>
  </threadedComment>
  <threadedComment ref="E135" dT="2026-03-05T22:44:01.99" personId="{CE7D5ACD-B1A1-4B14-B1DC-AAB6BB241867}" id="{DA86BB64-7426-42D5-B4FD-96657EDB8615}">
    <text>voluntarios</text>
  </threadedComment>
  <threadedComment ref="E136" dT="2026-03-05T22:43:53.94" personId="{CE7D5ACD-B1A1-4B14-B1DC-AAB6BB241867}" id="{AF4DC4D8-F805-486D-AEDC-96F2A982B4A8}">
    <text xml:space="preserve">Cuadrilla
</text>
  </threadedComment>
  <threadedComment ref="E138" dT="2026-03-05T22:43:45.74" personId="{CE7D5ACD-B1A1-4B14-B1DC-AAB6BB241867}" id="{ADA8CBCD-803F-4B26-B079-F0A415E8EAC9}">
    <text>cuadrilla</text>
  </threadedComment>
  <threadedComment ref="E140" dT="2026-03-05T22:48:32.52" personId="{CE7D5ACD-B1A1-4B14-B1DC-AAB6BB241867}" id="{8E1A4A5E-708F-4387-886F-F14EFCBB3D73}">
    <text>cuadrilla</text>
  </threadedComment>
  <threadedComment ref="E141" dT="2026-03-05T22:49:53.65" personId="{CE7D5ACD-B1A1-4B14-B1DC-AAB6BB241867}" id="{EFF8D4CE-B05D-4B6A-97FC-3FA6C6CA61AB}">
    <text>cuadrilla</text>
  </threadedComment>
  <threadedComment ref="E142" dT="2026-03-05T22:50:45.06" personId="{CE7D5ACD-B1A1-4B14-B1DC-AAB6BB241867}" id="{2A9494CF-96D7-43E2-B4B5-A97F4E55060E}">
    <text>voluntarios</text>
  </threadedComment>
  <threadedComment ref="E143" dT="2026-03-05T22:51:06.32" personId="{CE7D5ACD-B1A1-4B14-B1DC-AAB6BB241867}" id="{5598887A-E823-4956-BF56-02C40DDC7BAC}">
    <text>cuadrilla</text>
  </threadedComment>
  <threadedComment ref="E144" dT="2026-03-05T22:51:51.96" personId="{CE7D5ACD-B1A1-4B14-B1DC-AAB6BB241867}" id="{97E3BDEF-7E85-4003-B9D0-14E0E15DBBFF}">
    <text>voluntarios</text>
  </threadedComment>
  <threadedComment ref="E146" dT="2026-03-05T22:52:36.85" personId="{CE7D5ACD-B1A1-4B14-B1DC-AAB6BB241867}" id="{DD457881-D676-4F06-9804-BC54C325D0C9}">
    <text>voluntarios</text>
  </threadedComment>
  <threadedComment ref="E148" dT="2026-03-05T22:53:42.44" personId="{CE7D5ACD-B1A1-4B14-B1DC-AAB6BB241867}" id="{23784582-D003-4F5C-9963-73AA841717D0}">
    <text>voluntarios</text>
  </threadedComment>
  <threadedComment ref="E149" dT="2026-03-05T22:54:13.27" personId="{CE7D5ACD-B1A1-4B14-B1DC-AAB6BB241867}" id="{56577843-7FC2-4F0F-B9BC-8D53C41E2701}">
    <text>cuadrilla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view="pageBreakPreview" zoomScale="80" zoomScaleNormal="100" zoomScaleSheetLayoutView="80" workbookViewId="0">
      <selection activeCell="F9" sqref="F9:F10"/>
    </sheetView>
  </sheetViews>
  <sheetFormatPr baseColWidth="10" defaultRowHeight="14.4" x14ac:dyDescent="0.3"/>
  <cols>
    <col min="1" max="1" width="17.6640625" customWidth="1"/>
    <col min="2" max="2" width="20.33203125" customWidth="1"/>
    <col min="3" max="3" width="23.33203125" customWidth="1"/>
    <col min="4" max="4" width="27" customWidth="1"/>
    <col min="5" max="5" width="10" customWidth="1"/>
    <col min="6" max="6" width="20.33203125" customWidth="1"/>
  </cols>
  <sheetData>
    <row r="1" spans="1:6" ht="45.45" customHeight="1" x14ac:dyDescent="0.3">
      <c r="A1" s="50" t="s">
        <v>2</v>
      </c>
      <c r="B1" s="51"/>
      <c r="C1" s="51"/>
      <c r="D1" s="51"/>
      <c r="E1" s="13"/>
      <c r="F1" s="14"/>
    </row>
    <row r="2" spans="1:6" ht="19.2" customHeight="1" x14ac:dyDescent="0.3">
      <c r="A2" s="52" t="s">
        <v>55</v>
      </c>
      <c r="B2" s="53"/>
      <c r="C2" s="53"/>
      <c r="D2" s="53"/>
      <c r="E2" s="32"/>
      <c r="F2" s="33"/>
    </row>
    <row r="3" spans="1:6" ht="19.2" customHeight="1" x14ac:dyDescent="0.3">
      <c r="A3" s="52"/>
      <c r="B3" s="53"/>
      <c r="C3" s="53"/>
      <c r="D3" s="53"/>
      <c r="E3" s="32"/>
      <c r="F3" s="33"/>
    </row>
    <row r="4" spans="1:6" ht="34.200000000000003" customHeight="1" x14ac:dyDescent="0.3">
      <c r="A4" s="34"/>
      <c r="B4" s="35"/>
      <c r="C4" s="35"/>
      <c r="D4" s="35"/>
      <c r="F4" s="16"/>
    </row>
    <row r="5" spans="1:6" s="2" customFormat="1" ht="28.95" customHeight="1" thickBot="1" x14ac:dyDescent="0.35">
      <c r="A5" s="54" t="s">
        <v>56</v>
      </c>
      <c r="B5" s="55"/>
      <c r="C5" s="55"/>
      <c r="D5" s="55"/>
      <c r="E5" s="55"/>
      <c r="F5" s="56"/>
    </row>
    <row r="6" spans="1:6" s="2" customFormat="1" ht="32.549999999999997" customHeight="1" thickBot="1" x14ac:dyDescent="0.35">
      <c r="A6" s="36" t="s">
        <v>57</v>
      </c>
      <c r="B6" s="24"/>
      <c r="C6" s="24"/>
      <c r="D6" s="24"/>
      <c r="E6" s="37" t="s">
        <v>44</v>
      </c>
      <c r="F6" s="38">
        <v>46023</v>
      </c>
    </row>
    <row r="7" spans="1:6" ht="13.95" customHeight="1" x14ac:dyDescent="0.3">
      <c r="A7" s="20"/>
      <c r="B7" s="20"/>
      <c r="C7" s="20"/>
      <c r="D7" s="20"/>
      <c r="E7" s="20"/>
      <c r="F7" s="21"/>
    </row>
    <row r="8" spans="1:6" ht="28.95" customHeight="1" x14ac:dyDescent="0.3">
      <c r="F8" s="16"/>
    </row>
    <row r="9" spans="1:6" s="9" customFormat="1" ht="14.55" customHeight="1" x14ac:dyDescent="0.3">
      <c r="A9" s="57" t="s">
        <v>45</v>
      </c>
      <c r="B9" s="57"/>
      <c r="C9" s="58" t="s">
        <v>49</v>
      </c>
      <c r="D9" s="58" t="s">
        <v>0</v>
      </c>
      <c r="E9" s="58"/>
      <c r="F9" s="58" t="s">
        <v>50</v>
      </c>
    </row>
    <row r="10" spans="1:6" s="9" customFormat="1" x14ac:dyDescent="0.3">
      <c r="A10" s="8" t="s">
        <v>46</v>
      </c>
      <c r="B10" s="8" t="s">
        <v>47</v>
      </c>
      <c r="C10" s="59"/>
      <c r="D10" s="59"/>
      <c r="E10" s="59"/>
      <c r="F10" s="59"/>
    </row>
    <row r="11" spans="1:6" ht="25.95" customHeight="1" x14ac:dyDescent="0.3">
      <c r="A11" s="10"/>
      <c r="B11" s="10" t="s">
        <v>48</v>
      </c>
      <c r="C11" s="10"/>
      <c r="D11" s="10"/>
      <c r="E11" s="28"/>
      <c r="F11" s="28">
        <f>+C11+E11</f>
        <v>0</v>
      </c>
    </row>
    <row r="12" spans="1:6" ht="25.95" customHeight="1" x14ac:dyDescent="0.3">
      <c r="A12" s="10"/>
      <c r="B12" s="10"/>
      <c r="C12" s="10"/>
      <c r="D12" s="10"/>
      <c r="E12" s="28"/>
      <c r="F12" s="28">
        <f>+C12+E12</f>
        <v>0</v>
      </c>
    </row>
    <row r="13" spans="1:6" ht="25.95" customHeight="1" x14ac:dyDescent="0.3">
      <c r="A13" s="10"/>
      <c r="B13" s="10"/>
      <c r="C13" s="10"/>
      <c r="D13" s="10"/>
      <c r="E13" s="28"/>
      <c r="F13" s="28"/>
    </row>
    <row r="14" spans="1:6" ht="25.95" customHeight="1" x14ac:dyDescent="0.3">
      <c r="A14" s="6"/>
      <c r="B14" s="6"/>
      <c r="C14" s="5"/>
      <c r="D14" s="29" t="s">
        <v>51</v>
      </c>
      <c r="E14" s="28">
        <v>15</v>
      </c>
      <c r="F14" s="28">
        <f>(E10*E14)+(E11*E14)</f>
        <v>0</v>
      </c>
    </row>
    <row r="15" spans="1:6" ht="11.55" customHeight="1" x14ac:dyDescent="0.3">
      <c r="A15" s="6"/>
      <c r="B15" s="6"/>
      <c r="C15" s="5"/>
      <c r="D15" s="6"/>
      <c r="E15" s="28"/>
      <c r="F15" s="28"/>
    </row>
    <row r="16" spans="1:6" ht="25.95" customHeight="1" x14ac:dyDescent="0.3">
      <c r="A16" s="6"/>
      <c r="B16" s="29" t="s">
        <v>52</v>
      </c>
      <c r="C16" s="12">
        <f ca="1">SUM(C10:C16)</f>
        <v>0</v>
      </c>
      <c r="D16" s="6"/>
      <c r="E16" s="30" t="s">
        <v>52</v>
      </c>
      <c r="F16" s="31">
        <f>SUM(F10:F15)</f>
        <v>0</v>
      </c>
    </row>
    <row r="17" spans="1:6" ht="25.95" customHeight="1" x14ac:dyDescent="0.3">
      <c r="A17" s="15"/>
      <c r="B17" s="25"/>
      <c r="C17" s="20"/>
      <c r="E17" s="26"/>
      <c r="F17" s="27"/>
    </row>
    <row r="18" spans="1:6" ht="25.95" customHeight="1" x14ac:dyDescent="0.3">
      <c r="A18" s="15"/>
      <c r="B18" s="25"/>
      <c r="C18" s="20"/>
      <c r="E18" s="26"/>
      <c r="F18" s="27"/>
    </row>
    <row r="19" spans="1:6" ht="17.399999999999999" x14ac:dyDescent="0.35">
      <c r="A19" s="23" t="s">
        <v>38</v>
      </c>
      <c r="F19" s="16"/>
    </row>
    <row r="20" spans="1:6" ht="86.55" customHeight="1" x14ac:dyDescent="0.3">
      <c r="A20" s="49"/>
      <c r="B20" s="49"/>
      <c r="C20" s="49"/>
      <c r="D20" s="49"/>
      <c r="E20" s="49"/>
      <c r="F20" s="49"/>
    </row>
    <row r="21" spans="1:6" x14ac:dyDescent="0.3">
      <c r="A21" s="15"/>
      <c r="F21" s="16"/>
    </row>
    <row r="22" spans="1:6" x14ac:dyDescent="0.3">
      <c r="A22" s="15"/>
      <c r="F22" s="16"/>
    </row>
    <row r="23" spans="1:6" x14ac:dyDescent="0.3">
      <c r="A23" s="15"/>
      <c r="F23" s="16"/>
    </row>
    <row r="24" spans="1:6" ht="42.45" customHeight="1" x14ac:dyDescent="0.3">
      <c r="A24" s="15"/>
      <c r="F24" s="16"/>
    </row>
    <row r="25" spans="1:6" x14ac:dyDescent="0.3">
      <c r="A25" s="15"/>
      <c r="B25" t="s">
        <v>39</v>
      </c>
      <c r="D25" t="s">
        <v>39</v>
      </c>
      <c r="F25" s="16"/>
    </row>
    <row r="26" spans="1:6" x14ac:dyDescent="0.3">
      <c r="A26" s="15"/>
      <c r="F26" s="16"/>
    </row>
    <row r="27" spans="1:6" x14ac:dyDescent="0.3">
      <c r="A27" s="15"/>
      <c r="B27" t="s">
        <v>53</v>
      </c>
      <c r="D27" t="s">
        <v>54</v>
      </c>
      <c r="F27" s="16"/>
    </row>
    <row r="28" spans="1:6" x14ac:dyDescent="0.3">
      <c r="A28" s="15"/>
      <c r="F28" s="16"/>
    </row>
    <row r="29" spans="1:6" x14ac:dyDescent="0.3">
      <c r="A29" s="15"/>
      <c r="F29" s="16"/>
    </row>
    <row r="30" spans="1:6" x14ac:dyDescent="0.3">
      <c r="A30" s="15"/>
      <c r="F30" s="16"/>
    </row>
    <row r="31" spans="1:6" x14ac:dyDescent="0.3">
      <c r="A31" s="15"/>
      <c r="F31" s="16"/>
    </row>
    <row r="32" spans="1:6" x14ac:dyDescent="0.3">
      <c r="A32" s="15"/>
      <c r="F32" s="16"/>
    </row>
    <row r="33" spans="1:6" x14ac:dyDescent="0.3">
      <c r="A33" s="15"/>
      <c r="F33" s="16"/>
    </row>
    <row r="34" spans="1:6" x14ac:dyDescent="0.3">
      <c r="A34" s="15"/>
      <c r="F34" s="16"/>
    </row>
    <row r="35" spans="1:6" x14ac:dyDescent="0.3">
      <c r="A35" s="15"/>
      <c r="F35" s="16"/>
    </row>
    <row r="36" spans="1:6" x14ac:dyDescent="0.3">
      <c r="A36" s="15"/>
      <c r="F36" s="16"/>
    </row>
    <row r="37" spans="1:6" x14ac:dyDescent="0.3">
      <c r="A37" s="15"/>
      <c r="F37" s="16"/>
    </row>
    <row r="38" spans="1:6" x14ac:dyDescent="0.3">
      <c r="A38" s="17"/>
      <c r="B38" s="18"/>
      <c r="C38" s="18"/>
      <c r="D38" s="18"/>
      <c r="E38" s="18"/>
      <c r="F38" s="19"/>
    </row>
  </sheetData>
  <mergeCells count="10">
    <mergeCell ref="A20:F20"/>
    <mergeCell ref="A1:D1"/>
    <mergeCell ref="A2:D2"/>
    <mergeCell ref="A3:D3"/>
    <mergeCell ref="A5:F5"/>
    <mergeCell ref="A9:B9"/>
    <mergeCell ref="C9:C10"/>
    <mergeCell ref="D9:D10"/>
    <mergeCell ref="E9:E10"/>
    <mergeCell ref="F9:F10"/>
  </mergeCells>
  <pageMargins left="0.7" right="0.7" top="0.75" bottom="0.75" header="0.3" footer="0.3"/>
  <pageSetup scale="7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6"/>
  <sheetViews>
    <sheetView tabSelected="1" view="pageBreakPreview" topLeftCell="A146" zoomScale="95" zoomScaleNormal="100" zoomScaleSheetLayoutView="95" workbookViewId="0">
      <selection activeCell="F152" sqref="F152"/>
    </sheetView>
  </sheetViews>
  <sheetFormatPr baseColWidth="10" defaultColWidth="11.44140625" defaultRowHeight="14.4" x14ac:dyDescent="0.3"/>
  <cols>
    <col min="1" max="2" width="16.44140625" style="3" customWidth="1"/>
    <col min="3" max="3" width="13.109375" style="3" customWidth="1"/>
    <col min="4" max="4" width="16.44140625" style="3" customWidth="1"/>
    <col min="5" max="7" width="24.44140625" style="11" customWidth="1"/>
    <col min="8" max="8" width="28.6640625" style="11" customWidth="1"/>
    <col min="9" max="9" width="24.44140625" style="11" hidden="1" customWidth="1"/>
    <col min="10" max="10" width="24.44140625" style="11" customWidth="1"/>
    <col min="11" max="16384" width="11.44140625" style="2"/>
  </cols>
  <sheetData>
    <row r="1" spans="1:10" ht="54.45" customHeight="1" x14ac:dyDescent="0.3">
      <c r="A1" s="2"/>
      <c r="B1" s="2"/>
      <c r="C1" s="2"/>
      <c r="D1" s="32" t="s">
        <v>2</v>
      </c>
      <c r="E1" s="2"/>
      <c r="F1" s="2"/>
      <c r="G1" s="2"/>
      <c r="H1" s="32"/>
      <c r="I1" s="2"/>
      <c r="J1" s="2"/>
    </row>
    <row r="2" spans="1:10" ht="24" customHeight="1" x14ac:dyDescent="0.3">
      <c r="A2" s="40"/>
      <c r="B2" s="40"/>
      <c r="C2" s="40"/>
      <c r="D2" s="7"/>
      <c r="E2" s="2"/>
      <c r="F2" s="2"/>
      <c r="G2" s="2"/>
      <c r="H2" s="7"/>
      <c r="I2" s="2"/>
      <c r="J2" s="2"/>
    </row>
    <row r="3" spans="1:10" customFormat="1" ht="15.6" x14ac:dyDescent="0.3">
      <c r="A3" s="1"/>
      <c r="B3" s="1"/>
      <c r="C3" s="1"/>
      <c r="D3" s="39" t="s">
        <v>73</v>
      </c>
      <c r="G3" s="48"/>
      <c r="H3" s="39"/>
    </row>
    <row r="4" spans="1:10" customFormat="1" x14ac:dyDescent="0.3">
      <c r="A4" s="1"/>
      <c r="B4" s="1"/>
      <c r="C4" s="1"/>
      <c r="D4" s="1"/>
    </row>
    <row r="5" spans="1:10" s="4" customFormat="1" ht="43.2" x14ac:dyDescent="0.3">
      <c r="A5" s="8" t="s">
        <v>67</v>
      </c>
      <c r="B5" s="8" t="s">
        <v>45</v>
      </c>
      <c r="C5" s="8" t="s">
        <v>66</v>
      </c>
      <c r="D5" s="8" t="s">
        <v>69</v>
      </c>
      <c r="E5" s="8" t="s">
        <v>72</v>
      </c>
      <c r="F5" s="8" t="s">
        <v>256</v>
      </c>
      <c r="G5" s="8" t="s">
        <v>257</v>
      </c>
      <c r="H5" s="8" t="s">
        <v>0</v>
      </c>
      <c r="I5" s="8" t="s">
        <v>1</v>
      </c>
      <c r="J5" s="8"/>
    </row>
    <row r="6" spans="1:10" ht="24" customHeight="1" x14ac:dyDescent="0.3">
      <c r="A6" s="42">
        <v>45932</v>
      </c>
      <c r="B6" s="22" t="s">
        <v>61</v>
      </c>
      <c r="C6" s="22" t="s">
        <v>68</v>
      </c>
      <c r="D6" s="10">
        <v>2</v>
      </c>
      <c r="E6" s="10">
        <v>1.1499999999999999</v>
      </c>
      <c r="F6" s="46"/>
      <c r="G6" s="46" t="e">
        <f>+E6/F6</f>
        <v>#DIV/0!</v>
      </c>
      <c r="H6" s="10" t="s">
        <v>9</v>
      </c>
      <c r="I6" s="10" t="s">
        <v>79</v>
      </c>
      <c r="J6" s="10"/>
    </row>
    <row r="7" spans="1:10" ht="24" customHeight="1" x14ac:dyDescent="0.3">
      <c r="A7" s="42">
        <v>45933</v>
      </c>
      <c r="B7" s="22" t="s">
        <v>61</v>
      </c>
      <c r="C7" s="22" t="s">
        <v>74</v>
      </c>
      <c r="D7" s="10">
        <v>2</v>
      </c>
      <c r="E7" s="10">
        <v>1.1000000000000001</v>
      </c>
      <c r="F7" s="46"/>
      <c r="G7" s="46" t="e">
        <f>+E7/F7</f>
        <v>#DIV/0!</v>
      </c>
      <c r="H7" s="10" t="s">
        <v>8</v>
      </c>
      <c r="I7" s="10" t="s">
        <v>79</v>
      </c>
      <c r="J7" s="10"/>
    </row>
    <row r="8" spans="1:10" ht="24" customHeight="1" x14ac:dyDescent="0.3">
      <c r="A8" s="42">
        <v>45934</v>
      </c>
      <c r="B8" s="22" t="s">
        <v>61</v>
      </c>
      <c r="C8" s="22" t="s">
        <v>75</v>
      </c>
      <c r="D8" s="10">
        <v>2</v>
      </c>
      <c r="E8" s="10">
        <v>1.1499999999999999</v>
      </c>
      <c r="F8" s="46"/>
      <c r="G8" s="46" t="e">
        <f t="shared" ref="G8:G80" si="0">+E8/F8</f>
        <v>#DIV/0!</v>
      </c>
      <c r="H8" s="10" t="s">
        <v>8</v>
      </c>
      <c r="I8" s="10" t="s">
        <v>79</v>
      </c>
      <c r="J8" s="10"/>
    </row>
    <row r="9" spans="1:10" ht="24" customHeight="1" x14ac:dyDescent="0.3">
      <c r="A9" s="42">
        <v>45935</v>
      </c>
      <c r="B9" s="22" t="s">
        <v>61</v>
      </c>
      <c r="C9" s="22" t="s">
        <v>76</v>
      </c>
      <c r="D9" s="10">
        <v>2</v>
      </c>
      <c r="E9" s="10">
        <v>1.05</v>
      </c>
      <c r="F9" s="46"/>
      <c r="G9" s="46" t="e">
        <f t="shared" si="0"/>
        <v>#DIV/0!</v>
      </c>
      <c r="H9" s="10" t="s">
        <v>4</v>
      </c>
      <c r="I9" s="10" t="s">
        <v>79</v>
      </c>
      <c r="J9" s="10"/>
    </row>
    <row r="10" spans="1:10" ht="24" customHeight="1" x14ac:dyDescent="0.3">
      <c r="A10" s="42">
        <v>45936</v>
      </c>
      <c r="B10" s="22" t="s">
        <v>61</v>
      </c>
      <c r="C10" s="22" t="s">
        <v>77</v>
      </c>
      <c r="D10" s="10">
        <v>4</v>
      </c>
      <c r="E10" s="10">
        <v>2.5499999999999998</v>
      </c>
      <c r="F10" s="46"/>
      <c r="G10" s="46" t="e">
        <f t="shared" si="0"/>
        <v>#DIV/0!</v>
      </c>
      <c r="H10" s="10" t="s">
        <v>4</v>
      </c>
      <c r="I10" s="10" t="s">
        <v>79</v>
      </c>
      <c r="J10" s="10"/>
    </row>
    <row r="11" spans="1:10" ht="24" customHeight="1" x14ac:dyDescent="0.3">
      <c r="A11" s="42">
        <v>45937</v>
      </c>
      <c r="B11" s="22" t="s">
        <v>61</v>
      </c>
      <c r="C11" s="22" t="s">
        <v>78</v>
      </c>
      <c r="D11" s="10">
        <v>2</v>
      </c>
      <c r="E11" s="10">
        <v>1</v>
      </c>
      <c r="F11" s="46"/>
      <c r="G11" s="46" t="e">
        <f t="shared" si="0"/>
        <v>#DIV/0!</v>
      </c>
      <c r="H11" s="10" t="s">
        <v>4</v>
      </c>
      <c r="I11" s="10" t="s">
        <v>79</v>
      </c>
      <c r="J11" s="10"/>
    </row>
    <row r="12" spans="1:10" ht="24" customHeight="1" x14ac:dyDescent="0.3">
      <c r="A12" s="42">
        <v>45938</v>
      </c>
      <c r="B12" s="22" t="s">
        <v>61</v>
      </c>
      <c r="C12" s="22" t="s">
        <v>80</v>
      </c>
      <c r="D12" s="10">
        <v>4</v>
      </c>
      <c r="E12" s="10">
        <v>3.3</v>
      </c>
      <c r="F12" s="46"/>
      <c r="G12" s="46" t="e">
        <f t="shared" si="0"/>
        <v>#DIV/0!</v>
      </c>
      <c r="H12" s="10" t="s">
        <v>5</v>
      </c>
      <c r="I12" s="10" t="s">
        <v>79</v>
      </c>
      <c r="J12" s="10">
        <f>+E12</f>
        <v>3.3</v>
      </c>
    </row>
    <row r="13" spans="1:10" ht="24" customHeight="1" x14ac:dyDescent="0.3">
      <c r="A13" s="42">
        <v>45939</v>
      </c>
      <c r="B13" s="22" t="s">
        <v>61</v>
      </c>
      <c r="C13" s="22" t="s">
        <v>81</v>
      </c>
      <c r="D13" s="10">
        <v>4</v>
      </c>
      <c r="E13" s="10">
        <v>3.4</v>
      </c>
      <c r="F13" s="46"/>
      <c r="G13" s="46" t="e">
        <f t="shared" si="0"/>
        <v>#DIV/0!</v>
      </c>
      <c r="H13" s="10" t="s">
        <v>5</v>
      </c>
      <c r="I13" s="10" t="s">
        <v>79</v>
      </c>
      <c r="J13" s="10">
        <f>+J12+E13</f>
        <v>6.6999999999999993</v>
      </c>
    </row>
    <row r="14" spans="1:10" ht="24" customHeight="1" x14ac:dyDescent="0.3">
      <c r="A14" s="42">
        <v>46305</v>
      </c>
      <c r="B14" s="22" t="s">
        <v>61</v>
      </c>
      <c r="C14" s="22" t="s">
        <v>82</v>
      </c>
      <c r="D14" s="10"/>
      <c r="E14" s="10"/>
      <c r="F14" s="46"/>
      <c r="G14" s="46" t="e">
        <f t="shared" si="0"/>
        <v>#DIV/0!</v>
      </c>
      <c r="H14" s="10"/>
      <c r="I14" s="10" t="s">
        <v>79</v>
      </c>
      <c r="J14" s="10"/>
    </row>
    <row r="15" spans="1:10" ht="24" customHeight="1" x14ac:dyDescent="0.3">
      <c r="A15" s="42">
        <v>46306</v>
      </c>
      <c r="B15" s="22" t="s">
        <v>61</v>
      </c>
      <c r="C15" s="22" t="s">
        <v>83</v>
      </c>
      <c r="D15" s="10"/>
      <c r="E15" s="10"/>
      <c r="F15" s="46"/>
      <c r="G15" s="46" t="e">
        <f t="shared" si="0"/>
        <v>#DIV/0!</v>
      </c>
      <c r="H15" s="10"/>
      <c r="I15" s="10" t="s">
        <v>79</v>
      </c>
      <c r="J15" s="10"/>
    </row>
    <row r="16" spans="1:10" ht="24" customHeight="1" x14ac:dyDescent="0.3">
      <c r="A16" s="42">
        <v>46307</v>
      </c>
      <c r="B16" s="22" t="s">
        <v>61</v>
      </c>
      <c r="C16" s="22" t="s">
        <v>84</v>
      </c>
      <c r="D16" s="10"/>
      <c r="E16" s="10"/>
      <c r="F16" s="46"/>
      <c r="G16" s="46" t="e">
        <f t="shared" si="0"/>
        <v>#DIV/0!</v>
      </c>
      <c r="H16" s="10"/>
      <c r="I16" s="10"/>
      <c r="J16" s="10"/>
    </row>
    <row r="17" spans="1:10" ht="24" customHeight="1" x14ac:dyDescent="0.3">
      <c r="A17" s="42">
        <v>46308</v>
      </c>
      <c r="B17" s="22" t="s">
        <v>61</v>
      </c>
      <c r="C17" s="22" t="s">
        <v>85</v>
      </c>
      <c r="D17" s="10"/>
      <c r="E17" s="10"/>
      <c r="F17" s="46"/>
      <c r="G17" s="46" t="e">
        <f t="shared" si="0"/>
        <v>#DIV/0!</v>
      </c>
      <c r="H17" s="10"/>
      <c r="I17" s="10"/>
      <c r="J17" s="10"/>
    </row>
    <row r="18" spans="1:10" ht="24" customHeight="1" x14ac:dyDescent="0.3">
      <c r="A18" s="42">
        <v>46309</v>
      </c>
      <c r="B18" s="22" t="s">
        <v>61</v>
      </c>
      <c r="C18" s="22" t="s">
        <v>86</v>
      </c>
      <c r="D18" s="10"/>
      <c r="E18" s="10"/>
      <c r="F18" s="46"/>
      <c r="G18" s="46" t="e">
        <f t="shared" si="0"/>
        <v>#DIV/0!</v>
      </c>
      <c r="H18" s="10"/>
      <c r="I18" s="10"/>
      <c r="J18" s="10"/>
    </row>
    <row r="19" spans="1:10" ht="24" customHeight="1" x14ac:dyDescent="0.3">
      <c r="A19" s="42">
        <v>46310</v>
      </c>
      <c r="B19" s="22" t="s">
        <v>61</v>
      </c>
      <c r="C19" s="22" t="s">
        <v>87</v>
      </c>
      <c r="D19" s="10"/>
      <c r="E19" s="10"/>
      <c r="F19" s="46"/>
      <c r="G19" s="46" t="e">
        <f t="shared" si="0"/>
        <v>#DIV/0!</v>
      </c>
      <c r="H19" s="10"/>
      <c r="I19" s="10"/>
      <c r="J19" s="10"/>
    </row>
    <row r="20" spans="1:10" ht="24" customHeight="1" x14ac:dyDescent="0.3">
      <c r="A20" s="42">
        <v>46312</v>
      </c>
      <c r="B20" s="22" t="s">
        <v>61</v>
      </c>
      <c r="C20" s="22" t="s">
        <v>89</v>
      </c>
      <c r="D20" s="10"/>
      <c r="E20" s="10"/>
      <c r="F20" s="46"/>
      <c r="G20" s="46" t="e">
        <f t="shared" si="0"/>
        <v>#DIV/0!</v>
      </c>
      <c r="H20" s="10"/>
      <c r="I20" s="10"/>
      <c r="J20" s="10"/>
    </row>
    <row r="21" spans="1:10" ht="24" customHeight="1" x14ac:dyDescent="0.3">
      <c r="A21" s="42">
        <v>46313</v>
      </c>
      <c r="B21" s="22" t="s">
        <v>61</v>
      </c>
      <c r="C21" s="22" t="s">
        <v>90</v>
      </c>
      <c r="D21" s="10"/>
      <c r="E21" s="10"/>
      <c r="F21" s="46"/>
      <c r="G21" s="46" t="e">
        <f t="shared" si="0"/>
        <v>#DIV/0!</v>
      </c>
      <c r="H21" s="10"/>
      <c r="I21" s="10"/>
      <c r="J21" s="10"/>
    </row>
    <row r="22" spans="1:10" ht="24" customHeight="1" x14ac:dyDescent="0.3">
      <c r="A22" s="42">
        <v>46314</v>
      </c>
      <c r="B22" s="22" t="s">
        <v>61</v>
      </c>
      <c r="C22" s="22" t="s">
        <v>91</v>
      </c>
      <c r="D22" s="10"/>
      <c r="E22" s="10"/>
      <c r="F22" s="46"/>
      <c r="G22" s="46" t="e">
        <f t="shared" si="0"/>
        <v>#DIV/0!</v>
      </c>
      <c r="H22" s="10"/>
      <c r="I22" s="10"/>
      <c r="J22" s="10"/>
    </row>
    <row r="23" spans="1:10" ht="24" customHeight="1" x14ac:dyDescent="0.3">
      <c r="A23" s="42">
        <v>45950</v>
      </c>
      <c r="B23" s="22" t="s">
        <v>61</v>
      </c>
      <c r="C23" s="22" t="s">
        <v>82</v>
      </c>
      <c r="D23" s="10">
        <v>6</v>
      </c>
      <c r="E23" s="10">
        <v>5.0999999999999996</v>
      </c>
      <c r="F23" s="46"/>
      <c r="G23" s="46" t="e">
        <f t="shared" si="0"/>
        <v>#DIV/0!</v>
      </c>
      <c r="H23" s="10" t="s">
        <v>5</v>
      </c>
      <c r="I23" s="10" t="s">
        <v>79</v>
      </c>
      <c r="J23" s="10">
        <f>+J13+E23</f>
        <v>11.799999999999999</v>
      </c>
    </row>
    <row r="24" spans="1:10" ht="24" customHeight="1" x14ac:dyDescent="0.3">
      <c r="A24" s="42">
        <v>45951</v>
      </c>
      <c r="B24" s="22" t="s">
        <v>61</v>
      </c>
      <c r="C24" s="22" t="s">
        <v>83</v>
      </c>
      <c r="D24" s="10">
        <v>3</v>
      </c>
      <c r="E24" s="10">
        <v>2.85</v>
      </c>
      <c r="F24" s="46"/>
      <c r="G24" s="46" t="e">
        <f t="shared" si="0"/>
        <v>#DIV/0!</v>
      </c>
      <c r="H24" s="10" t="s">
        <v>5</v>
      </c>
      <c r="I24" s="10" t="s">
        <v>79</v>
      </c>
      <c r="J24" s="10">
        <f>+J23+E24</f>
        <v>14.649999999999999</v>
      </c>
    </row>
    <row r="25" spans="1:10" ht="24" customHeight="1" x14ac:dyDescent="0.3">
      <c r="A25" s="42">
        <v>45952</v>
      </c>
      <c r="B25" s="22" t="s">
        <v>61</v>
      </c>
      <c r="C25" s="22" t="s">
        <v>84</v>
      </c>
      <c r="D25" s="10">
        <v>3</v>
      </c>
      <c r="E25" s="10">
        <v>1.46</v>
      </c>
      <c r="F25" s="46"/>
      <c r="G25" s="46" t="e">
        <f t="shared" si="0"/>
        <v>#DIV/0!</v>
      </c>
      <c r="H25" s="10" t="s">
        <v>7</v>
      </c>
      <c r="I25" s="10" t="s">
        <v>79</v>
      </c>
      <c r="J25" s="10">
        <f t="shared" ref="J25:J88" si="1">+J24+E25</f>
        <v>16.11</v>
      </c>
    </row>
    <row r="26" spans="1:10" ht="24" customHeight="1" x14ac:dyDescent="0.3">
      <c r="A26" s="42">
        <v>45953</v>
      </c>
      <c r="B26" s="22" t="s">
        <v>61</v>
      </c>
      <c r="C26" s="22" t="s">
        <v>85</v>
      </c>
      <c r="D26" s="10">
        <v>5</v>
      </c>
      <c r="E26" s="10">
        <v>3.52</v>
      </c>
      <c r="F26" s="46"/>
      <c r="G26" s="46" t="e">
        <f t="shared" si="0"/>
        <v>#DIV/0!</v>
      </c>
      <c r="H26" s="10" t="s">
        <v>4</v>
      </c>
      <c r="I26" s="10" t="s">
        <v>79</v>
      </c>
      <c r="J26" s="10">
        <f t="shared" si="1"/>
        <v>19.63</v>
      </c>
    </row>
    <row r="27" spans="1:10" ht="24" customHeight="1" x14ac:dyDescent="0.3">
      <c r="A27" s="42">
        <v>45954</v>
      </c>
      <c r="B27" s="22" t="s">
        <v>61</v>
      </c>
      <c r="C27" s="22" t="s">
        <v>86</v>
      </c>
      <c r="D27" s="10">
        <v>6</v>
      </c>
      <c r="E27" s="10">
        <v>4.3099999999999996</v>
      </c>
      <c r="F27" s="46"/>
      <c r="G27" s="46" t="e">
        <f t="shared" si="0"/>
        <v>#DIV/0!</v>
      </c>
      <c r="H27" s="10" t="s">
        <v>4</v>
      </c>
      <c r="I27" s="10" t="s">
        <v>79</v>
      </c>
      <c r="J27" s="10">
        <f t="shared" si="1"/>
        <v>23.939999999999998</v>
      </c>
    </row>
    <row r="28" spans="1:10" ht="24" customHeight="1" x14ac:dyDescent="0.3">
      <c r="A28" s="42">
        <v>45955</v>
      </c>
      <c r="B28" s="22" t="s">
        <v>61</v>
      </c>
      <c r="C28" s="22" t="s">
        <v>87</v>
      </c>
      <c r="D28" s="10">
        <v>6</v>
      </c>
      <c r="E28" s="10">
        <v>3.75</v>
      </c>
      <c r="F28" s="46"/>
      <c r="G28" s="46" t="e">
        <f t="shared" si="0"/>
        <v>#DIV/0!</v>
      </c>
      <c r="H28" s="10" t="s">
        <v>4</v>
      </c>
      <c r="I28" s="10" t="s">
        <v>79</v>
      </c>
      <c r="J28" s="10">
        <f t="shared" si="1"/>
        <v>27.689999999999998</v>
      </c>
    </row>
    <row r="29" spans="1:10" ht="24" customHeight="1" x14ac:dyDescent="0.3">
      <c r="A29" s="42">
        <v>45957</v>
      </c>
      <c r="B29" s="22" t="s">
        <v>61</v>
      </c>
      <c r="C29" s="22" t="s">
        <v>88</v>
      </c>
      <c r="D29" s="10">
        <v>6</v>
      </c>
      <c r="E29" s="10">
        <v>4.55</v>
      </c>
      <c r="F29" s="46"/>
      <c r="G29" s="46" t="e">
        <f t="shared" si="0"/>
        <v>#DIV/0!</v>
      </c>
      <c r="H29" s="10" t="s">
        <v>4</v>
      </c>
      <c r="I29" s="10" t="s">
        <v>79</v>
      </c>
      <c r="J29" s="10">
        <f t="shared" si="1"/>
        <v>32.239999999999995</v>
      </c>
    </row>
    <row r="30" spans="1:10" ht="24" customHeight="1" x14ac:dyDescent="0.3">
      <c r="A30" s="42">
        <v>45958</v>
      </c>
      <c r="B30" s="22" t="s">
        <v>61</v>
      </c>
      <c r="C30" s="22" t="s">
        <v>89</v>
      </c>
      <c r="D30" s="10">
        <v>6</v>
      </c>
      <c r="E30" s="10">
        <v>5.4</v>
      </c>
      <c r="F30" s="46"/>
      <c r="G30" s="46" t="e">
        <f t="shared" si="0"/>
        <v>#DIV/0!</v>
      </c>
      <c r="H30" s="10" t="s">
        <v>4</v>
      </c>
      <c r="I30" s="10" t="s">
        <v>79</v>
      </c>
      <c r="J30" s="10">
        <f t="shared" si="1"/>
        <v>37.639999999999993</v>
      </c>
    </row>
    <row r="31" spans="1:10" ht="24" customHeight="1" x14ac:dyDescent="0.3">
      <c r="A31" s="42">
        <v>45959</v>
      </c>
      <c r="B31" s="22" t="s">
        <v>61</v>
      </c>
      <c r="C31" s="22" t="s">
        <v>90</v>
      </c>
      <c r="D31" s="10">
        <v>8</v>
      </c>
      <c r="E31" s="10">
        <v>4.7</v>
      </c>
      <c r="F31" s="46"/>
      <c r="G31" s="46" t="e">
        <f t="shared" si="0"/>
        <v>#DIV/0!</v>
      </c>
      <c r="H31" s="10" t="s">
        <v>3</v>
      </c>
      <c r="I31" s="10" t="s">
        <v>79</v>
      </c>
      <c r="J31" s="10">
        <f t="shared" si="1"/>
        <v>42.339999999999996</v>
      </c>
    </row>
    <row r="32" spans="1:10" ht="24" customHeight="1" x14ac:dyDescent="0.3">
      <c r="A32" s="42">
        <v>45960</v>
      </c>
      <c r="B32" s="22" t="s">
        <v>61</v>
      </c>
      <c r="C32" s="22" t="s">
        <v>91</v>
      </c>
      <c r="D32" s="10">
        <v>8</v>
      </c>
      <c r="E32" s="10">
        <v>3.05</v>
      </c>
      <c r="F32" s="46"/>
      <c r="G32" s="46" t="e">
        <f t="shared" si="0"/>
        <v>#DIV/0!</v>
      </c>
      <c r="H32" s="10" t="s">
        <v>3</v>
      </c>
      <c r="I32" s="10" t="s">
        <v>79</v>
      </c>
      <c r="J32" s="10">
        <f t="shared" si="1"/>
        <v>45.389999999999993</v>
      </c>
    </row>
    <row r="33" spans="1:10" ht="24" customHeight="1" x14ac:dyDescent="0.3">
      <c r="A33" s="42">
        <v>45965</v>
      </c>
      <c r="B33" s="22" t="s">
        <v>61</v>
      </c>
      <c r="C33" s="22" t="s">
        <v>92</v>
      </c>
      <c r="D33" s="10">
        <v>8</v>
      </c>
      <c r="E33" s="10">
        <v>6.05</v>
      </c>
      <c r="F33" s="46"/>
      <c r="G33" s="46" t="e">
        <f t="shared" si="0"/>
        <v>#DIV/0!</v>
      </c>
      <c r="H33" s="10" t="s">
        <v>6</v>
      </c>
      <c r="I33" s="10" t="s">
        <v>79</v>
      </c>
      <c r="J33" s="10">
        <f t="shared" si="1"/>
        <v>51.439999999999991</v>
      </c>
    </row>
    <row r="34" spans="1:10" ht="24" customHeight="1" x14ac:dyDescent="0.3">
      <c r="A34" s="42">
        <v>45966</v>
      </c>
      <c r="B34" s="22" t="s">
        <v>61</v>
      </c>
      <c r="C34" s="22" t="s">
        <v>93</v>
      </c>
      <c r="D34" s="10">
        <v>6</v>
      </c>
      <c r="E34" s="10">
        <v>4.6500000000000004</v>
      </c>
      <c r="F34" s="46"/>
      <c r="G34" s="46" t="e">
        <f t="shared" si="0"/>
        <v>#DIV/0!</v>
      </c>
      <c r="H34" s="10" t="s">
        <v>6</v>
      </c>
      <c r="I34" s="10" t="s">
        <v>79</v>
      </c>
      <c r="J34" s="10">
        <f t="shared" si="1"/>
        <v>56.089999999999989</v>
      </c>
    </row>
    <row r="35" spans="1:10" ht="24" customHeight="1" x14ac:dyDescent="0.3">
      <c r="A35" s="42">
        <v>45967</v>
      </c>
      <c r="B35" s="22" t="s">
        <v>61</v>
      </c>
      <c r="C35" s="22" t="s">
        <v>94</v>
      </c>
      <c r="D35" s="10">
        <v>3</v>
      </c>
      <c r="E35" s="10">
        <v>1.35</v>
      </c>
      <c r="F35" s="46"/>
      <c r="G35" s="46" t="e">
        <f t="shared" si="0"/>
        <v>#DIV/0!</v>
      </c>
      <c r="H35" s="10" t="s">
        <v>6</v>
      </c>
      <c r="I35" s="10" t="s">
        <v>79</v>
      </c>
      <c r="J35" s="10">
        <f t="shared" si="1"/>
        <v>57.439999999999991</v>
      </c>
    </row>
    <row r="36" spans="1:10" ht="24" customHeight="1" x14ac:dyDescent="0.3">
      <c r="A36" s="42">
        <v>45967</v>
      </c>
      <c r="B36" s="22" t="s">
        <v>61</v>
      </c>
      <c r="C36" s="22" t="s">
        <v>95</v>
      </c>
      <c r="D36" s="10">
        <v>3</v>
      </c>
      <c r="E36" s="10">
        <v>2.1</v>
      </c>
      <c r="F36" s="46"/>
      <c r="G36" s="46" t="e">
        <f t="shared" si="0"/>
        <v>#DIV/0!</v>
      </c>
      <c r="H36" s="10" t="s">
        <v>8</v>
      </c>
      <c r="I36" s="10" t="s">
        <v>79</v>
      </c>
      <c r="J36" s="10">
        <f t="shared" si="1"/>
        <v>59.539999999999992</v>
      </c>
    </row>
    <row r="37" spans="1:10" ht="24" customHeight="1" x14ac:dyDescent="0.3">
      <c r="A37" s="42">
        <v>45968</v>
      </c>
      <c r="B37" s="22" t="s">
        <v>61</v>
      </c>
      <c r="C37" s="22" t="s">
        <v>96</v>
      </c>
      <c r="D37" s="10">
        <v>1</v>
      </c>
      <c r="E37" s="10">
        <v>0.95</v>
      </c>
      <c r="F37" s="46"/>
      <c r="G37" s="46" t="e">
        <f t="shared" si="0"/>
        <v>#DIV/0!</v>
      </c>
      <c r="H37" s="10" t="s">
        <v>12</v>
      </c>
      <c r="I37" s="10" t="s">
        <v>79</v>
      </c>
      <c r="J37" s="10">
        <f t="shared" si="1"/>
        <v>60.489999999999995</v>
      </c>
    </row>
    <row r="38" spans="1:10" ht="24" customHeight="1" x14ac:dyDescent="0.3">
      <c r="A38" s="42">
        <v>45968</v>
      </c>
      <c r="B38" s="22" t="s">
        <v>61</v>
      </c>
      <c r="C38" s="22" t="s">
        <v>97</v>
      </c>
      <c r="D38" s="10">
        <v>1</v>
      </c>
      <c r="E38" s="10">
        <v>0.75</v>
      </c>
      <c r="F38" s="46"/>
      <c r="G38" s="46" t="e">
        <f t="shared" si="0"/>
        <v>#DIV/0!</v>
      </c>
      <c r="H38" s="10" t="s">
        <v>11</v>
      </c>
      <c r="I38" s="10" t="s">
        <v>79</v>
      </c>
      <c r="J38" s="10">
        <f t="shared" si="1"/>
        <v>61.239999999999995</v>
      </c>
    </row>
    <row r="39" spans="1:10" ht="24" customHeight="1" x14ac:dyDescent="0.3">
      <c r="A39" s="42">
        <v>45971</v>
      </c>
      <c r="B39" s="22" t="s">
        <v>61</v>
      </c>
      <c r="C39" s="22" t="s">
        <v>109</v>
      </c>
      <c r="D39" s="10">
        <v>34</v>
      </c>
      <c r="E39" s="10">
        <v>29.95</v>
      </c>
      <c r="F39" s="46">
        <v>5.92</v>
      </c>
      <c r="G39" s="46">
        <f t="shared" si="0"/>
        <v>5.0591216216216219</v>
      </c>
      <c r="H39" s="10" t="s">
        <v>5</v>
      </c>
      <c r="I39" s="10" t="s">
        <v>112</v>
      </c>
      <c r="J39" s="10">
        <f t="shared" si="1"/>
        <v>91.19</v>
      </c>
    </row>
    <row r="40" spans="1:10" ht="24" customHeight="1" x14ac:dyDescent="0.3">
      <c r="A40" s="42">
        <v>45972</v>
      </c>
      <c r="B40" s="22" t="s">
        <v>61</v>
      </c>
      <c r="C40" s="22" t="s">
        <v>110</v>
      </c>
      <c r="D40" s="10">
        <v>8</v>
      </c>
      <c r="E40" s="10">
        <v>13.05</v>
      </c>
      <c r="F40" s="46">
        <v>2.75</v>
      </c>
      <c r="G40" s="46">
        <f t="shared" si="0"/>
        <v>4.745454545454546</v>
      </c>
      <c r="H40" s="10" t="s">
        <v>9</v>
      </c>
      <c r="I40" s="10" t="s">
        <v>112</v>
      </c>
      <c r="J40" s="10">
        <f t="shared" si="1"/>
        <v>104.24</v>
      </c>
    </row>
    <row r="41" spans="1:10" ht="24" customHeight="1" x14ac:dyDescent="0.3">
      <c r="A41" s="42">
        <v>45973</v>
      </c>
      <c r="B41" s="22" t="s">
        <v>61</v>
      </c>
      <c r="C41" s="22" t="s">
        <v>111</v>
      </c>
      <c r="D41" s="10">
        <v>14</v>
      </c>
      <c r="E41" s="10">
        <v>13.95</v>
      </c>
      <c r="F41" s="46">
        <v>3.4</v>
      </c>
      <c r="G41" s="46">
        <f t="shared" si="0"/>
        <v>4.1029411764705879</v>
      </c>
      <c r="H41" s="10" t="s">
        <v>5</v>
      </c>
      <c r="I41" s="10" t="s">
        <v>112</v>
      </c>
      <c r="J41" s="10">
        <f t="shared" si="1"/>
        <v>118.19</v>
      </c>
    </row>
    <row r="42" spans="1:10" ht="24" customHeight="1" x14ac:dyDescent="0.3">
      <c r="A42" s="42">
        <v>45974</v>
      </c>
      <c r="B42" s="22" t="s">
        <v>61</v>
      </c>
      <c r="C42" s="22" t="s">
        <v>115</v>
      </c>
      <c r="D42" s="10">
        <v>17</v>
      </c>
      <c r="E42" s="10">
        <v>20</v>
      </c>
      <c r="F42" s="46">
        <v>2.73</v>
      </c>
      <c r="G42" s="46">
        <f t="shared" si="0"/>
        <v>7.3260073260073257</v>
      </c>
      <c r="H42" s="10" t="s">
        <v>5</v>
      </c>
      <c r="I42" s="10" t="s">
        <v>112</v>
      </c>
      <c r="J42" s="10">
        <f t="shared" si="1"/>
        <v>138.19</v>
      </c>
    </row>
    <row r="43" spans="1:10" ht="24" customHeight="1" x14ac:dyDescent="0.3">
      <c r="A43" s="42">
        <v>45975</v>
      </c>
      <c r="B43" s="22" t="s">
        <v>61</v>
      </c>
      <c r="C43" s="22" t="s">
        <v>116</v>
      </c>
      <c r="D43" s="10">
        <v>17</v>
      </c>
      <c r="E43" s="10">
        <v>13.4</v>
      </c>
      <c r="F43" s="46">
        <v>2.3199999999999998</v>
      </c>
      <c r="G43" s="46">
        <f t="shared" si="0"/>
        <v>5.7758620689655178</v>
      </c>
      <c r="H43" s="10" t="s">
        <v>5</v>
      </c>
      <c r="I43" s="10" t="s">
        <v>112</v>
      </c>
      <c r="J43" s="10">
        <f t="shared" si="1"/>
        <v>151.59</v>
      </c>
    </row>
    <row r="44" spans="1:10" ht="24" customHeight="1" x14ac:dyDescent="0.3">
      <c r="A44" s="42">
        <v>45976</v>
      </c>
      <c r="B44" s="22" t="s">
        <v>61</v>
      </c>
      <c r="C44" s="22" t="s">
        <v>117</v>
      </c>
      <c r="D44" s="10">
        <v>17</v>
      </c>
      <c r="E44" s="10">
        <v>12.15</v>
      </c>
      <c r="F44" s="46">
        <v>2.4500000000000002</v>
      </c>
      <c r="G44" s="46">
        <f t="shared" si="0"/>
        <v>4.9591836734693873</v>
      </c>
      <c r="H44" s="10" t="s">
        <v>9</v>
      </c>
      <c r="I44" s="10" t="s">
        <v>112</v>
      </c>
      <c r="J44" s="10">
        <f t="shared" si="1"/>
        <v>163.74</v>
      </c>
    </row>
    <row r="45" spans="1:10" ht="24" customHeight="1" x14ac:dyDescent="0.3">
      <c r="A45" s="42">
        <v>45978</v>
      </c>
      <c r="B45" s="22" t="s">
        <v>61</v>
      </c>
      <c r="C45" s="22" t="s">
        <v>118</v>
      </c>
      <c r="D45" s="10">
        <v>15</v>
      </c>
      <c r="E45" s="10">
        <v>13.25</v>
      </c>
      <c r="F45" s="46">
        <v>2.35</v>
      </c>
      <c r="G45" s="46">
        <f t="shared" si="0"/>
        <v>5.6382978723404253</v>
      </c>
      <c r="H45" s="10" t="s">
        <v>9</v>
      </c>
      <c r="I45" s="10" t="s">
        <v>112</v>
      </c>
      <c r="J45" s="10">
        <f t="shared" si="1"/>
        <v>176.99</v>
      </c>
    </row>
    <row r="46" spans="1:10" ht="24" customHeight="1" x14ac:dyDescent="0.3">
      <c r="A46" s="42">
        <v>45979</v>
      </c>
      <c r="B46" s="22" t="s">
        <v>61</v>
      </c>
      <c r="C46" s="22" t="s">
        <v>119</v>
      </c>
      <c r="D46" s="10">
        <v>16</v>
      </c>
      <c r="E46" s="10">
        <v>18.45</v>
      </c>
      <c r="F46" s="46">
        <v>3.34</v>
      </c>
      <c r="G46" s="46">
        <f t="shared" si="0"/>
        <v>5.523952095808383</v>
      </c>
      <c r="H46" s="10" t="s">
        <v>9</v>
      </c>
      <c r="I46" s="10" t="s">
        <v>112</v>
      </c>
      <c r="J46" s="10">
        <f t="shared" si="1"/>
        <v>195.44</v>
      </c>
    </row>
    <row r="47" spans="1:10" ht="24" customHeight="1" x14ac:dyDescent="0.3">
      <c r="A47" s="42">
        <v>45980</v>
      </c>
      <c r="B47" s="22" t="s">
        <v>61</v>
      </c>
      <c r="C47" s="22" t="s">
        <v>120</v>
      </c>
      <c r="D47" s="10">
        <v>14</v>
      </c>
      <c r="E47" s="10">
        <v>17.399999999999999</v>
      </c>
      <c r="F47" s="46">
        <v>3.09</v>
      </c>
      <c r="G47" s="46">
        <f t="shared" si="0"/>
        <v>5.6310679611650487</v>
      </c>
      <c r="H47" s="10" t="s">
        <v>9</v>
      </c>
      <c r="I47" s="10" t="s">
        <v>112</v>
      </c>
      <c r="J47" s="10">
        <f t="shared" si="1"/>
        <v>212.84</v>
      </c>
    </row>
    <row r="48" spans="1:10" ht="24" customHeight="1" x14ac:dyDescent="0.3">
      <c r="A48" s="42">
        <v>45981</v>
      </c>
      <c r="B48" s="22" t="s">
        <v>61</v>
      </c>
      <c r="C48" s="22" t="s">
        <v>127</v>
      </c>
      <c r="D48" s="10">
        <v>17</v>
      </c>
      <c r="E48" s="10">
        <v>15.9</v>
      </c>
      <c r="F48" s="46">
        <v>3</v>
      </c>
      <c r="G48" s="46">
        <f t="shared" si="0"/>
        <v>5.3</v>
      </c>
      <c r="H48" s="10" t="s">
        <v>4</v>
      </c>
      <c r="I48" s="10" t="s">
        <v>112</v>
      </c>
      <c r="J48" s="10">
        <f t="shared" si="1"/>
        <v>228.74</v>
      </c>
    </row>
    <row r="49" spans="1:10" ht="24" customHeight="1" x14ac:dyDescent="0.3">
      <c r="A49" s="42">
        <v>45982</v>
      </c>
      <c r="B49" s="22" t="s">
        <v>61</v>
      </c>
      <c r="C49" s="22" t="s">
        <v>128</v>
      </c>
      <c r="D49" s="10">
        <v>34</v>
      </c>
      <c r="E49" s="10">
        <v>25.95</v>
      </c>
      <c r="F49" s="46">
        <v>5.38</v>
      </c>
      <c r="G49" s="46">
        <f t="shared" si="0"/>
        <v>4.8234200743494426</v>
      </c>
      <c r="H49" s="10" t="s">
        <v>7</v>
      </c>
      <c r="I49" s="10" t="s">
        <v>112</v>
      </c>
      <c r="J49" s="10">
        <f t="shared" si="1"/>
        <v>254.69</v>
      </c>
    </row>
    <row r="50" spans="1:10" ht="24" customHeight="1" x14ac:dyDescent="0.3">
      <c r="A50" s="42">
        <v>45983</v>
      </c>
      <c r="B50" s="22" t="s">
        <v>61</v>
      </c>
      <c r="C50" s="22" t="s">
        <v>129</v>
      </c>
      <c r="D50" s="10">
        <v>28</v>
      </c>
      <c r="E50" s="10">
        <v>24.5</v>
      </c>
      <c r="F50" s="46">
        <v>5.08</v>
      </c>
      <c r="G50" s="46">
        <f t="shared" si="0"/>
        <v>4.8228346456692917</v>
      </c>
      <c r="H50" s="10" t="s">
        <v>7</v>
      </c>
      <c r="I50" s="10" t="s">
        <v>112</v>
      </c>
      <c r="J50" s="10">
        <f t="shared" si="1"/>
        <v>279.19</v>
      </c>
    </row>
    <row r="51" spans="1:10" ht="24" customHeight="1" x14ac:dyDescent="0.3">
      <c r="A51" s="42">
        <v>45985</v>
      </c>
      <c r="B51" s="22" t="s">
        <v>61</v>
      </c>
      <c r="C51" s="22" t="s">
        <v>132</v>
      </c>
      <c r="D51" s="10">
        <v>31</v>
      </c>
      <c r="E51" s="10">
        <v>31.35</v>
      </c>
      <c r="F51" s="46">
        <v>6.38</v>
      </c>
      <c r="G51" s="46">
        <f t="shared" si="0"/>
        <v>4.9137931034482758</v>
      </c>
      <c r="H51" s="10" t="s">
        <v>7</v>
      </c>
      <c r="I51" s="10" t="s">
        <v>112</v>
      </c>
      <c r="J51" s="10">
        <f t="shared" si="1"/>
        <v>310.54000000000002</v>
      </c>
    </row>
    <row r="52" spans="1:10" ht="24" customHeight="1" x14ac:dyDescent="0.3">
      <c r="A52" s="42">
        <v>45986</v>
      </c>
      <c r="B52" s="22" t="s">
        <v>61</v>
      </c>
      <c r="C52" s="22" t="s">
        <v>133</v>
      </c>
      <c r="D52" s="10">
        <v>27</v>
      </c>
      <c r="E52" s="10">
        <v>22.66</v>
      </c>
      <c r="F52" s="46">
        <v>5.63</v>
      </c>
      <c r="G52" s="46">
        <f t="shared" si="0"/>
        <v>4.0248667850799293</v>
      </c>
      <c r="H52" s="10" t="s">
        <v>7</v>
      </c>
      <c r="I52" s="10" t="s">
        <v>112</v>
      </c>
      <c r="J52" s="10">
        <f t="shared" si="1"/>
        <v>333.20000000000005</v>
      </c>
    </row>
    <row r="53" spans="1:10" ht="24" customHeight="1" x14ac:dyDescent="0.3">
      <c r="A53" s="42">
        <v>45987</v>
      </c>
      <c r="B53" s="22" t="s">
        <v>61</v>
      </c>
      <c r="C53" s="22" t="s">
        <v>134</v>
      </c>
      <c r="D53" s="10">
        <v>28</v>
      </c>
      <c r="E53" s="10">
        <v>14.22</v>
      </c>
      <c r="F53" s="46">
        <v>3.39</v>
      </c>
      <c r="G53" s="46">
        <f t="shared" si="0"/>
        <v>4.1946902654867255</v>
      </c>
      <c r="H53" s="10" t="s">
        <v>7</v>
      </c>
      <c r="I53" s="10" t="s">
        <v>112</v>
      </c>
      <c r="J53" s="10">
        <f t="shared" si="1"/>
        <v>347.42000000000007</v>
      </c>
    </row>
    <row r="54" spans="1:10" ht="24" customHeight="1" x14ac:dyDescent="0.3">
      <c r="A54" s="42">
        <v>45988</v>
      </c>
      <c r="B54" s="22" t="s">
        <v>61</v>
      </c>
      <c r="C54" s="22" t="s">
        <v>135</v>
      </c>
      <c r="D54" s="10">
        <v>26</v>
      </c>
      <c r="E54" s="10">
        <v>20.05</v>
      </c>
      <c r="F54" s="46">
        <v>4.3099999999999996</v>
      </c>
      <c r="G54" s="46">
        <f t="shared" si="0"/>
        <v>4.6519721577726223</v>
      </c>
      <c r="H54" s="10" t="s">
        <v>4</v>
      </c>
      <c r="I54" s="10" t="s">
        <v>112</v>
      </c>
      <c r="J54" s="10">
        <f t="shared" si="1"/>
        <v>367.47000000000008</v>
      </c>
    </row>
    <row r="55" spans="1:10" ht="24" customHeight="1" x14ac:dyDescent="0.3">
      <c r="A55" s="42">
        <v>45989</v>
      </c>
      <c r="B55" s="22" t="s">
        <v>61</v>
      </c>
      <c r="C55" s="22" t="s">
        <v>136</v>
      </c>
      <c r="D55" s="10">
        <v>33</v>
      </c>
      <c r="E55" s="10">
        <v>23.15</v>
      </c>
      <c r="F55" s="46">
        <v>5.15</v>
      </c>
      <c r="G55" s="46">
        <f t="shared" si="0"/>
        <v>4.4951456310679605</v>
      </c>
      <c r="H55" s="10" t="s">
        <v>4</v>
      </c>
      <c r="I55" s="10" t="s">
        <v>112</v>
      </c>
      <c r="J55" s="10">
        <f t="shared" si="1"/>
        <v>390.62000000000006</v>
      </c>
    </row>
    <row r="56" spans="1:10" ht="24" customHeight="1" x14ac:dyDescent="0.3">
      <c r="A56" s="42">
        <v>45990</v>
      </c>
      <c r="B56" s="22" t="s">
        <v>61</v>
      </c>
      <c r="C56" s="22" t="s">
        <v>137</v>
      </c>
      <c r="D56" s="10">
        <v>26</v>
      </c>
      <c r="E56" s="10">
        <v>24.04</v>
      </c>
      <c r="F56" s="46">
        <v>5.31</v>
      </c>
      <c r="G56" s="46">
        <f t="shared" si="0"/>
        <v>4.5273069679849343</v>
      </c>
      <c r="H56" s="10" t="s">
        <v>4</v>
      </c>
      <c r="I56" s="10" t="s">
        <v>112</v>
      </c>
      <c r="J56" s="10">
        <f t="shared" si="1"/>
        <v>414.66000000000008</v>
      </c>
    </row>
    <row r="57" spans="1:10" ht="24" customHeight="1" x14ac:dyDescent="0.3">
      <c r="A57" s="42">
        <v>45992</v>
      </c>
      <c r="B57" s="22" t="s">
        <v>61</v>
      </c>
      <c r="C57" s="22" t="s">
        <v>138</v>
      </c>
      <c r="D57" s="10">
        <v>17</v>
      </c>
      <c r="E57" s="10">
        <v>14.35</v>
      </c>
      <c r="F57" s="46">
        <v>2.98</v>
      </c>
      <c r="G57" s="46">
        <f t="shared" si="0"/>
        <v>4.8154362416107386</v>
      </c>
      <c r="H57" s="10" t="s">
        <v>4</v>
      </c>
      <c r="I57" s="10" t="s">
        <v>112</v>
      </c>
      <c r="J57" s="10">
        <f t="shared" si="1"/>
        <v>429.0100000000001</v>
      </c>
    </row>
    <row r="58" spans="1:10" ht="24" customHeight="1" x14ac:dyDescent="0.3">
      <c r="A58" s="42">
        <v>45992</v>
      </c>
      <c r="B58" s="22" t="s">
        <v>61</v>
      </c>
      <c r="C58" s="22" t="s">
        <v>139</v>
      </c>
      <c r="D58" s="10">
        <v>16</v>
      </c>
      <c r="E58" s="10">
        <v>13.7</v>
      </c>
      <c r="F58" s="46">
        <v>2.76</v>
      </c>
      <c r="G58" s="46">
        <f t="shared" si="0"/>
        <v>4.9637681159420293</v>
      </c>
      <c r="H58" s="10" t="s">
        <v>9</v>
      </c>
      <c r="I58" s="10" t="s">
        <v>112</v>
      </c>
      <c r="J58" s="10">
        <f t="shared" si="1"/>
        <v>442.71000000000009</v>
      </c>
    </row>
    <row r="59" spans="1:10" ht="24" customHeight="1" x14ac:dyDescent="0.3">
      <c r="A59" s="42">
        <v>45993</v>
      </c>
      <c r="B59" s="22" t="s">
        <v>61</v>
      </c>
      <c r="C59" s="22" t="s">
        <v>140</v>
      </c>
      <c r="D59" s="10">
        <v>26</v>
      </c>
      <c r="E59" s="10">
        <v>24.5</v>
      </c>
      <c r="F59" s="46">
        <v>4.66</v>
      </c>
      <c r="G59" s="46">
        <f t="shared" si="0"/>
        <v>5.2575107296137338</v>
      </c>
      <c r="H59" s="10" t="s">
        <v>3</v>
      </c>
      <c r="I59" s="10" t="s">
        <v>112</v>
      </c>
      <c r="J59" s="10">
        <f t="shared" si="1"/>
        <v>467.21000000000009</v>
      </c>
    </row>
    <row r="60" spans="1:10" ht="24" customHeight="1" x14ac:dyDescent="0.3">
      <c r="A60" s="42">
        <v>45994</v>
      </c>
      <c r="B60" s="22" t="s">
        <v>61</v>
      </c>
      <c r="C60" s="22" t="s">
        <v>141</v>
      </c>
      <c r="D60" s="10">
        <v>20</v>
      </c>
      <c r="E60" s="10">
        <v>23.6</v>
      </c>
      <c r="F60" s="46">
        <v>5.35</v>
      </c>
      <c r="G60" s="46">
        <f t="shared" si="0"/>
        <v>4.4112149532710285</v>
      </c>
      <c r="H60" s="10" t="s">
        <v>3</v>
      </c>
      <c r="I60" s="10" t="s">
        <v>112</v>
      </c>
      <c r="J60" s="10">
        <f t="shared" si="1"/>
        <v>490.81000000000012</v>
      </c>
    </row>
    <row r="61" spans="1:10" ht="24" customHeight="1" x14ac:dyDescent="0.3">
      <c r="A61" s="42">
        <v>45995</v>
      </c>
      <c r="B61" s="22" t="s">
        <v>61</v>
      </c>
      <c r="C61" s="22" t="s">
        <v>142</v>
      </c>
      <c r="D61" s="10">
        <v>24</v>
      </c>
      <c r="E61" s="10">
        <v>24.9</v>
      </c>
      <c r="F61" s="46">
        <v>5.18</v>
      </c>
      <c r="G61" s="46">
        <f t="shared" si="0"/>
        <v>4.8069498069498069</v>
      </c>
      <c r="H61" s="10" t="s">
        <v>3</v>
      </c>
      <c r="I61" s="10" t="s">
        <v>112</v>
      </c>
      <c r="J61" s="10">
        <f t="shared" si="1"/>
        <v>515.71000000000015</v>
      </c>
    </row>
    <row r="62" spans="1:10" ht="24" customHeight="1" x14ac:dyDescent="0.3">
      <c r="A62" s="42">
        <v>45996</v>
      </c>
      <c r="B62" s="22" t="s">
        <v>61</v>
      </c>
      <c r="C62" s="22" t="s">
        <v>143</v>
      </c>
      <c r="D62" s="10">
        <v>28</v>
      </c>
      <c r="E62" s="10">
        <v>31.05</v>
      </c>
      <c r="F62" s="46">
        <v>6.55</v>
      </c>
      <c r="G62" s="46">
        <f t="shared" si="0"/>
        <v>4.7404580152671763</v>
      </c>
      <c r="H62" s="10" t="s">
        <v>3</v>
      </c>
      <c r="I62" s="10" t="s">
        <v>112</v>
      </c>
      <c r="J62" s="10">
        <f t="shared" si="1"/>
        <v>546.7600000000001</v>
      </c>
    </row>
    <row r="63" spans="1:10" ht="24" customHeight="1" x14ac:dyDescent="0.3">
      <c r="A63" s="42">
        <v>45997</v>
      </c>
      <c r="B63" s="22" t="s">
        <v>61</v>
      </c>
      <c r="C63" s="22" t="s">
        <v>144</v>
      </c>
      <c r="D63" s="10">
        <v>26</v>
      </c>
      <c r="E63" s="10">
        <v>16.079999999999998</v>
      </c>
      <c r="F63" s="46">
        <v>3.46</v>
      </c>
      <c r="G63" s="46">
        <f t="shared" si="0"/>
        <v>4.6473988439306355</v>
      </c>
      <c r="H63" s="10" t="s">
        <v>3</v>
      </c>
      <c r="I63" s="10" t="s">
        <v>112</v>
      </c>
      <c r="J63" s="10">
        <f t="shared" si="1"/>
        <v>562.84000000000015</v>
      </c>
    </row>
    <row r="64" spans="1:10" ht="24" customHeight="1" x14ac:dyDescent="0.3">
      <c r="A64" s="42">
        <v>45999</v>
      </c>
      <c r="B64" s="22" t="s">
        <v>61</v>
      </c>
      <c r="C64" s="22" t="s">
        <v>145</v>
      </c>
      <c r="D64" s="10">
        <v>22</v>
      </c>
      <c r="E64" s="10">
        <v>15.5</v>
      </c>
      <c r="F64" s="46">
        <v>3.15</v>
      </c>
      <c r="G64" s="46">
        <f t="shared" si="0"/>
        <v>4.9206349206349209</v>
      </c>
      <c r="H64" s="10" t="s">
        <v>3</v>
      </c>
      <c r="I64" s="10" t="s">
        <v>112</v>
      </c>
      <c r="J64" s="10">
        <f t="shared" si="1"/>
        <v>578.34000000000015</v>
      </c>
    </row>
    <row r="65" spans="1:10" ht="24" customHeight="1" x14ac:dyDescent="0.3">
      <c r="A65" s="42">
        <v>46000</v>
      </c>
      <c r="B65" s="22" t="s">
        <v>61</v>
      </c>
      <c r="C65" s="22" t="s">
        <v>146</v>
      </c>
      <c r="D65" s="10">
        <v>14</v>
      </c>
      <c r="E65" s="10">
        <v>10.47</v>
      </c>
      <c r="F65" s="46">
        <v>2.37</v>
      </c>
      <c r="G65" s="46">
        <f t="shared" si="0"/>
        <v>4.4177215189873422</v>
      </c>
      <c r="H65" s="10" t="s">
        <v>12</v>
      </c>
      <c r="I65" s="10" t="s">
        <v>112</v>
      </c>
      <c r="J65" s="10">
        <f t="shared" si="1"/>
        <v>588.81000000000017</v>
      </c>
    </row>
    <row r="66" spans="1:10" ht="24" customHeight="1" x14ac:dyDescent="0.3">
      <c r="A66" s="42">
        <v>46001</v>
      </c>
      <c r="B66" s="22" t="s">
        <v>61</v>
      </c>
      <c r="C66" s="22" t="s">
        <v>147</v>
      </c>
      <c r="D66" s="10">
        <v>21</v>
      </c>
      <c r="E66" s="10">
        <v>18.46</v>
      </c>
      <c r="F66" s="62">
        <v>5.08</v>
      </c>
      <c r="G66" s="62">
        <v>5.17</v>
      </c>
      <c r="H66" s="10" t="s">
        <v>12</v>
      </c>
      <c r="I66" s="10" t="s">
        <v>112</v>
      </c>
      <c r="J66" s="10">
        <f t="shared" si="1"/>
        <v>607.27000000000021</v>
      </c>
    </row>
    <row r="67" spans="1:10" ht="24" customHeight="1" x14ac:dyDescent="0.3">
      <c r="A67" s="42">
        <v>46002</v>
      </c>
      <c r="B67" s="22" t="s">
        <v>61</v>
      </c>
      <c r="C67" s="22" t="s">
        <v>148</v>
      </c>
      <c r="D67" s="10">
        <v>19</v>
      </c>
      <c r="E67" s="10">
        <v>7.85</v>
      </c>
      <c r="F67" s="63"/>
      <c r="G67" s="63"/>
      <c r="H67" s="10" t="s">
        <v>12</v>
      </c>
      <c r="I67" s="10" t="s">
        <v>112</v>
      </c>
      <c r="J67" s="10">
        <f t="shared" si="1"/>
        <v>615.12000000000023</v>
      </c>
    </row>
    <row r="68" spans="1:10" ht="24" customHeight="1" x14ac:dyDescent="0.3">
      <c r="A68" s="42">
        <v>46003</v>
      </c>
      <c r="B68" s="22" t="s">
        <v>61</v>
      </c>
      <c r="C68" s="22" t="s">
        <v>149</v>
      </c>
      <c r="D68" s="10">
        <v>15</v>
      </c>
      <c r="E68" s="10">
        <v>9.35</v>
      </c>
      <c r="F68" s="46">
        <v>2</v>
      </c>
      <c r="G68" s="46">
        <f t="shared" si="0"/>
        <v>4.6749999999999998</v>
      </c>
      <c r="H68" s="10" t="s">
        <v>8</v>
      </c>
      <c r="I68" s="10" t="s">
        <v>112</v>
      </c>
      <c r="J68" s="10">
        <f t="shared" si="1"/>
        <v>624.47000000000025</v>
      </c>
    </row>
    <row r="69" spans="1:10" ht="24" customHeight="1" x14ac:dyDescent="0.3">
      <c r="A69" s="42">
        <v>46004</v>
      </c>
      <c r="B69" s="22" t="s">
        <v>61</v>
      </c>
      <c r="C69" s="22" t="s">
        <v>150</v>
      </c>
      <c r="D69" s="10">
        <v>13</v>
      </c>
      <c r="E69" s="10">
        <v>11.05</v>
      </c>
      <c r="F69" s="46">
        <v>2</v>
      </c>
      <c r="G69" s="46">
        <f t="shared" si="0"/>
        <v>5.5250000000000004</v>
      </c>
      <c r="H69" s="10" t="s">
        <v>8</v>
      </c>
      <c r="I69" s="10" t="s">
        <v>112</v>
      </c>
      <c r="J69" s="10">
        <f t="shared" si="1"/>
        <v>635.52000000000021</v>
      </c>
    </row>
    <row r="70" spans="1:10" ht="24" customHeight="1" x14ac:dyDescent="0.3">
      <c r="A70" s="42">
        <v>46006</v>
      </c>
      <c r="B70" s="22" t="s">
        <v>61</v>
      </c>
      <c r="C70" s="22" t="s">
        <v>151</v>
      </c>
      <c r="D70" s="10">
        <v>21</v>
      </c>
      <c r="E70" s="10">
        <v>20.329999999999998</v>
      </c>
      <c r="F70" s="46">
        <v>3.82</v>
      </c>
      <c r="G70" s="46">
        <f t="shared" si="0"/>
        <v>5.321989528795811</v>
      </c>
      <c r="H70" s="10" t="s">
        <v>8</v>
      </c>
      <c r="I70" s="10" t="s">
        <v>112</v>
      </c>
      <c r="J70" s="10">
        <f t="shared" si="1"/>
        <v>655.85000000000025</v>
      </c>
    </row>
    <row r="71" spans="1:10" ht="24" customHeight="1" x14ac:dyDescent="0.3">
      <c r="A71" s="42">
        <v>46007</v>
      </c>
      <c r="B71" s="22" t="s">
        <v>61</v>
      </c>
      <c r="C71" s="22" t="s">
        <v>152</v>
      </c>
      <c r="D71" s="10">
        <v>4</v>
      </c>
      <c r="E71" s="10">
        <v>4.3499999999999996</v>
      </c>
      <c r="F71" s="62">
        <v>2.8</v>
      </c>
      <c r="G71" s="62">
        <f>+E71+E72/F71</f>
        <v>8.0642857142857149</v>
      </c>
      <c r="H71" s="10" t="s">
        <v>8</v>
      </c>
      <c r="I71" s="10" t="s">
        <v>112</v>
      </c>
      <c r="J71" s="10">
        <f t="shared" si="1"/>
        <v>660.20000000000027</v>
      </c>
    </row>
    <row r="72" spans="1:10" ht="24" customHeight="1" x14ac:dyDescent="0.3">
      <c r="A72" s="42">
        <v>46007</v>
      </c>
      <c r="B72" s="22" t="s">
        <v>61</v>
      </c>
      <c r="C72" s="22" t="s">
        <v>153</v>
      </c>
      <c r="D72" s="10">
        <v>10</v>
      </c>
      <c r="E72" s="10">
        <v>10.4</v>
      </c>
      <c r="F72" s="63"/>
      <c r="G72" s="63"/>
      <c r="H72" s="10" t="s">
        <v>11</v>
      </c>
      <c r="I72" s="10" t="s">
        <v>112</v>
      </c>
      <c r="J72" s="10">
        <f t="shared" si="1"/>
        <v>670.60000000000025</v>
      </c>
    </row>
    <row r="73" spans="1:10" ht="24" customHeight="1" x14ac:dyDescent="0.3">
      <c r="A73" s="42">
        <v>46008</v>
      </c>
      <c r="B73" s="22" t="s">
        <v>61</v>
      </c>
      <c r="C73" s="22" t="s">
        <v>154</v>
      </c>
      <c r="D73" s="10">
        <v>3</v>
      </c>
      <c r="E73" s="10">
        <v>3.39</v>
      </c>
      <c r="F73" s="62">
        <v>3.82</v>
      </c>
      <c r="G73" s="62">
        <f>+E73+E74/F73</f>
        <v>7.6989005235602104</v>
      </c>
      <c r="H73" s="10" t="s">
        <v>8</v>
      </c>
      <c r="I73" s="10" t="s">
        <v>112</v>
      </c>
      <c r="J73" s="10">
        <f t="shared" si="1"/>
        <v>673.99000000000024</v>
      </c>
    </row>
    <row r="74" spans="1:10" ht="24" customHeight="1" x14ac:dyDescent="0.3">
      <c r="A74" s="42">
        <v>46008</v>
      </c>
      <c r="B74" s="22" t="s">
        <v>61</v>
      </c>
      <c r="C74" s="22" t="s">
        <v>155</v>
      </c>
      <c r="D74" s="10">
        <v>14</v>
      </c>
      <c r="E74" s="10">
        <v>16.46</v>
      </c>
      <c r="F74" s="63"/>
      <c r="G74" s="63"/>
      <c r="H74" s="10" t="s">
        <v>11</v>
      </c>
      <c r="I74" s="10" t="s">
        <v>112</v>
      </c>
      <c r="J74" s="10">
        <f t="shared" si="1"/>
        <v>690.45000000000027</v>
      </c>
    </row>
    <row r="75" spans="1:10" ht="24" customHeight="1" x14ac:dyDescent="0.3">
      <c r="A75" s="42">
        <v>46009</v>
      </c>
      <c r="B75" s="22" t="s">
        <v>61</v>
      </c>
      <c r="C75" s="22" t="s">
        <v>156</v>
      </c>
      <c r="D75" s="10">
        <v>23</v>
      </c>
      <c r="E75" s="10">
        <v>21.23</v>
      </c>
      <c r="F75" s="46">
        <v>4.0599999999999996</v>
      </c>
      <c r="G75" s="46">
        <f t="shared" si="0"/>
        <v>5.2290640394088674</v>
      </c>
      <c r="H75" s="10" t="s">
        <v>11</v>
      </c>
      <c r="I75" s="10" t="s">
        <v>112</v>
      </c>
      <c r="J75" s="10">
        <f t="shared" si="1"/>
        <v>711.68000000000029</v>
      </c>
    </row>
    <row r="76" spans="1:10" ht="24" customHeight="1" x14ac:dyDescent="0.3">
      <c r="A76" s="42">
        <v>46010</v>
      </c>
      <c r="B76" s="22" t="s">
        <v>157</v>
      </c>
      <c r="C76" s="22" t="s">
        <v>158</v>
      </c>
      <c r="D76" s="10"/>
      <c r="E76" s="10">
        <v>20.85</v>
      </c>
      <c r="F76" s="46">
        <v>4.3</v>
      </c>
      <c r="G76" s="46">
        <f t="shared" si="0"/>
        <v>4.8488372093023262</v>
      </c>
      <c r="H76" s="10" t="s">
        <v>11</v>
      </c>
      <c r="I76" s="10" t="s">
        <v>112</v>
      </c>
      <c r="J76" s="10">
        <f t="shared" si="1"/>
        <v>732.53000000000031</v>
      </c>
    </row>
    <row r="77" spans="1:10" ht="24" customHeight="1" x14ac:dyDescent="0.3">
      <c r="A77" s="42">
        <v>46011</v>
      </c>
      <c r="B77" s="22" t="s">
        <v>61</v>
      </c>
      <c r="C77" s="22" t="s">
        <v>159</v>
      </c>
      <c r="D77" s="10"/>
      <c r="E77" s="10">
        <v>2.9</v>
      </c>
      <c r="F77" s="46">
        <v>0.6</v>
      </c>
      <c r="G77" s="46">
        <f t="shared" si="0"/>
        <v>4.833333333333333</v>
      </c>
      <c r="H77" s="10" t="s">
        <v>11</v>
      </c>
      <c r="I77" s="10" t="s">
        <v>112</v>
      </c>
      <c r="J77" s="10">
        <f t="shared" si="1"/>
        <v>735.43000000000029</v>
      </c>
    </row>
    <row r="78" spans="1:10" ht="24" customHeight="1" x14ac:dyDescent="0.3">
      <c r="A78" s="42">
        <v>46013</v>
      </c>
      <c r="B78" s="22" t="s">
        <v>61</v>
      </c>
      <c r="C78" s="22" t="s">
        <v>160</v>
      </c>
      <c r="D78" s="10"/>
      <c r="E78" s="10">
        <v>22.8</v>
      </c>
      <c r="F78" s="46">
        <v>4.78</v>
      </c>
      <c r="G78" s="46">
        <f t="shared" si="0"/>
        <v>4.7698744769874475</v>
      </c>
      <c r="H78" s="10" t="s">
        <v>11</v>
      </c>
      <c r="I78" s="10" t="s">
        <v>112</v>
      </c>
      <c r="J78" s="10">
        <f t="shared" si="1"/>
        <v>758.23000000000025</v>
      </c>
    </row>
    <row r="79" spans="1:10" ht="24" customHeight="1" x14ac:dyDescent="0.3">
      <c r="A79" s="42">
        <v>46014</v>
      </c>
      <c r="B79" s="22" t="s">
        <v>61</v>
      </c>
      <c r="C79" s="22" t="s">
        <v>161</v>
      </c>
      <c r="D79" s="10"/>
      <c r="E79" s="10">
        <v>31.82</v>
      </c>
      <c r="F79" s="46">
        <v>6.55</v>
      </c>
      <c r="G79" s="46">
        <f t="shared" si="0"/>
        <v>4.8580152671755723</v>
      </c>
      <c r="H79" s="10" t="s">
        <v>11</v>
      </c>
      <c r="I79" s="10" t="s">
        <v>112</v>
      </c>
      <c r="J79" s="10">
        <f t="shared" si="1"/>
        <v>790.0500000000003</v>
      </c>
    </row>
    <row r="80" spans="1:10" ht="24" customHeight="1" x14ac:dyDescent="0.3">
      <c r="A80" s="42">
        <v>46015</v>
      </c>
      <c r="B80" s="22" t="s">
        <v>61</v>
      </c>
      <c r="C80" s="22" t="s">
        <v>162</v>
      </c>
      <c r="D80" s="10"/>
      <c r="E80" s="10">
        <v>10.210000000000001</v>
      </c>
      <c r="F80" s="46">
        <v>2.1</v>
      </c>
      <c r="G80" s="46">
        <f t="shared" si="0"/>
        <v>4.8619047619047624</v>
      </c>
      <c r="H80" s="10" t="s">
        <v>11</v>
      </c>
      <c r="I80" s="10" t="s">
        <v>112</v>
      </c>
      <c r="J80" s="10">
        <f t="shared" si="1"/>
        <v>800.26000000000033</v>
      </c>
    </row>
    <row r="81" spans="1:10" ht="24" customHeight="1" x14ac:dyDescent="0.3">
      <c r="A81" s="42">
        <v>46017</v>
      </c>
      <c r="B81" s="22" t="s">
        <v>61</v>
      </c>
      <c r="C81" s="22" t="s">
        <v>163</v>
      </c>
      <c r="D81" s="10"/>
      <c r="E81" s="10">
        <f>26.85+4.1</f>
        <v>30.950000000000003</v>
      </c>
      <c r="F81" s="46">
        <v>3.57</v>
      </c>
      <c r="G81" s="46">
        <f t="shared" ref="G81:G143" si="2">+E81/F81</f>
        <v>8.6694677871148471</v>
      </c>
      <c r="H81" s="10" t="s">
        <v>5</v>
      </c>
      <c r="I81" s="10" t="s">
        <v>112</v>
      </c>
      <c r="J81" s="10">
        <f t="shared" si="1"/>
        <v>831.21000000000038</v>
      </c>
    </row>
    <row r="82" spans="1:10" ht="24" customHeight="1" x14ac:dyDescent="0.3">
      <c r="A82" s="42">
        <v>46383</v>
      </c>
      <c r="B82" s="22" t="s">
        <v>61</v>
      </c>
      <c r="C82" s="22" t="s">
        <v>164</v>
      </c>
      <c r="D82" s="10"/>
      <c r="E82" s="10">
        <v>16.45</v>
      </c>
      <c r="F82" s="46">
        <v>2.96</v>
      </c>
      <c r="G82" s="46">
        <f t="shared" si="2"/>
        <v>5.5574324324324325</v>
      </c>
      <c r="H82" s="10" t="s">
        <v>5</v>
      </c>
      <c r="I82" s="10" t="s">
        <v>112</v>
      </c>
      <c r="J82" s="10">
        <f t="shared" si="1"/>
        <v>847.66000000000042</v>
      </c>
    </row>
    <row r="83" spans="1:10" ht="24" customHeight="1" x14ac:dyDescent="0.3">
      <c r="A83" s="42">
        <v>46385</v>
      </c>
      <c r="B83" s="22" t="s">
        <v>61</v>
      </c>
      <c r="C83" s="22" t="s">
        <v>165</v>
      </c>
      <c r="D83" s="10"/>
      <c r="E83" s="10">
        <v>19.25</v>
      </c>
      <c r="F83" s="46">
        <v>3.35</v>
      </c>
      <c r="G83" s="46">
        <f t="shared" si="2"/>
        <v>5.7462686567164178</v>
      </c>
      <c r="H83" s="10" t="s">
        <v>5</v>
      </c>
      <c r="I83" s="10" t="s">
        <v>112</v>
      </c>
      <c r="J83" s="10">
        <f t="shared" si="1"/>
        <v>866.91000000000042</v>
      </c>
    </row>
    <row r="84" spans="1:10" ht="24" customHeight="1" x14ac:dyDescent="0.3">
      <c r="A84" s="42">
        <v>46386</v>
      </c>
      <c r="B84" s="22" t="s">
        <v>61</v>
      </c>
      <c r="C84" s="22" t="s">
        <v>166</v>
      </c>
      <c r="D84" s="10"/>
      <c r="E84" s="10">
        <v>15</v>
      </c>
      <c r="F84" s="46">
        <v>2.65</v>
      </c>
      <c r="G84" s="46">
        <f t="shared" si="2"/>
        <v>5.6603773584905666</v>
      </c>
      <c r="H84" s="10" t="s">
        <v>5</v>
      </c>
      <c r="I84" s="10" t="s">
        <v>112</v>
      </c>
      <c r="J84" s="10">
        <f t="shared" si="1"/>
        <v>881.91000000000042</v>
      </c>
    </row>
    <row r="85" spans="1:10" ht="24" customHeight="1" x14ac:dyDescent="0.3">
      <c r="A85" s="42">
        <v>46387</v>
      </c>
      <c r="B85" s="22" t="s">
        <v>61</v>
      </c>
      <c r="C85" s="22" t="s">
        <v>167</v>
      </c>
      <c r="D85" s="10"/>
      <c r="E85" s="10">
        <v>9.4</v>
      </c>
      <c r="F85" s="46">
        <f>1.53+0.52</f>
        <v>2.0499999999999998</v>
      </c>
      <c r="G85" s="46">
        <f t="shared" si="2"/>
        <v>4.5853658536585371</v>
      </c>
      <c r="H85" s="10" t="s">
        <v>6</v>
      </c>
      <c r="I85" s="10" t="s">
        <v>112</v>
      </c>
      <c r="J85" s="10">
        <f t="shared" si="1"/>
        <v>891.3100000000004</v>
      </c>
    </row>
    <row r="86" spans="1:10" ht="24" customHeight="1" x14ac:dyDescent="0.3">
      <c r="A86" s="42">
        <v>46024</v>
      </c>
      <c r="B86" s="22" t="s">
        <v>61</v>
      </c>
      <c r="C86" s="22" t="s">
        <v>168</v>
      </c>
      <c r="D86" s="10"/>
      <c r="E86" s="10">
        <f>27.5+6.7</f>
        <v>34.200000000000003</v>
      </c>
      <c r="F86" s="46">
        <v>5.2</v>
      </c>
      <c r="G86" s="46">
        <f t="shared" si="2"/>
        <v>6.5769230769230775</v>
      </c>
      <c r="H86" s="10" t="s">
        <v>5</v>
      </c>
      <c r="I86" s="10" t="s">
        <v>112</v>
      </c>
      <c r="J86" s="10">
        <f t="shared" si="1"/>
        <v>925.51000000000045</v>
      </c>
    </row>
    <row r="87" spans="1:10" ht="24" customHeight="1" x14ac:dyDescent="0.3">
      <c r="A87" s="42">
        <v>46025</v>
      </c>
      <c r="B87" s="22" t="s">
        <v>61</v>
      </c>
      <c r="C87" s="22" t="s">
        <v>169</v>
      </c>
      <c r="D87" s="10"/>
      <c r="E87" s="10">
        <f>18.7</f>
        <v>18.7</v>
      </c>
      <c r="F87" s="46">
        <v>3.12</v>
      </c>
      <c r="G87" s="46">
        <f t="shared" si="2"/>
        <v>5.9935897435897427</v>
      </c>
      <c r="H87" s="10" t="s">
        <v>5</v>
      </c>
      <c r="I87" s="10" t="s">
        <v>112</v>
      </c>
      <c r="J87" s="10">
        <f t="shared" si="1"/>
        <v>944.21000000000049</v>
      </c>
    </row>
    <row r="88" spans="1:10" ht="24" customHeight="1" x14ac:dyDescent="0.3">
      <c r="A88" s="42">
        <v>46027</v>
      </c>
      <c r="B88" s="22" t="s">
        <v>61</v>
      </c>
      <c r="C88" s="22" t="s">
        <v>170</v>
      </c>
      <c r="D88" s="10"/>
      <c r="E88" s="10">
        <v>9.75</v>
      </c>
      <c r="F88" s="46">
        <v>1.57</v>
      </c>
      <c r="G88" s="46">
        <f t="shared" si="2"/>
        <v>6.2101910828025479</v>
      </c>
      <c r="H88" s="10" t="s">
        <v>5</v>
      </c>
      <c r="I88" s="10" t="s">
        <v>112</v>
      </c>
      <c r="J88" s="10">
        <f t="shared" si="1"/>
        <v>953.96000000000049</v>
      </c>
    </row>
    <row r="89" spans="1:10" ht="24" customHeight="1" x14ac:dyDescent="0.3">
      <c r="A89" s="42">
        <v>46028</v>
      </c>
      <c r="B89" s="22" t="s">
        <v>61</v>
      </c>
      <c r="C89" s="22" t="s">
        <v>171</v>
      </c>
      <c r="D89" s="10"/>
      <c r="E89" s="10">
        <v>22.55</v>
      </c>
      <c r="F89" s="46">
        <v>3.48</v>
      </c>
      <c r="G89" s="46">
        <f t="shared" si="2"/>
        <v>6.4798850574712645</v>
      </c>
      <c r="H89" s="10" t="s">
        <v>5</v>
      </c>
      <c r="I89" s="10" t="s">
        <v>112</v>
      </c>
      <c r="J89" s="10">
        <f t="shared" ref="J89:J170" si="3">+J88+E89</f>
        <v>976.51000000000045</v>
      </c>
    </row>
    <row r="90" spans="1:10" ht="24" customHeight="1" x14ac:dyDescent="0.3">
      <c r="A90" s="42">
        <v>46029</v>
      </c>
      <c r="B90" s="22" t="s">
        <v>61</v>
      </c>
      <c r="C90" s="22" t="s">
        <v>172</v>
      </c>
      <c r="D90" s="10"/>
      <c r="E90" s="10">
        <v>18.899999999999999</v>
      </c>
      <c r="F90" s="46">
        <v>3.67</v>
      </c>
      <c r="G90" s="46">
        <f t="shared" si="2"/>
        <v>5.1498637602179835</v>
      </c>
      <c r="H90" s="10" t="s">
        <v>5</v>
      </c>
      <c r="I90" s="10" t="s">
        <v>112</v>
      </c>
      <c r="J90" s="10">
        <f t="shared" si="3"/>
        <v>995.41000000000042</v>
      </c>
    </row>
    <row r="91" spans="1:10" ht="24" customHeight="1" x14ac:dyDescent="0.3">
      <c r="A91" s="42">
        <v>46030</v>
      </c>
      <c r="B91" s="22" t="s">
        <v>61</v>
      </c>
      <c r="C91" s="22" t="s">
        <v>173</v>
      </c>
      <c r="D91" s="10"/>
      <c r="E91" s="10">
        <v>28.85</v>
      </c>
      <c r="F91" s="46">
        <v>5.19</v>
      </c>
      <c r="G91" s="46">
        <f t="shared" si="2"/>
        <v>5.5587668593448942</v>
      </c>
      <c r="H91" s="10" t="s">
        <v>6</v>
      </c>
      <c r="I91" s="10" t="s">
        <v>112</v>
      </c>
      <c r="J91" s="10">
        <f t="shared" si="3"/>
        <v>1024.2600000000004</v>
      </c>
    </row>
    <row r="92" spans="1:10" ht="24" customHeight="1" x14ac:dyDescent="0.3">
      <c r="A92" s="42">
        <v>46031</v>
      </c>
      <c r="B92" s="22" t="s">
        <v>61</v>
      </c>
      <c r="C92" s="22" t="s">
        <v>174</v>
      </c>
      <c r="D92" s="10"/>
      <c r="E92" s="10">
        <v>30.85</v>
      </c>
      <c r="F92" s="46">
        <v>5.78</v>
      </c>
      <c r="G92" s="46">
        <f t="shared" si="2"/>
        <v>5.3373702422145328</v>
      </c>
      <c r="H92" s="10" t="s">
        <v>6</v>
      </c>
      <c r="I92" s="10" t="s">
        <v>112</v>
      </c>
      <c r="J92" s="10">
        <f t="shared" si="3"/>
        <v>1055.1100000000004</v>
      </c>
    </row>
    <row r="93" spans="1:10" ht="24" customHeight="1" x14ac:dyDescent="0.3">
      <c r="A93" s="42">
        <v>46032</v>
      </c>
      <c r="B93" s="22" t="s">
        <v>61</v>
      </c>
      <c r="C93" s="22" t="s">
        <v>175</v>
      </c>
      <c r="D93" s="10"/>
      <c r="E93" s="10">
        <v>29.95</v>
      </c>
      <c r="F93" s="46">
        <v>5.73</v>
      </c>
      <c r="G93" s="46">
        <f t="shared" si="2"/>
        <v>5.2268760907504355</v>
      </c>
      <c r="H93" s="10" t="s">
        <v>6</v>
      </c>
      <c r="I93" s="10" t="s">
        <v>112</v>
      </c>
      <c r="J93" s="10">
        <f t="shared" si="3"/>
        <v>1085.0600000000004</v>
      </c>
    </row>
    <row r="94" spans="1:10" ht="24" customHeight="1" x14ac:dyDescent="0.3">
      <c r="A94" s="42">
        <v>46034</v>
      </c>
      <c r="B94" s="22" t="s">
        <v>61</v>
      </c>
      <c r="C94" s="22" t="s">
        <v>176</v>
      </c>
      <c r="D94" s="10"/>
      <c r="E94" s="10">
        <v>37.950000000000003</v>
      </c>
      <c r="F94" s="46">
        <v>6.87</v>
      </c>
      <c r="G94" s="46">
        <f t="shared" si="2"/>
        <v>5.5240174672489086</v>
      </c>
      <c r="H94" s="10" t="s">
        <v>6</v>
      </c>
      <c r="I94" s="10" t="s">
        <v>112</v>
      </c>
      <c r="J94" s="10">
        <f t="shared" si="3"/>
        <v>1123.0100000000004</v>
      </c>
    </row>
    <row r="95" spans="1:10" ht="24" customHeight="1" x14ac:dyDescent="0.3">
      <c r="A95" s="42">
        <v>46036</v>
      </c>
      <c r="B95" s="22" t="s">
        <v>61</v>
      </c>
      <c r="C95" s="22" t="s">
        <v>177</v>
      </c>
      <c r="D95" s="10"/>
      <c r="E95" s="10">
        <v>38.9</v>
      </c>
      <c r="F95" s="46">
        <v>7.25</v>
      </c>
      <c r="G95" s="46">
        <f t="shared" si="2"/>
        <v>5.36551724137931</v>
      </c>
      <c r="H95" s="10" t="s">
        <v>6</v>
      </c>
      <c r="I95" s="10" t="s">
        <v>112</v>
      </c>
      <c r="J95" s="10">
        <f t="shared" si="3"/>
        <v>1161.9100000000005</v>
      </c>
    </row>
    <row r="96" spans="1:10" ht="24" customHeight="1" x14ac:dyDescent="0.3">
      <c r="A96" s="42">
        <v>46037</v>
      </c>
      <c r="B96" s="22" t="s">
        <v>61</v>
      </c>
      <c r="C96" s="22" t="s">
        <v>178</v>
      </c>
      <c r="D96" s="10"/>
      <c r="E96" s="10">
        <v>40.4</v>
      </c>
      <c r="F96" s="46">
        <v>7.75</v>
      </c>
      <c r="G96" s="46">
        <f t="shared" si="2"/>
        <v>5.2129032258064516</v>
      </c>
      <c r="H96" s="10" t="s">
        <v>6</v>
      </c>
      <c r="I96" s="10" t="s">
        <v>112</v>
      </c>
      <c r="J96" s="10">
        <f t="shared" si="3"/>
        <v>1202.3100000000006</v>
      </c>
    </row>
    <row r="97" spans="1:10" ht="24" customHeight="1" x14ac:dyDescent="0.3">
      <c r="A97" s="42">
        <v>46038</v>
      </c>
      <c r="B97" s="22" t="s">
        <v>61</v>
      </c>
      <c r="C97" s="22" t="s">
        <v>179</v>
      </c>
      <c r="D97" s="10"/>
      <c r="E97" s="10">
        <v>35.65</v>
      </c>
      <c r="F97" s="46">
        <v>7.77</v>
      </c>
      <c r="G97" s="46">
        <f t="shared" si="2"/>
        <v>4.5881595881595878</v>
      </c>
      <c r="H97" s="10" t="s">
        <v>6</v>
      </c>
      <c r="I97" s="10" t="s">
        <v>112</v>
      </c>
      <c r="J97" s="10">
        <f t="shared" si="3"/>
        <v>1237.9600000000007</v>
      </c>
    </row>
    <row r="98" spans="1:10" ht="24" customHeight="1" x14ac:dyDescent="0.3">
      <c r="A98" s="42">
        <v>46039</v>
      </c>
      <c r="B98" s="22" t="s">
        <v>61</v>
      </c>
      <c r="C98" s="22" t="s">
        <v>180</v>
      </c>
      <c r="D98" s="10"/>
      <c r="E98" s="60">
        <v>33.15</v>
      </c>
      <c r="F98" s="62">
        <v>5.53</v>
      </c>
      <c r="G98" s="62">
        <f t="shared" si="2"/>
        <v>5.9945750452079558</v>
      </c>
      <c r="H98" s="10" t="s">
        <v>9</v>
      </c>
      <c r="I98" s="10" t="s">
        <v>112</v>
      </c>
      <c r="J98" s="10">
        <f t="shared" si="3"/>
        <v>1271.1100000000008</v>
      </c>
    </row>
    <row r="99" spans="1:10" ht="24" customHeight="1" x14ac:dyDescent="0.3">
      <c r="A99" s="42">
        <v>46039</v>
      </c>
      <c r="B99" s="22" t="s">
        <v>61</v>
      </c>
      <c r="C99" s="22" t="s">
        <v>181</v>
      </c>
      <c r="D99" s="10"/>
      <c r="E99" s="61"/>
      <c r="F99" s="63"/>
      <c r="G99" s="63"/>
      <c r="H99" s="10" t="s">
        <v>9</v>
      </c>
      <c r="I99" s="10" t="s">
        <v>112</v>
      </c>
      <c r="J99" s="10">
        <f t="shared" si="3"/>
        <v>1271.1100000000008</v>
      </c>
    </row>
    <row r="100" spans="1:10" ht="24" customHeight="1" x14ac:dyDescent="0.3">
      <c r="A100" s="42">
        <v>46040</v>
      </c>
      <c r="B100" s="22" t="s">
        <v>61</v>
      </c>
      <c r="C100" s="22" t="s">
        <v>182</v>
      </c>
      <c r="D100" s="10"/>
      <c r="E100" s="10">
        <v>27.05</v>
      </c>
      <c r="F100" s="46">
        <v>5</v>
      </c>
      <c r="G100" s="46">
        <f t="shared" si="2"/>
        <v>5.41</v>
      </c>
      <c r="H100" s="10" t="s">
        <v>9</v>
      </c>
      <c r="I100" s="10" t="s">
        <v>112</v>
      </c>
      <c r="J100" s="10">
        <f t="shared" si="3"/>
        <v>1298.1600000000008</v>
      </c>
    </row>
    <row r="101" spans="1:10" ht="24" customHeight="1" x14ac:dyDescent="0.3">
      <c r="A101" s="42">
        <v>46339</v>
      </c>
      <c r="B101" s="22" t="s">
        <v>61</v>
      </c>
      <c r="C101" s="22" t="s">
        <v>183</v>
      </c>
      <c r="D101" s="10"/>
      <c r="E101" s="10">
        <v>38.1</v>
      </c>
      <c r="F101" s="46">
        <f>+E101/5.7</f>
        <v>6.6842105263157894</v>
      </c>
      <c r="G101" s="46">
        <f t="shared" si="2"/>
        <v>5.7</v>
      </c>
      <c r="H101" s="10" t="s">
        <v>6</v>
      </c>
      <c r="I101" s="10" t="s">
        <v>112</v>
      </c>
      <c r="J101" s="10">
        <f t="shared" si="3"/>
        <v>1336.2600000000007</v>
      </c>
    </row>
    <row r="102" spans="1:10" ht="24" customHeight="1" x14ac:dyDescent="0.3">
      <c r="A102" s="42">
        <v>46041</v>
      </c>
      <c r="B102" s="22" t="s">
        <v>61</v>
      </c>
      <c r="C102" s="22" t="s">
        <v>184</v>
      </c>
      <c r="D102" s="10"/>
      <c r="E102" s="60">
        <v>69.8</v>
      </c>
      <c r="F102" s="62">
        <v>11.57</v>
      </c>
      <c r="G102" s="62">
        <f t="shared" si="2"/>
        <v>6.0328435609334479</v>
      </c>
      <c r="H102" s="10" t="s">
        <v>6</v>
      </c>
      <c r="I102" s="10" t="s">
        <v>112</v>
      </c>
      <c r="J102" s="10">
        <f t="shared" si="3"/>
        <v>1406.0600000000006</v>
      </c>
    </row>
    <row r="103" spans="1:10" ht="24" customHeight="1" x14ac:dyDescent="0.3">
      <c r="A103" s="42">
        <v>46041</v>
      </c>
      <c r="B103" s="22" t="s">
        <v>61</v>
      </c>
      <c r="C103" s="22" t="s">
        <v>185</v>
      </c>
      <c r="D103" s="10"/>
      <c r="E103" s="61"/>
      <c r="F103" s="63"/>
      <c r="G103" s="63"/>
      <c r="H103" s="10" t="s">
        <v>9</v>
      </c>
      <c r="I103" s="10" t="s">
        <v>112</v>
      </c>
      <c r="J103" s="10">
        <f t="shared" si="3"/>
        <v>1406.0600000000006</v>
      </c>
    </row>
    <row r="104" spans="1:10" ht="24" customHeight="1" x14ac:dyDescent="0.3">
      <c r="A104" s="42">
        <v>46042</v>
      </c>
      <c r="B104" s="22" t="s">
        <v>61</v>
      </c>
      <c r="C104" s="22" t="s">
        <v>186</v>
      </c>
      <c r="D104" s="10"/>
      <c r="E104" s="10">
        <v>14.3</v>
      </c>
      <c r="F104" s="46">
        <f>+E104/5.7</f>
        <v>2.5087719298245617</v>
      </c>
      <c r="G104" s="46">
        <f t="shared" si="2"/>
        <v>5.6999999999999993</v>
      </c>
      <c r="H104" s="10" t="s">
        <v>6</v>
      </c>
      <c r="I104" s="10" t="s">
        <v>112</v>
      </c>
      <c r="J104" s="10">
        <f t="shared" si="3"/>
        <v>1420.3600000000006</v>
      </c>
    </row>
    <row r="105" spans="1:10" ht="24" customHeight="1" x14ac:dyDescent="0.3">
      <c r="A105" s="42">
        <v>46043</v>
      </c>
      <c r="B105" s="22" t="s">
        <v>61</v>
      </c>
      <c r="C105" s="22" t="s">
        <v>187</v>
      </c>
      <c r="D105" s="10"/>
      <c r="E105" s="10">
        <v>27.95</v>
      </c>
      <c r="F105" s="46">
        <f>+E105/5.7</f>
        <v>4.9035087719298245</v>
      </c>
      <c r="G105" s="46">
        <f t="shared" si="2"/>
        <v>5.7</v>
      </c>
      <c r="H105" s="10" t="s">
        <v>10</v>
      </c>
      <c r="I105" s="10" t="s">
        <v>112</v>
      </c>
      <c r="J105" s="10">
        <f t="shared" si="3"/>
        <v>1448.3100000000006</v>
      </c>
    </row>
    <row r="106" spans="1:10" ht="24" customHeight="1" x14ac:dyDescent="0.3">
      <c r="A106" s="42">
        <v>46043</v>
      </c>
      <c r="B106" s="22" t="s">
        <v>61</v>
      </c>
      <c r="C106" s="22" t="s">
        <v>188</v>
      </c>
      <c r="D106" s="10"/>
      <c r="E106" s="10">
        <v>41.9</v>
      </c>
      <c r="F106" s="46">
        <f t="shared" ref="F106:F122" si="4">+E106/5.7</f>
        <v>7.3508771929824555</v>
      </c>
      <c r="G106" s="46">
        <f t="shared" si="2"/>
        <v>5.7</v>
      </c>
      <c r="H106" s="10" t="s">
        <v>9</v>
      </c>
      <c r="I106" s="10" t="s">
        <v>112</v>
      </c>
      <c r="J106" s="10">
        <f t="shared" si="3"/>
        <v>1490.2100000000007</v>
      </c>
    </row>
    <row r="107" spans="1:10" ht="24" customHeight="1" x14ac:dyDescent="0.3">
      <c r="A107" s="42">
        <v>46044</v>
      </c>
      <c r="B107" s="22" t="s">
        <v>61</v>
      </c>
      <c r="C107" s="22" t="s">
        <v>189</v>
      </c>
      <c r="D107" s="10"/>
      <c r="E107" s="10">
        <v>42.05</v>
      </c>
      <c r="F107" s="46">
        <f t="shared" si="4"/>
        <v>7.3771929824561395</v>
      </c>
      <c r="G107" s="46">
        <f t="shared" si="2"/>
        <v>5.7</v>
      </c>
      <c r="H107" s="10" t="s">
        <v>9</v>
      </c>
      <c r="I107" s="10" t="s">
        <v>112</v>
      </c>
      <c r="J107" s="10">
        <f t="shared" si="3"/>
        <v>1532.2600000000007</v>
      </c>
    </row>
    <row r="108" spans="1:10" ht="24" customHeight="1" x14ac:dyDescent="0.3">
      <c r="A108" s="42">
        <v>46044</v>
      </c>
      <c r="B108" s="22" t="s">
        <v>61</v>
      </c>
      <c r="C108" s="22" t="s">
        <v>190</v>
      </c>
      <c r="D108" s="10"/>
      <c r="E108" s="10">
        <v>30.25</v>
      </c>
      <c r="F108" s="46">
        <f t="shared" si="4"/>
        <v>5.307017543859649</v>
      </c>
      <c r="G108" s="46">
        <f t="shared" si="2"/>
        <v>5.7</v>
      </c>
      <c r="H108" s="10" t="s">
        <v>10</v>
      </c>
      <c r="I108" s="10" t="s">
        <v>112</v>
      </c>
      <c r="J108" s="10">
        <f t="shared" si="3"/>
        <v>1562.5100000000007</v>
      </c>
    </row>
    <row r="109" spans="1:10" ht="24" customHeight="1" x14ac:dyDescent="0.3">
      <c r="A109" s="42">
        <v>46045</v>
      </c>
      <c r="B109" s="22" t="s">
        <v>61</v>
      </c>
      <c r="C109" s="22" t="s">
        <v>191</v>
      </c>
      <c r="D109" s="10"/>
      <c r="E109" s="10">
        <v>46.65</v>
      </c>
      <c r="F109" s="46">
        <f t="shared" si="4"/>
        <v>8.1842105263157894</v>
      </c>
      <c r="G109" s="46">
        <f t="shared" si="2"/>
        <v>5.7</v>
      </c>
      <c r="H109" s="10" t="s">
        <v>10</v>
      </c>
      <c r="I109" s="10" t="s">
        <v>112</v>
      </c>
      <c r="J109" s="10">
        <f t="shared" si="3"/>
        <v>1609.1600000000008</v>
      </c>
    </row>
    <row r="110" spans="1:10" ht="24" customHeight="1" x14ac:dyDescent="0.3">
      <c r="A110" s="42">
        <v>46045</v>
      </c>
      <c r="B110" s="22" t="s">
        <v>61</v>
      </c>
      <c r="C110" s="22" t="s">
        <v>192</v>
      </c>
      <c r="D110" s="10"/>
      <c r="E110" s="10">
        <v>48.15</v>
      </c>
      <c r="F110" s="46">
        <f t="shared" si="4"/>
        <v>8.4473684210526319</v>
      </c>
      <c r="G110" s="46">
        <f t="shared" si="2"/>
        <v>5.6999999999999993</v>
      </c>
      <c r="H110" s="10" t="s">
        <v>9</v>
      </c>
      <c r="I110" s="10" t="s">
        <v>112</v>
      </c>
      <c r="J110" s="10">
        <f t="shared" si="3"/>
        <v>1657.3100000000009</v>
      </c>
    </row>
    <row r="111" spans="1:10" ht="24" customHeight="1" x14ac:dyDescent="0.3">
      <c r="A111" s="42">
        <v>46045</v>
      </c>
      <c r="B111" s="22" t="s">
        <v>61</v>
      </c>
      <c r="C111" s="22" t="s">
        <v>193</v>
      </c>
      <c r="D111" s="10"/>
      <c r="E111" s="10">
        <v>35.6</v>
      </c>
      <c r="F111" s="46">
        <f t="shared" si="4"/>
        <v>6.2456140350877192</v>
      </c>
      <c r="G111" s="46">
        <f t="shared" si="2"/>
        <v>5.7</v>
      </c>
      <c r="H111" s="10" t="s">
        <v>9</v>
      </c>
      <c r="I111" s="10" t="s">
        <v>112</v>
      </c>
      <c r="J111" s="10">
        <f t="shared" si="3"/>
        <v>1692.9100000000008</v>
      </c>
    </row>
    <row r="112" spans="1:10" ht="24" customHeight="1" x14ac:dyDescent="0.3">
      <c r="A112" s="42">
        <v>46046</v>
      </c>
      <c r="B112" s="22" t="s">
        <v>61</v>
      </c>
      <c r="C112" s="22" t="s">
        <v>194</v>
      </c>
      <c r="D112" s="10"/>
      <c r="E112" s="10">
        <v>30.65</v>
      </c>
      <c r="F112" s="46">
        <f t="shared" si="4"/>
        <v>5.3771929824561395</v>
      </c>
      <c r="G112" s="46">
        <f t="shared" si="2"/>
        <v>5.7</v>
      </c>
      <c r="H112" s="10" t="s">
        <v>10</v>
      </c>
      <c r="I112" s="10" t="s">
        <v>112</v>
      </c>
      <c r="J112" s="10">
        <f t="shared" si="3"/>
        <v>1723.5600000000009</v>
      </c>
    </row>
    <row r="113" spans="1:10" ht="24" customHeight="1" x14ac:dyDescent="0.3">
      <c r="A113" s="42">
        <v>46046</v>
      </c>
      <c r="B113" s="22" t="s">
        <v>61</v>
      </c>
      <c r="C113" s="22" t="s">
        <v>195</v>
      </c>
      <c r="D113" s="10"/>
      <c r="E113" s="10">
        <v>14</v>
      </c>
      <c r="F113" s="46">
        <f t="shared" si="4"/>
        <v>2.4561403508771931</v>
      </c>
      <c r="G113" s="46">
        <f t="shared" si="2"/>
        <v>5.7</v>
      </c>
      <c r="H113" s="10" t="s">
        <v>9</v>
      </c>
      <c r="I113" s="10" t="s">
        <v>112</v>
      </c>
      <c r="J113" s="10">
        <f t="shared" si="3"/>
        <v>1737.5600000000009</v>
      </c>
    </row>
    <row r="114" spans="1:10" ht="24" customHeight="1" x14ac:dyDescent="0.3">
      <c r="A114" s="42">
        <v>46046</v>
      </c>
      <c r="B114" s="22" t="s">
        <v>61</v>
      </c>
      <c r="C114" s="22" t="s">
        <v>196</v>
      </c>
      <c r="D114" s="10"/>
      <c r="E114" s="10">
        <v>20.55</v>
      </c>
      <c r="F114" s="46">
        <f t="shared" si="4"/>
        <v>3.6052631578947367</v>
      </c>
      <c r="G114" s="46">
        <f t="shared" si="2"/>
        <v>5.7</v>
      </c>
      <c r="H114" s="10" t="s">
        <v>9</v>
      </c>
      <c r="I114" s="10" t="s">
        <v>112</v>
      </c>
      <c r="J114" s="10">
        <f t="shared" si="3"/>
        <v>1758.1100000000008</v>
      </c>
    </row>
    <row r="115" spans="1:10" ht="24" customHeight="1" x14ac:dyDescent="0.3">
      <c r="A115" s="42">
        <v>46047</v>
      </c>
      <c r="B115" s="22" t="s">
        <v>61</v>
      </c>
      <c r="C115" s="22" t="s">
        <v>197</v>
      </c>
      <c r="D115" s="10"/>
      <c r="E115" s="10">
        <v>20.5</v>
      </c>
      <c r="F115" s="46">
        <f t="shared" si="4"/>
        <v>3.5964912280701755</v>
      </c>
      <c r="G115" s="46">
        <f t="shared" si="2"/>
        <v>5.7</v>
      </c>
      <c r="H115" s="10" t="s">
        <v>4</v>
      </c>
      <c r="I115" s="10" t="s">
        <v>112</v>
      </c>
      <c r="J115" s="10">
        <f t="shared" si="3"/>
        <v>1778.6100000000008</v>
      </c>
    </row>
    <row r="116" spans="1:10" ht="24" customHeight="1" x14ac:dyDescent="0.3">
      <c r="A116" s="42">
        <v>46047</v>
      </c>
      <c r="B116" s="22" t="s">
        <v>61</v>
      </c>
      <c r="C116" s="22" t="s">
        <v>198</v>
      </c>
      <c r="D116" s="10"/>
      <c r="E116" s="10">
        <v>36.700000000000003</v>
      </c>
      <c r="F116" s="46">
        <f t="shared" si="4"/>
        <v>6.4385964912280702</v>
      </c>
      <c r="G116" s="46">
        <f t="shared" si="2"/>
        <v>5.7</v>
      </c>
      <c r="H116" s="10" t="s">
        <v>4</v>
      </c>
      <c r="I116" s="10" t="s">
        <v>112</v>
      </c>
      <c r="J116" s="10">
        <f t="shared" si="3"/>
        <v>1815.3100000000009</v>
      </c>
    </row>
    <row r="117" spans="1:10" ht="24" customHeight="1" x14ac:dyDescent="0.3">
      <c r="A117" s="42">
        <v>46048</v>
      </c>
      <c r="B117" s="22" t="s">
        <v>61</v>
      </c>
      <c r="C117" s="22" t="s">
        <v>199</v>
      </c>
      <c r="D117" s="10"/>
      <c r="E117" s="10">
        <f>76.9+48.25</f>
        <v>125.15</v>
      </c>
      <c r="F117" s="46">
        <f t="shared" si="4"/>
        <v>21.956140350877192</v>
      </c>
      <c r="G117" s="46">
        <f t="shared" si="2"/>
        <v>5.7</v>
      </c>
      <c r="H117" s="10" t="s">
        <v>4</v>
      </c>
      <c r="I117" s="10" t="s">
        <v>112</v>
      </c>
      <c r="J117" s="10">
        <f t="shared" si="3"/>
        <v>1940.4600000000009</v>
      </c>
    </row>
    <row r="118" spans="1:10" ht="24" customHeight="1" x14ac:dyDescent="0.3">
      <c r="A118" s="42">
        <v>46048</v>
      </c>
      <c r="B118" s="22" t="s">
        <v>61</v>
      </c>
      <c r="C118" s="22" t="s">
        <v>200</v>
      </c>
      <c r="D118" s="10"/>
      <c r="E118" s="10">
        <v>50.3</v>
      </c>
      <c r="F118" s="46">
        <f t="shared" si="4"/>
        <v>8.8245614035087705</v>
      </c>
      <c r="G118" s="46">
        <f t="shared" si="2"/>
        <v>5.7</v>
      </c>
      <c r="H118" s="10" t="s">
        <v>10</v>
      </c>
      <c r="I118" s="10" t="s">
        <v>112</v>
      </c>
      <c r="J118" s="10">
        <f t="shared" si="3"/>
        <v>1990.7600000000009</v>
      </c>
    </row>
    <row r="119" spans="1:10" ht="24" customHeight="1" x14ac:dyDescent="0.3">
      <c r="A119" s="42">
        <v>46049</v>
      </c>
      <c r="B119" s="22" t="s">
        <v>61</v>
      </c>
      <c r="C119" s="22" t="s">
        <v>201</v>
      </c>
      <c r="D119" s="10"/>
      <c r="E119" s="10">
        <f>44.95+75.45</f>
        <v>120.4</v>
      </c>
      <c r="F119" s="46">
        <f t="shared" si="4"/>
        <v>21.12280701754386</v>
      </c>
      <c r="G119" s="46">
        <f t="shared" si="2"/>
        <v>5.7</v>
      </c>
      <c r="H119" s="10" t="s">
        <v>4</v>
      </c>
      <c r="I119" s="10" t="s">
        <v>112</v>
      </c>
      <c r="J119" s="10">
        <f t="shared" si="3"/>
        <v>2111.1600000000008</v>
      </c>
    </row>
    <row r="120" spans="1:10" ht="24" customHeight="1" x14ac:dyDescent="0.3">
      <c r="A120" s="42">
        <v>46049</v>
      </c>
      <c r="B120" s="22" t="s">
        <v>61</v>
      </c>
      <c r="C120" s="22" t="s">
        <v>202</v>
      </c>
      <c r="D120" s="10"/>
      <c r="E120" s="10">
        <v>23.9</v>
      </c>
      <c r="F120" s="46">
        <f t="shared" si="4"/>
        <v>4.1929824561403501</v>
      </c>
      <c r="G120" s="46">
        <f t="shared" si="2"/>
        <v>5.7000000000000011</v>
      </c>
      <c r="H120" s="10" t="s">
        <v>10</v>
      </c>
      <c r="I120" s="10" t="s">
        <v>112</v>
      </c>
      <c r="J120" s="10">
        <f t="shared" si="3"/>
        <v>2135.0600000000009</v>
      </c>
    </row>
    <row r="121" spans="1:10" ht="24" customHeight="1" x14ac:dyDescent="0.3">
      <c r="A121" s="42">
        <v>46050</v>
      </c>
      <c r="B121" s="22" t="s">
        <v>61</v>
      </c>
      <c r="C121" s="22" t="s">
        <v>203</v>
      </c>
      <c r="D121" s="10"/>
      <c r="E121" s="10">
        <v>27.6</v>
      </c>
      <c r="F121" s="46">
        <f t="shared" si="4"/>
        <v>4.8421052631578947</v>
      </c>
      <c r="G121" s="46">
        <f t="shared" si="2"/>
        <v>5.7</v>
      </c>
      <c r="H121" s="10" t="s">
        <v>7</v>
      </c>
      <c r="I121" s="10" t="s">
        <v>112</v>
      </c>
      <c r="J121" s="10">
        <f t="shared" si="3"/>
        <v>2162.6600000000008</v>
      </c>
    </row>
    <row r="122" spans="1:10" ht="24" customHeight="1" x14ac:dyDescent="0.3">
      <c r="A122" s="42">
        <v>46050</v>
      </c>
      <c r="B122" s="22" t="s">
        <v>61</v>
      </c>
      <c r="C122" s="22" t="s">
        <v>204</v>
      </c>
      <c r="D122" s="10"/>
      <c r="E122" s="10">
        <f>43.95+65.8</f>
        <v>109.75</v>
      </c>
      <c r="F122" s="46">
        <f t="shared" si="4"/>
        <v>19.254385964912281</v>
      </c>
      <c r="G122" s="46">
        <f t="shared" si="2"/>
        <v>5.7</v>
      </c>
      <c r="H122" s="10" t="s">
        <v>4</v>
      </c>
      <c r="I122" s="10" t="s">
        <v>112</v>
      </c>
      <c r="J122" s="10">
        <f t="shared" si="3"/>
        <v>2272.4100000000008</v>
      </c>
    </row>
    <row r="123" spans="1:10" ht="24" customHeight="1" x14ac:dyDescent="0.3">
      <c r="A123" s="42">
        <v>46051</v>
      </c>
      <c r="B123" s="22" t="s">
        <v>61</v>
      </c>
      <c r="C123" s="22" t="s">
        <v>205</v>
      </c>
      <c r="D123" s="10"/>
      <c r="E123" s="10">
        <v>90</v>
      </c>
      <c r="F123" s="46">
        <v>17.600000000000001</v>
      </c>
      <c r="G123" s="46">
        <f t="shared" si="2"/>
        <v>5.1136363636363633</v>
      </c>
      <c r="H123" s="10" t="s">
        <v>12</v>
      </c>
      <c r="I123" s="10" t="s">
        <v>112</v>
      </c>
      <c r="J123" s="10">
        <f t="shared" si="3"/>
        <v>2362.4100000000008</v>
      </c>
    </row>
    <row r="124" spans="1:10" ht="24" customHeight="1" x14ac:dyDescent="0.3">
      <c r="A124" s="42">
        <v>46052</v>
      </c>
      <c r="B124" s="22" t="s">
        <v>61</v>
      </c>
      <c r="C124" s="22" t="s">
        <v>206</v>
      </c>
      <c r="D124" s="10"/>
      <c r="E124" s="10">
        <f>48.9+30.15+22.3</f>
        <v>101.35</v>
      </c>
      <c r="F124" s="46">
        <f>+E124/5.7</f>
        <v>17.780701754385962</v>
      </c>
      <c r="G124" s="46">
        <f t="shared" si="2"/>
        <v>5.7</v>
      </c>
      <c r="H124" s="10" t="s">
        <v>12</v>
      </c>
      <c r="I124" s="10" t="s">
        <v>112</v>
      </c>
      <c r="J124" s="10">
        <f t="shared" si="3"/>
        <v>2463.7600000000007</v>
      </c>
    </row>
    <row r="125" spans="1:10" ht="24" customHeight="1" x14ac:dyDescent="0.3">
      <c r="A125" s="42">
        <v>46053</v>
      </c>
      <c r="B125" s="22" t="s">
        <v>61</v>
      </c>
      <c r="C125" s="22" t="s">
        <v>207</v>
      </c>
      <c r="D125" s="10"/>
      <c r="E125" s="10">
        <f>17.55+20.09</f>
        <v>37.64</v>
      </c>
      <c r="F125" s="46">
        <f>+E125/5.7</f>
        <v>6.6035087719298247</v>
      </c>
      <c r="G125" s="46">
        <f t="shared" si="2"/>
        <v>5.7</v>
      </c>
      <c r="H125" s="10" t="s">
        <v>12</v>
      </c>
      <c r="I125" s="10" t="s">
        <v>112</v>
      </c>
      <c r="J125" s="10">
        <f t="shared" si="3"/>
        <v>2501.4000000000005</v>
      </c>
    </row>
    <row r="126" spans="1:10" ht="24" customHeight="1" x14ac:dyDescent="0.3">
      <c r="A126" s="42">
        <v>46053</v>
      </c>
      <c r="B126" s="22" t="s">
        <v>61</v>
      </c>
      <c r="C126" s="22" t="s">
        <v>208</v>
      </c>
      <c r="D126" s="10"/>
      <c r="E126" s="10">
        <v>58.55</v>
      </c>
      <c r="F126" s="46">
        <f>+E126/5.7</f>
        <v>10.271929824561402</v>
      </c>
      <c r="G126" s="46">
        <f t="shared" si="2"/>
        <v>5.7</v>
      </c>
      <c r="H126" s="10" t="s">
        <v>4</v>
      </c>
      <c r="I126" s="10" t="s">
        <v>112</v>
      </c>
      <c r="J126" s="10">
        <f t="shared" si="3"/>
        <v>2559.9500000000007</v>
      </c>
    </row>
    <row r="127" spans="1:10" ht="24" customHeight="1" x14ac:dyDescent="0.3">
      <c r="A127" s="42">
        <v>46054</v>
      </c>
      <c r="B127" s="22" t="s">
        <v>61</v>
      </c>
      <c r="C127" s="22" t="s">
        <v>209</v>
      </c>
      <c r="D127" s="10"/>
      <c r="E127" s="60">
        <v>41.05</v>
      </c>
      <c r="F127" s="62">
        <v>8</v>
      </c>
      <c r="G127" s="62">
        <f t="shared" si="2"/>
        <v>5.1312499999999996</v>
      </c>
      <c r="H127" s="10" t="s">
        <v>4</v>
      </c>
      <c r="I127" s="10" t="s">
        <v>112</v>
      </c>
      <c r="J127" s="10">
        <f t="shared" si="3"/>
        <v>2601.0000000000009</v>
      </c>
    </row>
    <row r="128" spans="1:10" ht="24" customHeight="1" x14ac:dyDescent="0.3">
      <c r="A128" s="42">
        <v>46054</v>
      </c>
      <c r="B128" s="22" t="s">
        <v>61</v>
      </c>
      <c r="C128" s="22" t="s">
        <v>210</v>
      </c>
      <c r="D128" s="10"/>
      <c r="E128" s="61"/>
      <c r="F128" s="63"/>
      <c r="G128" s="63"/>
      <c r="H128" s="10" t="s">
        <v>4</v>
      </c>
      <c r="I128" s="10" t="s">
        <v>112</v>
      </c>
      <c r="J128" s="10">
        <f t="shared" si="3"/>
        <v>2601.0000000000009</v>
      </c>
    </row>
    <row r="129" spans="1:10" ht="24" customHeight="1" x14ac:dyDescent="0.3">
      <c r="A129" s="42">
        <v>46055</v>
      </c>
      <c r="B129" s="22" t="s">
        <v>61</v>
      </c>
      <c r="C129" s="22" t="s">
        <v>211</v>
      </c>
      <c r="D129" s="10"/>
      <c r="E129" s="60">
        <v>37.75</v>
      </c>
      <c r="F129" s="62">
        <v>7.3</v>
      </c>
      <c r="G129" s="62">
        <f t="shared" si="2"/>
        <v>5.1712328767123292</v>
      </c>
      <c r="H129" s="10" t="s">
        <v>12</v>
      </c>
      <c r="I129" s="10" t="s">
        <v>112</v>
      </c>
      <c r="J129" s="10">
        <f t="shared" si="3"/>
        <v>2638.7500000000009</v>
      </c>
    </row>
    <row r="130" spans="1:10" ht="24" customHeight="1" x14ac:dyDescent="0.3">
      <c r="A130" s="42">
        <v>46055</v>
      </c>
      <c r="B130" s="22" t="s">
        <v>61</v>
      </c>
      <c r="C130" s="22" t="s">
        <v>212</v>
      </c>
      <c r="D130" s="10"/>
      <c r="E130" s="61"/>
      <c r="F130" s="63"/>
      <c r="G130" s="63"/>
      <c r="H130" s="10" t="s">
        <v>219</v>
      </c>
      <c r="I130" s="10" t="s">
        <v>112</v>
      </c>
      <c r="J130" s="10">
        <f t="shared" si="3"/>
        <v>2638.7500000000009</v>
      </c>
    </row>
    <row r="131" spans="1:10" ht="24" customHeight="1" x14ac:dyDescent="0.3">
      <c r="A131" s="42">
        <v>46056</v>
      </c>
      <c r="B131" s="22" t="s">
        <v>61</v>
      </c>
      <c r="C131" s="22" t="s">
        <v>213</v>
      </c>
      <c r="D131" s="10"/>
      <c r="E131" s="60">
        <v>57.65</v>
      </c>
      <c r="F131" s="62">
        <v>11</v>
      </c>
      <c r="G131" s="62">
        <f t="shared" si="2"/>
        <v>5.2409090909090912</v>
      </c>
      <c r="H131" s="10" t="s">
        <v>219</v>
      </c>
      <c r="I131" s="10" t="s">
        <v>112</v>
      </c>
      <c r="J131" s="10">
        <f t="shared" si="3"/>
        <v>2696.400000000001</v>
      </c>
    </row>
    <row r="132" spans="1:10" ht="24" customHeight="1" x14ac:dyDescent="0.3">
      <c r="A132" s="42">
        <v>46056</v>
      </c>
      <c r="B132" s="22" t="s">
        <v>61</v>
      </c>
      <c r="C132" s="22" t="s">
        <v>214</v>
      </c>
      <c r="D132" s="10"/>
      <c r="E132" s="61"/>
      <c r="F132" s="63"/>
      <c r="G132" s="63"/>
      <c r="H132" s="10" t="s">
        <v>219</v>
      </c>
      <c r="I132" s="10" t="s">
        <v>112</v>
      </c>
      <c r="J132" s="10">
        <f t="shared" si="3"/>
        <v>2696.400000000001</v>
      </c>
    </row>
    <row r="133" spans="1:10" ht="24" customHeight="1" x14ac:dyDescent="0.3">
      <c r="A133" s="42">
        <v>46057</v>
      </c>
      <c r="B133" s="22" t="s">
        <v>61</v>
      </c>
      <c r="C133" s="22" t="s">
        <v>215</v>
      </c>
      <c r="D133" s="10"/>
      <c r="E133" s="60">
        <v>75.099999999999994</v>
      </c>
      <c r="F133" s="62">
        <v>14.35</v>
      </c>
      <c r="G133" s="62">
        <f t="shared" si="2"/>
        <v>5.2334494773519165</v>
      </c>
      <c r="H133" s="10" t="s">
        <v>219</v>
      </c>
      <c r="I133" s="10" t="s">
        <v>112</v>
      </c>
      <c r="J133" s="10">
        <f t="shared" si="3"/>
        <v>2771.5000000000009</v>
      </c>
    </row>
    <row r="134" spans="1:10" ht="24" customHeight="1" x14ac:dyDescent="0.3">
      <c r="A134" s="42">
        <v>46057</v>
      </c>
      <c r="B134" s="22" t="s">
        <v>61</v>
      </c>
      <c r="C134" s="22" t="s">
        <v>216</v>
      </c>
      <c r="D134" s="10"/>
      <c r="E134" s="61"/>
      <c r="F134" s="63"/>
      <c r="G134" s="63"/>
      <c r="H134" s="10" t="s">
        <v>220</v>
      </c>
      <c r="I134" s="10" t="s">
        <v>112</v>
      </c>
      <c r="J134" s="10">
        <f t="shared" si="3"/>
        <v>2771.5000000000009</v>
      </c>
    </row>
    <row r="135" spans="1:10" ht="24" customHeight="1" x14ac:dyDescent="0.3">
      <c r="A135" s="42">
        <v>46058</v>
      </c>
      <c r="B135" s="22" t="s">
        <v>61</v>
      </c>
      <c r="C135" s="22" t="s">
        <v>217</v>
      </c>
      <c r="D135" s="10"/>
      <c r="E135" s="10">
        <v>18.75</v>
      </c>
      <c r="F135" s="46">
        <v>17.3</v>
      </c>
      <c r="G135" s="46">
        <f>+(E135+E136)/F135</f>
        <v>5.3786127167630058</v>
      </c>
      <c r="H135" s="10" t="s">
        <v>3</v>
      </c>
      <c r="I135" s="10" t="s">
        <v>112</v>
      </c>
      <c r="J135" s="10">
        <f t="shared" si="3"/>
        <v>2790.2500000000009</v>
      </c>
    </row>
    <row r="136" spans="1:10" ht="24" customHeight="1" x14ac:dyDescent="0.3">
      <c r="A136" s="42">
        <v>46058</v>
      </c>
      <c r="B136" s="22" t="s">
        <v>61</v>
      </c>
      <c r="C136" s="22" t="s">
        <v>218</v>
      </c>
      <c r="D136" s="10"/>
      <c r="E136" s="10">
        <v>74.3</v>
      </c>
      <c r="F136" s="46">
        <v>17.3</v>
      </c>
      <c r="G136" s="46">
        <f>+(E135+E136)/F136</f>
        <v>5.3786127167630058</v>
      </c>
      <c r="H136" s="10" t="s">
        <v>220</v>
      </c>
      <c r="I136" s="10" t="s">
        <v>112</v>
      </c>
      <c r="J136" s="10">
        <f t="shared" si="3"/>
        <v>2864.5500000000011</v>
      </c>
    </row>
    <row r="137" spans="1:10" ht="24" customHeight="1" x14ac:dyDescent="0.3">
      <c r="A137" s="42">
        <v>46059</v>
      </c>
      <c r="B137" s="22" t="s">
        <v>61</v>
      </c>
      <c r="C137" s="22" t="s">
        <v>225</v>
      </c>
      <c r="D137" s="10"/>
      <c r="E137" s="10">
        <v>25.25</v>
      </c>
      <c r="F137" s="46">
        <v>15.16</v>
      </c>
      <c r="G137" s="46">
        <f>+(E137+E138)/F137</f>
        <v>5.0626649076517154</v>
      </c>
      <c r="H137" s="10" t="s">
        <v>220</v>
      </c>
      <c r="I137" s="10" t="s">
        <v>112</v>
      </c>
      <c r="J137" s="10">
        <f t="shared" si="3"/>
        <v>2889.8000000000011</v>
      </c>
    </row>
    <row r="138" spans="1:10" ht="24" customHeight="1" x14ac:dyDescent="0.3">
      <c r="A138" s="42">
        <v>46059</v>
      </c>
      <c r="B138" s="22" t="s">
        <v>61</v>
      </c>
      <c r="C138" s="22" t="s">
        <v>226</v>
      </c>
      <c r="D138" s="10"/>
      <c r="E138" s="10">
        <v>51.5</v>
      </c>
      <c r="F138" s="46">
        <v>15.16</v>
      </c>
      <c r="G138" s="46">
        <f>+(E137+E138)/F138</f>
        <v>5.0626649076517154</v>
      </c>
      <c r="H138" s="10" t="s">
        <v>220</v>
      </c>
      <c r="I138" s="10" t="s">
        <v>112</v>
      </c>
      <c r="J138" s="10">
        <f t="shared" si="3"/>
        <v>2941.3000000000011</v>
      </c>
    </row>
    <row r="139" spans="1:10" ht="24" customHeight="1" x14ac:dyDescent="0.3">
      <c r="A139" s="42">
        <v>46060</v>
      </c>
      <c r="B139" s="22" t="s">
        <v>61</v>
      </c>
      <c r="C139" s="22" t="s">
        <v>227</v>
      </c>
      <c r="D139" s="10"/>
      <c r="E139" s="10">
        <v>21.7</v>
      </c>
      <c r="F139" s="46">
        <v>8.8000000000000007</v>
      </c>
      <c r="G139" s="46">
        <f>+(E139+E140)/F139</f>
        <v>5.5795454545454541</v>
      </c>
      <c r="H139" s="10" t="s">
        <v>220</v>
      </c>
      <c r="I139" s="10" t="s">
        <v>112</v>
      </c>
      <c r="J139" s="10">
        <f t="shared" si="3"/>
        <v>2963.0000000000009</v>
      </c>
    </row>
    <row r="140" spans="1:10" ht="24" customHeight="1" x14ac:dyDescent="0.3">
      <c r="A140" s="42">
        <v>46060</v>
      </c>
      <c r="B140" s="22" t="s">
        <v>61</v>
      </c>
      <c r="C140" s="22" t="s">
        <v>228</v>
      </c>
      <c r="D140" s="10"/>
      <c r="E140" s="10">
        <f>30.1-2.7</f>
        <v>27.400000000000002</v>
      </c>
      <c r="F140" s="46">
        <v>8.8000000000000007</v>
      </c>
      <c r="G140" s="46">
        <f>+(E139+E140)/F140</f>
        <v>5.5795454545454541</v>
      </c>
      <c r="H140" s="10" t="s">
        <v>220</v>
      </c>
      <c r="I140" s="10" t="s">
        <v>112</v>
      </c>
      <c r="J140" s="10">
        <f t="shared" si="3"/>
        <v>2990.400000000001</v>
      </c>
    </row>
    <row r="141" spans="1:10" ht="24" customHeight="1" x14ac:dyDescent="0.3">
      <c r="A141" s="42">
        <v>46061</v>
      </c>
      <c r="B141" s="22" t="s">
        <v>61</v>
      </c>
      <c r="C141" s="22" t="s">
        <v>229</v>
      </c>
      <c r="D141" s="10"/>
      <c r="E141" s="10">
        <v>16.75</v>
      </c>
      <c r="F141" s="46">
        <v>3.17</v>
      </c>
      <c r="G141" s="46">
        <f>+E141/F141</f>
        <v>5.2839116719242902</v>
      </c>
      <c r="H141" s="10" t="s">
        <v>220</v>
      </c>
      <c r="I141" s="10" t="s">
        <v>112</v>
      </c>
      <c r="J141" s="10">
        <f t="shared" si="3"/>
        <v>3007.150000000001</v>
      </c>
    </row>
    <row r="142" spans="1:10" ht="24" customHeight="1" x14ac:dyDescent="0.3">
      <c r="A142" s="42">
        <v>46062</v>
      </c>
      <c r="B142" s="22" t="s">
        <v>61</v>
      </c>
      <c r="C142" s="22" t="s">
        <v>230</v>
      </c>
      <c r="D142" s="10"/>
      <c r="E142" s="10">
        <v>6.35</v>
      </c>
      <c r="F142" s="46">
        <f>+E142/G142</f>
        <v>1.2282398452611218</v>
      </c>
      <c r="G142" s="46">
        <v>5.17</v>
      </c>
      <c r="H142" s="10" t="s">
        <v>5</v>
      </c>
      <c r="I142" s="10" t="s">
        <v>112</v>
      </c>
      <c r="J142" s="10">
        <f t="shared" si="3"/>
        <v>3013.5000000000009</v>
      </c>
    </row>
    <row r="143" spans="1:10" ht="24" customHeight="1" x14ac:dyDescent="0.3">
      <c r="A143" s="42">
        <v>46062</v>
      </c>
      <c r="B143" s="22" t="s">
        <v>61</v>
      </c>
      <c r="C143" s="22" t="s">
        <v>231</v>
      </c>
      <c r="D143" s="10"/>
      <c r="E143" s="10">
        <v>36.25</v>
      </c>
      <c r="F143" s="46">
        <f>+(E142+E143)/8</f>
        <v>5.3250000000000002</v>
      </c>
      <c r="G143" s="46">
        <f t="shared" si="2"/>
        <v>6.807511737089202</v>
      </c>
      <c r="H143" s="10" t="s">
        <v>221</v>
      </c>
      <c r="I143" s="10" t="s">
        <v>112</v>
      </c>
      <c r="J143" s="10">
        <f t="shared" si="3"/>
        <v>3049.7500000000009</v>
      </c>
    </row>
    <row r="144" spans="1:10" ht="24" customHeight="1" x14ac:dyDescent="0.3">
      <c r="A144" s="42">
        <v>46063</v>
      </c>
      <c r="B144" s="22" t="s">
        <v>61</v>
      </c>
      <c r="C144" s="22" t="s">
        <v>232</v>
      </c>
      <c r="D144" s="10"/>
      <c r="E144" s="10">
        <v>22</v>
      </c>
      <c r="F144" s="46">
        <f>+E144/G144</f>
        <v>4.2553191489361701</v>
      </c>
      <c r="G144" s="46">
        <v>5.17</v>
      </c>
      <c r="H144" s="10" t="s">
        <v>220</v>
      </c>
      <c r="I144" s="10" t="s">
        <v>112</v>
      </c>
      <c r="J144" s="10">
        <f t="shared" si="3"/>
        <v>3071.7500000000009</v>
      </c>
    </row>
    <row r="145" spans="1:10" ht="24" customHeight="1" x14ac:dyDescent="0.3">
      <c r="A145" s="42">
        <v>46063</v>
      </c>
      <c r="B145" s="22" t="s">
        <v>61</v>
      </c>
      <c r="C145" s="22" t="s">
        <v>233</v>
      </c>
      <c r="D145" s="10"/>
      <c r="E145" s="10">
        <v>49.5</v>
      </c>
      <c r="F145" s="46">
        <f>+E145/G145</f>
        <v>9.5744680851063837</v>
      </c>
      <c r="G145" s="46">
        <v>5.17</v>
      </c>
      <c r="H145" s="10" t="s">
        <v>221</v>
      </c>
      <c r="I145" s="10" t="s">
        <v>112</v>
      </c>
      <c r="J145" s="10">
        <f t="shared" si="3"/>
        <v>3121.2500000000009</v>
      </c>
    </row>
    <row r="146" spans="1:10" ht="24" customHeight="1" x14ac:dyDescent="0.3">
      <c r="A146" s="42">
        <v>46064</v>
      </c>
      <c r="B146" s="22" t="s">
        <v>61</v>
      </c>
      <c r="C146" s="22" t="s">
        <v>234</v>
      </c>
      <c r="D146" s="10"/>
      <c r="E146" s="10">
        <v>12.25</v>
      </c>
      <c r="F146" s="46">
        <v>7.61</v>
      </c>
      <c r="G146" s="46">
        <v>5.0599999999999996</v>
      </c>
      <c r="H146" s="10" t="s">
        <v>220</v>
      </c>
      <c r="I146" s="10" t="s">
        <v>112</v>
      </c>
      <c r="J146" s="10">
        <f t="shared" si="3"/>
        <v>3133.5000000000009</v>
      </c>
    </row>
    <row r="147" spans="1:10" ht="24" customHeight="1" x14ac:dyDescent="0.3">
      <c r="A147" s="42">
        <v>46064</v>
      </c>
      <c r="B147" s="22" t="s">
        <v>61</v>
      </c>
      <c r="C147" s="22" t="s">
        <v>235</v>
      </c>
      <c r="D147" s="10"/>
      <c r="E147" s="10">
        <v>26.3</v>
      </c>
      <c r="F147" s="46">
        <v>7.61</v>
      </c>
      <c r="G147" s="46">
        <v>5.0599999999999996</v>
      </c>
      <c r="H147" s="10" t="s">
        <v>221</v>
      </c>
      <c r="I147" s="10" t="s">
        <v>112</v>
      </c>
      <c r="J147" s="10">
        <f t="shared" si="3"/>
        <v>3159.8000000000011</v>
      </c>
    </row>
    <row r="148" spans="1:10" ht="24" customHeight="1" x14ac:dyDescent="0.3">
      <c r="A148" s="42">
        <v>46065</v>
      </c>
      <c r="B148" s="22" t="s">
        <v>61</v>
      </c>
      <c r="C148" s="22" t="s">
        <v>236</v>
      </c>
      <c r="D148" s="10"/>
      <c r="E148" s="10">
        <v>15.35</v>
      </c>
      <c r="F148" s="46">
        <v>9.08</v>
      </c>
      <c r="G148" s="46">
        <v>5.2</v>
      </c>
      <c r="H148" s="10" t="s">
        <v>222</v>
      </c>
      <c r="I148" s="10" t="s">
        <v>112</v>
      </c>
      <c r="J148" s="10">
        <f t="shared" si="3"/>
        <v>3175.150000000001</v>
      </c>
    </row>
    <row r="149" spans="1:10" ht="24" customHeight="1" x14ac:dyDescent="0.3">
      <c r="A149" s="42">
        <v>46065</v>
      </c>
      <c r="B149" s="22" t="s">
        <v>61</v>
      </c>
      <c r="C149" s="22" t="s">
        <v>237</v>
      </c>
      <c r="D149" s="10"/>
      <c r="E149" s="10">
        <v>31.9</v>
      </c>
      <c r="F149" s="46">
        <v>9.08</v>
      </c>
      <c r="G149" s="46">
        <v>5.2</v>
      </c>
      <c r="H149" s="10" t="s">
        <v>221</v>
      </c>
      <c r="I149" s="10" t="s">
        <v>112</v>
      </c>
      <c r="J149" s="10">
        <f t="shared" si="3"/>
        <v>3207.0500000000011</v>
      </c>
    </row>
    <row r="150" spans="1:10" ht="24" customHeight="1" x14ac:dyDescent="0.3">
      <c r="A150" s="42">
        <v>46066</v>
      </c>
      <c r="B150" s="22" t="s">
        <v>61</v>
      </c>
      <c r="C150" s="22" t="s">
        <v>238</v>
      </c>
      <c r="D150" s="10"/>
      <c r="E150" s="10">
        <f>16.7+6.15</f>
        <v>22.85</v>
      </c>
      <c r="F150" s="46">
        <v>4.5999999999999996</v>
      </c>
      <c r="G150" s="46">
        <f t="shared" ref="G150:G167" si="5">+E150/F150</f>
        <v>4.9673913043478271</v>
      </c>
      <c r="H150" s="10" t="s">
        <v>222</v>
      </c>
      <c r="I150" s="10" t="s">
        <v>112</v>
      </c>
      <c r="J150" s="10">
        <f t="shared" si="3"/>
        <v>3229.900000000001</v>
      </c>
    </row>
    <row r="151" spans="1:10" ht="24" customHeight="1" x14ac:dyDescent="0.3">
      <c r="A151" s="42">
        <v>46067</v>
      </c>
      <c r="B151" s="22" t="s">
        <v>61</v>
      </c>
      <c r="C151" s="22" t="s">
        <v>239</v>
      </c>
      <c r="D151" s="10"/>
      <c r="E151" s="10">
        <v>6.35</v>
      </c>
      <c r="F151" s="46">
        <f>+E151/5.7</f>
        <v>1.1140350877192982</v>
      </c>
      <c r="G151" s="10">
        <f t="shared" si="5"/>
        <v>5.7</v>
      </c>
      <c r="H151" s="10" t="s">
        <v>222</v>
      </c>
      <c r="I151" s="10" t="s">
        <v>112</v>
      </c>
      <c r="J151" s="10">
        <f t="shared" si="3"/>
        <v>3236.2500000000009</v>
      </c>
    </row>
    <row r="152" spans="1:10" ht="24" customHeight="1" x14ac:dyDescent="0.3">
      <c r="A152" s="42">
        <v>46069</v>
      </c>
      <c r="B152" s="22" t="s">
        <v>61</v>
      </c>
      <c r="C152" s="22" t="s">
        <v>240</v>
      </c>
      <c r="D152" s="10"/>
      <c r="E152" s="10">
        <v>21.1</v>
      </c>
      <c r="F152" s="46">
        <f>+E152/5.7</f>
        <v>3.7017543859649122</v>
      </c>
      <c r="G152" s="10">
        <f t="shared" si="5"/>
        <v>5.7</v>
      </c>
      <c r="H152" s="10" t="s">
        <v>222</v>
      </c>
      <c r="I152" s="10" t="s">
        <v>112</v>
      </c>
      <c r="J152" s="10">
        <f t="shared" si="3"/>
        <v>3257.3500000000008</v>
      </c>
    </row>
    <row r="153" spans="1:10" ht="24" customHeight="1" x14ac:dyDescent="0.3">
      <c r="A153" s="42">
        <v>46070</v>
      </c>
      <c r="B153" s="22" t="s">
        <v>61</v>
      </c>
      <c r="C153" s="22" t="s">
        <v>241</v>
      </c>
      <c r="D153" s="10"/>
      <c r="E153" s="10">
        <v>15.35</v>
      </c>
      <c r="F153" s="10"/>
      <c r="G153" s="10" t="e">
        <f t="shared" si="5"/>
        <v>#DIV/0!</v>
      </c>
      <c r="H153" s="10" t="s">
        <v>222</v>
      </c>
      <c r="I153" s="10" t="s">
        <v>112</v>
      </c>
      <c r="J153" s="10">
        <f t="shared" si="3"/>
        <v>3272.7000000000007</v>
      </c>
    </row>
    <row r="154" spans="1:10" ht="24" customHeight="1" x14ac:dyDescent="0.3">
      <c r="A154" s="42">
        <v>46071</v>
      </c>
      <c r="B154" s="22" t="s">
        <v>61</v>
      </c>
      <c r="C154" s="22" t="s">
        <v>242</v>
      </c>
      <c r="D154" s="10"/>
      <c r="E154" s="10">
        <v>23.05</v>
      </c>
      <c r="F154" s="10"/>
      <c r="G154" s="10" t="e">
        <f t="shared" si="5"/>
        <v>#DIV/0!</v>
      </c>
      <c r="H154" s="10" t="s">
        <v>222</v>
      </c>
      <c r="I154" s="10" t="s">
        <v>112</v>
      </c>
      <c r="J154" s="10">
        <f t="shared" si="3"/>
        <v>3295.7500000000009</v>
      </c>
    </row>
    <row r="155" spans="1:10" ht="24" customHeight="1" x14ac:dyDescent="0.3">
      <c r="A155" s="42">
        <v>46072</v>
      </c>
      <c r="B155" s="22" t="s">
        <v>61</v>
      </c>
      <c r="C155" s="22" t="s">
        <v>243</v>
      </c>
      <c r="D155" s="10"/>
      <c r="E155" s="10">
        <v>21.6</v>
      </c>
      <c r="F155" s="10"/>
      <c r="G155" s="10" t="e">
        <f t="shared" si="5"/>
        <v>#DIV/0!</v>
      </c>
      <c r="H155" s="10" t="s">
        <v>222</v>
      </c>
      <c r="I155" s="10" t="s">
        <v>112</v>
      </c>
      <c r="J155" s="10">
        <f t="shared" si="3"/>
        <v>3317.3500000000008</v>
      </c>
    </row>
    <row r="156" spans="1:10" ht="24" customHeight="1" x14ac:dyDescent="0.3">
      <c r="A156" s="42">
        <v>46073</v>
      </c>
      <c r="B156" s="22" t="s">
        <v>61</v>
      </c>
      <c r="C156" s="22" t="s">
        <v>244</v>
      </c>
      <c r="D156" s="10"/>
      <c r="E156" s="10">
        <v>18.100000000000001</v>
      </c>
      <c r="F156" s="10"/>
      <c r="G156" s="10" t="e">
        <f t="shared" si="5"/>
        <v>#DIV/0!</v>
      </c>
      <c r="H156" s="10" t="s">
        <v>222</v>
      </c>
      <c r="I156" s="10" t="s">
        <v>112</v>
      </c>
      <c r="J156" s="10">
        <f t="shared" si="3"/>
        <v>3335.4500000000007</v>
      </c>
    </row>
    <row r="157" spans="1:10" ht="24" customHeight="1" x14ac:dyDescent="0.3">
      <c r="A157" s="42">
        <v>46074</v>
      </c>
      <c r="B157" s="22" t="s">
        <v>61</v>
      </c>
      <c r="C157" s="22" t="s">
        <v>245</v>
      </c>
      <c r="D157" s="10"/>
      <c r="E157" s="10">
        <v>9</v>
      </c>
      <c r="F157" s="10"/>
      <c r="G157" s="10" t="e">
        <f t="shared" si="5"/>
        <v>#DIV/0!</v>
      </c>
      <c r="H157" s="10" t="s">
        <v>222</v>
      </c>
      <c r="I157" s="10" t="s">
        <v>112</v>
      </c>
      <c r="J157" s="10">
        <f t="shared" si="3"/>
        <v>3344.4500000000007</v>
      </c>
    </row>
    <row r="158" spans="1:10" ht="24" customHeight="1" x14ac:dyDescent="0.3">
      <c r="A158" s="42">
        <v>46076</v>
      </c>
      <c r="B158" s="22" t="s">
        <v>61</v>
      </c>
      <c r="C158" s="22" t="s">
        <v>246</v>
      </c>
      <c r="D158" s="10"/>
      <c r="E158" s="10">
        <v>22.03</v>
      </c>
      <c r="F158" s="10"/>
      <c r="G158" s="10" t="e">
        <f t="shared" si="5"/>
        <v>#DIV/0!</v>
      </c>
      <c r="H158" s="10" t="s">
        <v>222</v>
      </c>
      <c r="I158" s="10" t="s">
        <v>112</v>
      </c>
      <c r="J158" s="10">
        <f t="shared" si="3"/>
        <v>3366.4800000000009</v>
      </c>
    </row>
    <row r="159" spans="1:10" ht="24" customHeight="1" x14ac:dyDescent="0.3">
      <c r="A159" s="42">
        <v>46077</v>
      </c>
      <c r="B159" s="22" t="s">
        <v>61</v>
      </c>
      <c r="C159" s="22" t="s">
        <v>247</v>
      </c>
      <c r="D159" s="10"/>
      <c r="E159" s="10">
        <v>14.6</v>
      </c>
      <c r="F159" s="10"/>
      <c r="G159" s="10" t="e">
        <f t="shared" si="5"/>
        <v>#DIV/0!</v>
      </c>
      <c r="H159" s="10" t="s">
        <v>222</v>
      </c>
      <c r="I159" s="10" t="s">
        <v>112</v>
      </c>
      <c r="J159" s="10">
        <f t="shared" si="3"/>
        <v>3381.0800000000008</v>
      </c>
    </row>
    <row r="160" spans="1:10" ht="24" customHeight="1" x14ac:dyDescent="0.3">
      <c r="A160" s="42">
        <v>46078</v>
      </c>
      <c r="B160" s="22" t="s">
        <v>61</v>
      </c>
      <c r="C160" s="22" t="s">
        <v>248</v>
      </c>
      <c r="D160" s="10"/>
      <c r="E160" s="10">
        <v>23.5</v>
      </c>
      <c r="F160" s="10"/>
      <c r="G160" s="10" t="e">
        <f t="shared" si="5"/>
        <v>#DIV/0!</v>
      </c>
      <c r="H160" s="10" t="s">
        <v>222</v>
      </c>
      <c r="I160" s="10" t="s">
        <v>112</v>
      </c>
      <c r="J160" s="10">
        <f t="shared" si="3"/>
        <v>3404.5800000000008</v>
      </c>
    </row>
    <row r="161" spans="1:10" ht="24" customHeight="1" x14ac:dyDescent="0.3">
      <c r="A161" s="42">
        <v>46079</v>
      </c>
      <c r="B161" s="22" t="s">
        <v>61</v>
      </c>
      <c r="C161" s="22" t="s">
        <v>249</v>
      </c>
      <c r="D161" s="10"/>
      <c r="E161" s="10">
        <v>9</v>
      </c>
      <c r="F161" s="10"/>
      <c r="G161" s="10" t="e">
        <f t="shared" si="5"/>
        <v>#DIV/0!</v>
      </c>
      <c r="H161" s="10" t="s">
        <v>223</v>
      </c>
      <c r="I161" s="10" t="s">
        <v>112</v>
      </c>
      <c r="J161" s="10">
        <f t="shared" si="3"/>
        <v>3413.5800000000008</v>
      </c>
    </row>
    <row r="162" spans="1:10" ht="24" customHeight="1" x14ac:dyDescent="0.3">
      <c r="A162" s="42">
        <v>46080</v>
      </c>
      <c r="B162" s="22" t="s">
        <v>61</v>
      </c>
      <c r="C162" s="22" t="s">
        <v>250</v>
      </c>
      <c r="D162" s="10"/>
      <c r="E162" s="10">
        <v>9.25</v>
      </c>
      <c r="F162" s="10"/>
      <c r="G162" s="10" t="e">
        <f t="shared" si="5"/>
        <v>#DIV/0!</v>
      </c>
      <c r="H162" s="10" t="s">
        <v>10</v>
      </c>
      <c r="I162" s="10" t="s">
        <v>112</v>
      </c>
      <c r="J162" s="10">
        <f t="shared" si="3"/>
        <v>3422.8300000000008</v>
      </c>
    </row>
    <row r="163" spans="1:10" ht="24" customHeight="1" x14ac:dyDescent="0.3">
      <c r="A163" s="42">
        <v>46081</v>
      </c>
      <c r="B163" s="22" t="s">
        <v>61</v>
      </c>
      <c r="C163" s="22" t="s">
        <v>251</v>
      </c>
      <c r="D163" s="10"/>
      <c r="E163" s="10">
        <v>16.149999999999999</v>
      </c>
      <c r="F163" s="10"/>
      <c r="G163" s="10" t="e">
        <f t="shared" si="5"/>
        <v>#DIV/0!</v>
      </c>
      <c r="H163" s="10" t="s">
        <v>224</v>
      </c>
      <c r="I163" s="10" t="s">
        <v>112</v>
      </c>
      <c r="J163" s="10">
        <f t="shared" si="3"/>
        <v>3438.9800000000009</v>
      </c>
    </row>
    <row r="164" spans="1:10" ht="24" customHeight="1" x14ac:dyDescent="0.3">
      <c r="A164" s="42">
        <v>46083</v>
      </c>
      <c r="B164" s="22" t="s">
        <v>61</v>
      </c>
      <c r="C164" s="22" t="s">
        <v>252</v>
      </c>
      <c r="D164" s="10"/>
      <c r="E164" s="10">
        <v>21.55</v>
      </c>
      <c r="F164" s="10"/>
      <c r="G164" s="10" t="e">
        <f t="shared" si="5"/>
        <v>#DIV/0!</v>
      </c>
      <c r="H164" s="10" t="s">
        <v>224</v>
      </c>
      <c r="I164" s="10" t="s">
        <v>112</v>
      </c>
      <c r="J164" s="10">
        <f t="shared" si="3"/>
        <v>3460.5300000000011</v>
      </c>
    </row>
    <row r="165" spans="1:10" ht="24" customHeight="1" x14ac:dyDescent="0.3">
      <c r="A165" s="42">
        <v>46084</v>
      </c>
      <c r="B165" s="22" t="s">
        <v>61</v>
      </c>
      <c r="C165" s="22" t="s">
        <v>253</v>
      </c>
      <c r="D165" s="10"/>
      <c r="E165" s="10">
        <v>24.5</v>
      </c>
      <c r="F165" s="10"/>
      <c r="G165" s="10" t="e">
        <f t="shared" si="5"/>
        <v>#DIV/0!</v>
      </c>
      <c r="H165" s="10" t="s">
        <v>224</v>
      </c>
      <c r="I165" s="10" t="s">
        <v>112</v>
      </c>
      <c r="J165" s="10">
        <f t="shared" si="3"/>
        <v>3485.0300000000011</v>
      </c>
    </row>
    <row r="166" spans="1:10" ht="24" customHeight="1" x14ac:dyDescent="0.3">
      <c r="A166" s="42">
        <v>46085</v>
      </c>
      <c r="B166" s="22" t="s">
        <v>61</v>
      </c>
      <c r="C166" s="22" t="s">
        <v>254</v>
      </c>
      <c r="D166" s="10"/>
      <c r="E166" s="10">
        <v>29.45</v>
      </c>
      <c r="F166" s="10"/>
      <c r="G166" s="10" t="e">
        <f t="shared" si="5"/>
        <v>#DIV/0!</v>
      </c>
      <c r="H166" s="10" t="s">
        <v>224</v>
      </c>
      <c r="I166" s="10" t="s">
        <v>112</v>
      </c>
      <c r="J166" s="10">
        <f t="shared" si="3"/>
        <v>3514.4800000000009</v>
      </c>
    </row>
    <row r="167" spans="1:10" ht="24" customHeight="1" x14ac:dyDescent="0.3">
      <c r="A167" s="42">
        <v>46086</v>
      </c>
      <c r="B167" s="22" t="s">
        <v>61</v>
      </c>
      <c r="C167" s="22" t="s">
        <v>255</v>
      </c>
      <c r="D167" s="10"/>
      <c r="E167" s="10">
        <v>24.25</v>
      </c>
      <c r="F167" s="10"/>
      <c r="G167" s="10" t="e">
        <f t="shared" si="5"/>
        <v>#DIV/0!</v>
      </c>
      <c r="H167" s="10" t="s">
        <v>224</v>
      </c>
      <c r="I167" s="10" t="s">
        <v>112</v>
      </c>
      <c r="J167" s="10">
        <f t="shared" si="3"/>
        <v>3538.7300000000009</v>
      </c>
    </row>
    <row r="168" spans="1:10" ht="24" customHeight="1" x14ac:dyDescent="0.3">
      <c r="A168" s="42"/>
      <c r="B168" s="22" t="s">
        <v>61</v>
      </c>
      <c r="C168" s="22"/>
      <c r="D168" s="10"/>
      <c r="E168" s="10"/>
      <c r="F168" s="10"/>
      <c r="G168" s="10"/>
      <c r="H168" s="10"/>
      <c r="I168" s="10" t="s">
        <v>112</v>
      </c>
      <c r="J168" s="10">
        <f t="shared" si="3"/>
        <v>3538.7300000000009</v>
      </c>
    </row>
    <row r="169" spans="1:10" ht="24" customHeight="1" x14ac:dyDescent="0.3">
      <c r="A169" s="42"/>
      <c r="B169" s="22" t="s">
        <v>61</v>
      </c>
      <c r="C169" s="22"/>
      <c r="D169" s="10"/>
      <c r="E169" s="10"/>
      <c r="F169" s="10"/>
      <c r="G169" s="10"/>
      <c r="H169" s="10"/>
      <c r="I169" s="10" t="s">
        <v>112</v>
      </c>
      <c r="J169" s="10">
        <f t="shared" si="3"/>
        <v>3538.7300000000009</v>
      </c>
    </row>
    <row r="170" spans="1:10" ht="24" customHeight="1" x14ac:dyDescent="0.3">
      <c r="A170" s="42"/>
      <c r="B170" s="22" t="s">
        <v>61</v>
      </c>
      <c r="C170" s="22"/>
      <c r="D170" s="10"/>
      <c r="E170" s="10"/>
      <c r="F170" s="10"/>
      <c r="G170" s="10"/>
      <c r="H170" s="10"/>
      <c r="I170" s="10" t="s">
        <v>112</v>
      </c>
      <c r="J170" s="10">
        <f t="shared" si="3"/>
        <v>3538.7300000000009</v>
      </c>
    </row>
    <row r="171" spans="1:10" x14ac:dyDescent="0.3">
      <c r="B171" s="22" t="s">
        <v>258</v>
      </c>
      <c r="C171" s="47" t="e">
        <f>AVERAGE(G6:G170)</f>
        <v>#DIV/0!</v>
      </c>
      <c r="I171" s="10" t="s">
        <v>112</v>
      </c>
    </row>
    <row r="172" spans="1:10" x14ac:dyDescent="0.3">
      <c r="B172" s="22" t="s">
        <v>61</v>
      </c>
      <c r="I172" s="10" t="s">
        <v>112</v>
      </c>
    </row>
    <row r="173" spans="1:10" x14ac:dyDescent="0.3">
      <c r="B173" s="22" t="s">
        <v>61</v>
      </c>
      <c r="I173" s="10" t="s">
        <v>112</v>
      </c>
    </row>
    <row r="174" spans="1:10" x14ac:dyDescent="0.3">
      <c r="B174" s="22" t="s">
        <v>61</v>
      </c>
      <c r="I174" s="10" t="s">
        <v>112</v>
      </c>
    </row>
    <row r="175" spans="1:10" x14ac:dyDescent="0.3">
      <c r="I175" s="10" t="s">
        <v>112</v>
      </c>
    </row>
    <row r="185" spans="9:9" x14ac:dyDescent="0.3">
      <c r="I185" s="11" t="s">
        <v>258</v>
      </c>
    </row>
    <row r="186" spans="9:9" x14ac:dyDescent="0.3">
      <c r="I186" s="11" t="s">
        <v>259</v>
      </c>
    </row>
  </sheetData>
  <autoFilter ref="A5:J175" xr:uid="{00000000-0001-0000-0200-000000000000}"/>
  <mergeCells count="24">
    <mergeCell ref="F66:F67"/>
    <mergeCell ref="G66:G67"/>
    <mergeCell ref="F71:F72"/>
    <mergeCell ref="G71:G72"/>
    <mergeCell ref="F73:F74"/>
    <mergeCell ref="G73:G74"/>
    <mergeCell ref="E98:E99"/>
    <mergeCell ref="F98:F99"/>
    <mergeCell ref="G98:G99"/>
    <mergeCell ref="E102:E103"/>
    <mergeCell ref="F102:F103"/>
    <mergeCell ref="G102:G103"/>
    <mergeCell ref="E127:E128"/>
    <mergeCell ref="F127:F128"/>
    <mergeCell ref="G127:G128"/>
    <mergeCell ref="E129:E130"/>
    <mergeCell ref="F129:F130"/>
    <mergeCell ref="G129:G130"/>
    <mergeCell ref="E131:E132"/>
    <mergeCell ref="F131:F132"/>
    <mergeCell ref="G131:G132"/>
    <mergeCell ref="E133:E134"/>
    <mergeCell ref="F133:F134"/>
    <mergeCell ref="G133:G134"/>
  </mergeCells>
  <phoneticPr fontId="10" type="noConversion"/>
  <pageMargins left="0.7" right="0.7" top="0.75" bottom="0.75" header="0.3" footer="0.3"/>
  <pageSetup scale="55" orientation="landscape" r:id="rId1"/>
  <rowBreaks count="1" manualBreakCount="1">
    <brk id="42" max="7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DATOS!$A$1:$A$11</xm:f>
          </x14:formula1>
          <xm:sqref>H77:H84 H6:H75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D051-AD27-5D40-A050-388C84774BD7}">
  <dimension ref="A1:A4"/>
  <sheetViews>
    <sheetView workbookViewId="0">
      <selection activeCell="A5" sqref="A5"/>
    </sheetView>
  </sheetViews>
  <sheetFormatPr baseColWidth="10" defaultRowHeight="14.4" x14ac:dyDescent="0.3"/>
  <sheetData>
    <row r="1" spans="1:1" x14ac:dyDescent="0.3">
      <c r="A1">
        <v>338</v>
      </c>
    </row>
    <row r="2" spans="1:1" x14ac:dyDescent="0.3">
      <c r="A2">
        <v>25</v>
      </c>
    </row>
    <row r="3" spans="1:1" x14ac:dyDescent="0.3">
      <c r="A3">
        <v>-23</v>
      </c>
    </row>
    <row r="4" spans="1:1" x14ac:dyDescent="0.3">
      <c r="A4">
        <f>SUM(A1:A3)</f>
        <v>340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59CF-6CB5-4231-BAF5-6F13ACB816A6}">
  <dimension ref="A1:J11"/>
  <sheetViews>
    <sheetView workbookViewId="0">
      <selection activeCell="G13" sqref="G13"/>
    </sheetView>
  </sheetViews>
  <sheetFormatPr baseColWidth="10" defaultRowHeight="14.4" x14ac:dyDescent="0.3"/>
  <cols>
    <col min="1" max="4" width="16.44140625" customWidth="1"/>
    <col min="5" max="5" width="16.77734375" customWidth="1"/>
    <col min="6" max="6" width="28.6640625" customWidth="1"/>
    <col min="7" max="7" width="24.44140625" customWidth="1"/>
    <col min="8" max="8" width="36.109375" bestFit="1" customWidth="1"/>
  </cols>
  <sheetData>
    <row r="1" spans="1:10" ht="20.399999999999999" x14ac:dyDescent="0.3">
      <c r="A1" s="2"/>
      <c r="B1" s="2"/>
      <c r="C1" s="2"/>
      <c r="D1" s="32" t="s">
        <v>2</v>
      </c>
      <c r="E1" s="2"/>
      <c r="F1" s="32"/>
      <c r="G1" s="2"/>
    </row>
    <row r="2" spans="1:10" ht="21" x14ac:dyDescent="0.3">
      <c r="A2" s="40"/>
      <c r="B2" s="40"/>
      <c r="C2" s="40"/>
      <c r="D2" s="7"/>
      <c r="E2" s="41"/>
      <c r="F2" s="7"/>
      <c r="G2" s="2"/>
    </row>
    <row r="3" spans="1:10" ht="15.6" x14ac:dyDescent="0.3">
      <c r="A3" s="1"/>
      <c r="B3" s="1"/>
      <c r="C3" s="1"/>
      <c r="D3" s="39" t="s">
        <v>98</v>
      </c>
      <c r="E3" s="1"/>
      <c r="F3" s="39"/>
    </row>
    <row r="4" spans="1:10" x14ac:dyDescent="0.3">
      <c r="A4" s="1"/>
      <c r="B4" s="1"/>
      <c r="C4" s="1"/>
      <c r="D4" s="1"/>
      <c r="E4" s="1"/>
    </row>
    <row r="5" spans="1:10" ht="43.2" x14ac:dyDescent="0.3">
      <c r="A5" s="8" t="s">
        <v>67</v>
      </c>
      <c r="B5" s="8" t="s">
        <v>45</v>
      </c>
      <c r="C5" s="8" t="s">
        <v>66</v>
      </c>
      <c r="D5" s="8" t="s">
        <v>69</v>
      </c>
      <c r="E5" s="8" t="s">
        <v>72</v>
      </c>
      <c r="F5" s="8" t="s">
        <v>99</v>
      </c>
      <c r="G5" s="8" t="s">
        <v>106</v>
      </c>
      <c r="H5" s="8" t="s">
        <v>104</v>
      </c>
      <c r="I5" s="8" t="s">
        <v>113</v>
      </c>
      <c r="J5" s="8" t="s">
        <v>130</v>
      </c>
    </row>
    <row r="6" spans="1:10" ht="18" x14ac:dyDescent="0.3">
      <c r="A6" s="8"/>
      <c r="B6" s="8"/>
      <c r="C6" s="8"/>
      <c r="D6" s="8"/>
      <c r="E6" s="45">
        <f>SUM(E7:E117)</f>
        <v>23.57</v>
      </c>
      <c r="F6" s="8"/>
      <c r="G6" s="8"/>
      <c r="H6" s="6"/>
      <c r="I6" s="6"/>
      <c r="J6" s="6"/>
    </row>
    <row r="7" spans="1:10" ht="25.95" customHeight="1" x14ac:dyDescent="0.3">
      <c r="A7" s="43">
        <v>45969</v>
      </c>
      <c r="B7" s="6" t="s">
        <v>61</v>
      </c>
      <c r="C7" s="6" t="s">
        <v>101</v>
      </c>
      <c r="D7" s="6">
        <v>9</v>
      </c>
      <c r="E7" s="6">
        <v>7.2</v>
      </c>
      <c r="F7" s="6" t="s">
        <v>107</v>
      </c>
      <c r="G7" s="44" t="s">
        <v>100</v>
      </c>
      <c r="H7" s="44" t="s">
        <v>108</v>
      </c>
      <c r="I7" s="6" t="s">
        <v>114</v>
      </c>
      <c r="J7" s="6" t="s">
        <v>131</v>
      </c>
    </row>
    <row r="8" spans="1:10" ht="25.95" customHeight="1" x14ac:dyDescent="0.3">
      <c r="A8" s="43">
        <v>45970</v>
      </c>
      <c r="B8" s="6" t="s">
        <v>61</v>
      </c>
      <c r="C8" s="6" t="s">
        <v>102</v>
      </c>
      <c r="D8" s="6">
        <v>6</v>
      </c>
      <c r="E8" s="6">
        <v>8.65</v>
      </c>
      <c r="F8" s="6" t="s">
        <v>107</v>
      </c>
      <c r="G8" s="44" t="s">
        <v>100</v>
      </c>
      <c r="H8" s="6"/>
      <c r="I8" s="6" t="s">
        <v>114</v>
      </c>
      <c r="J8" s="6" t="s">
        <v>131</v>
      </c>
    </row>
    <row r="9" spans="1:10" ht="25.95" customHeight="1" x14ac:dyDescent="0.3">
      <c r="A9" s="43">
        <v>45970</v>
      </c>
      <c r="B9" s="6" t="s">
        <v>61</v>
      </c>
      <c r="C9" s="6" t="s">
        <v>103</v>
      </c>
      <c r="D9" s="6">
        <v>1</v>
      </c>
      <c r="E9" s="6">
        <v>1.3</v>
      </c>
      <c r="F9" s="6" t="s">
        <v>16</v>
      </c>
      <c r="G9" s="44" t="s">
        <v>100</v>
      </c>
      <c r="H9" s="6" t="s">
        <v>105</v>
      </c>
      <c r="I9" s="6" t="s">
        <v>114</v>
      </c>
      <c r="J9" s="6" t="s">
        <v>131</v>
      </c>
    </row>
    <row r="10" spans="1:10" ht="25.95" customHeight="1" x14ac:dyDescent="0.3">
      <c r="A10" s="43">
        <v>45979</v>
      </c>
      <c r="B10" s="6" t="s">
        <v>61</v>
      </c>
      <c r="C10" s="6" t="s">
        <v>121</v>
      </c>
      <c r="D10" s="6">
        <v>5</v>
      </c>
      <c r="E10" s="6">
        <v>4.5199999999999996</v>
      </c>
      <c r="F10" s="6" t="s">
        <v>123</v>
      </c>
      <c r="G10" s="44" t="s">
        <v>100</v>
      </c>
      <c r="H10" s="6" t="s">
        <v>124</v>
      </c>
      <c r="I10" s="6" t="s">
        <v>126</v>
      </c>
      <c r="J10" s="6" t="s">
        <v>131</v>
      </c>
    </row>
    <row r="11" spans="1:10" ht="25.95" customHeight="1" x14ac:dyDescent="0.3">
      <c r="A11" s="43">
        <v>45980</v>
      </c>
      <c r="B11" s="6" t="s">
        <v>61</v>
      </c>
      <c r="C11" s="6" t="s">
        <v>122</v>
      </c>
      <c r="D11" s="6">
        <v>3</v>
      </c>
      <c r="E11" s="6">
        <v>1.9</v>
      </c>
      <c r="F11" s="6" t="s">
        <v>123</v>
      </c>
      <c r="G11" s="44" t="s">
        <v>100</v>
      </c>
      <c r="H11" s="6"/>
      <c r="I11" s="6" t="s">
        <v>125</v>
      </c>
      <c r="J11" s="6" t="s">
        <v>131</v>
      </c>
    </row>
  </sheetData>
  <phoneticPr fontId="10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view="pageBreakPreview" zoomScaleNormal="100" zoomScaleSheetLayoutView="100" workbookViewId="0">
      <selection activeCell="C10" sqref="C10"/>
    </sheetView>
  </sheetViews>
  <sheetFormatPr baseColWidth="10" defaultRowHeight="14.4" x14ac:dyDescent="0.3"/>
  <cols>
    <col min="1" max="1" width="16.33203125" customWidth="1"/>
    <col min="2" max="2" width="32.33203125" bestFit="1" customWidth="1"/>
    <col min="5" max="5" width="28.33203125" bestFit="1" customWidth="1"/>
    <col min="6" max="6" width="28.33203125" customWidth="1"/>
  </cols>
  <sheetData>
    <row r="1" spans="1:7" x14ac:dyDescent="0.3">
      <c r="A1" t="s">
        <v>3</v>
      </c>
      <c r="B1" t="s">
        <v>14</v>
      </c>
      <c r="C1" t="s">
        <v>40</v>
      </c>
      <c r="D1" t="s">
        <v>42</v>
      </c>
      <c r="E1" t="s">
        <v>64</v>
      </c>
      <c r="F1" t="s">
        <v>70</v>
      </c>
      <c r="G1" t="s">
        <v>49</v>
      </c>
    </row>
    <row r="2" spans="1:7" x14ac:dyDescent="0.3">
      <c r="A2" t="s">
        <v>4</v>
      </c>
      <c r="B2" t="s">
        <v>15</v>
      </c>
      <c r="C2" t="s">
        <v>41</v>
      </c>
      <c r="D2" t="s">
        <v>43</v>
      </c>
      <c r="E2" t="s">
        <v>63</v>
      </c>
      <c r="F2" t="s">
        <v>71</v>
      </c>
      <c r="G2" t="s">
        <v>65</v>
      </c>
    </row>
    <row r="3" spans="1:7" x14ac:dyDescent="0.3">
      <c r="A3" t="s">
        <v>5</v>
      </c>
      <c r="B3" t="s">
        <v>16</v>
      </c>
      <c r="D3" t="s">
        <v>61</v>
      </c>
      <c r="E3" t="s">
        <v>59</v>
      </c>
    </row>
    <row r="4" spans="1:7" x14ac:dyDescent="0.3">
      <c r="A4" t="s">
        <v>6</v>
      </c>
      <c r="B4" t="s">
        <v>17</v>
      </c>
      <c r="E4" t="s">
        <v>58</v>
      </c>
    </row>
    <row r="5" spans="1:7" x14ac:dyDescent="0.3">
      <c r="A5" t="s">
        <v>7</v>
      </c>
      <c r="B5" t="s">
        <v>18</v>
      </c>
      <c r="E5" t="s">
        <v>60</v>
      </c>
    </row>
    <row r="6" spans="1:7" x14ac:dyDescent="0.3">
      <c r="A6" t="s">
        <v>8</v>
      </c>
      <c r="B6" t="s">
        <v>19</v>
      </c>
      <c r="E6" t="s">
        <v>62</v>
      </c>
    </row>
    <row r="7" spans="1:7" x14ac:dyDescent="0.3">
      <c r="A7" t="s">
        <v>9</v>
      </c>
      <c r="B7" t="s">
        <v>20</v>
      </c>
    </row>
    <row r="8" spans="1:7" x14ac:dyDescent="0.3">
      <c r="A8" t="s">
        <v>10</v>
      </c>
      <c r="B8" t="s">
        <v>21</v>
      </c>
    </row>
    <row r="9" spans="1:7" x14ac:dyDescent="0.3">
      <c r="A9" t="s">
        <v>11</v>
      </c>
      <c r="B9" t="s">
        <v>22</v>
      </c>
    </row>
    <row r="10" spans="1:7" x14ac:dyDescent="0.3">
      <c r="A10" t="s">
        <v>12</v>
      </c>
      <c r="B10" t="s">
        <v>23</v>
      </c>
    </row>
    <row r="11" spans="1:7" x14ac:dyDescent="0.3">
      <c r="A11" t="s">
        <v>13</v>
      </c>
      <c r="B11" t="s">
        <v>24</v>
      </c>
    </row>
    <row r="12" spans="1:7" x14ac:dyDescent="0.3">
      <c r="A12" t="s">
        <v>62</v>
      </c>
      <c r="B12" t="s">
        <v>25</v>
      </c>
    </row>
    <row r="13" spans="1:7" x14ac:dyDescent="0.3">
      <c r="B13" t="s">
        <v>26</v>
      </c>
    </row>
    <row r="14" spans="1:7" x14ac:dyDescent="0.3">
      <c r="B14" t="s">
        <v>27</v>
      </c>
    </row>
    <row r="15" spans="1:7" x14ac:dyDescent="0.3">
      <c r="B15" t="s">
        <v>28</v>
      </c>
    </row>
    <row r="16" spans="1:7" x14ac:dyDescent="0.3">
      <c r="B16" t="s">
        <v>29</v>
      </c>
    </row>
    <row r="17" spans="2:2" x14ac:dyDescent="0.3">
      <c r="B17" t="s">
        <v>30</v>
      </c>
    </row>
    <row r="18" spans="2:2" x14ac:dyDescent="0.3">
      <c r="B18" t="s">
        <v>31</v>
      </c>
    </row>
    <row r="19" spans="2:2" x14ac:dyDescent="0.3">
      <c r="B19" t="s">
        <v>32</v>
      </c>
    </row>
    <row r="20" spans="2:2" x14ac:dyDescent="0.3">
      <c r="B20" t="s">
        <v>33</v>
      </c>
    </row>
    <row r="21" spans="2:2" x14ac:dyDescent="0.3">
      <c r="B21" t="s">
        <v>34</v>
      </c>
    </row>
    <row r="22" spans="2:2" x14ac:dyDescent="0.3">
      <c r="B22" t="s">
        <v>35</v>
      </c>
    </row>
    <row r="23" spans="2:2" x14ac:dyDescent="0.3">
      <c r="B23" t="s">
        <v>36</v>
      </c>
    </row>
    <row r="24" spans="2:2" x14ac:dyDescent="0.3">
      <c r="B24" t="s">
        <v>37</v>
      </c>
    </row>
  </sheetData>
  <pageMargins left="0.25" right="0.25" top="0.75" bottom="0.75" header="0.3" footer="0.3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RI </vt:lpstr>
      <vt:lpstr>Hoja1</vt:lpstr>
      <vt:lpstr>5. INGRESOS DE CAFÉ</vt:lpstr>
      <vt:lpstr>Hoja2</vt:lpstr>
      <vt:lpstr>6. INGRESO DE COMPRA DE CAFE</vt:lpstr>
      <vt:lpstr>DATOS</vt:lpstr>
      <vt:lpstr>'5. INGRESOS DE CAFÉ'!Área_de_impresión</vt:lpstr>
      <vt:lpstr>'RI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Roberto Lopez</dc:creator>
  <cp:lastModifiedBy>Luis Castellanos</cp:lastModifiedBy>
  <cp:lastPrinted>2025-09-29T15:24:33Z</cp:lastPrinted>
  <dcterms:created xsi:type="dcterms:W3CDTF">2025-09-16T00:13:55Z</dcterms:created>
  <dcterms:modified xsi:type="dcterms:W3CDTF">2026-03-09T18:56:29Z</dcterms:modified>
</cp:coreProperties>
</file>