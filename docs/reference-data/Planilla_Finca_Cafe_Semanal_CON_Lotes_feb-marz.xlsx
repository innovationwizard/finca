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cg22-my.sharepoint.com/personal/luis_castellanos_fincadanilandia_com_gt/Documents/Documentos/PLANILLAS 2526/"/>
    </mc:Choice>
  </mc:AlternateContent>
  <xr:revisionPtr revIDLastSave="130" documentId="8_{C7B43313-B56D-4D60-9EFA-69042CDFCD13}" xr6:coauthVersionLast="47" xr6:coauthVersionMax="47" xr10:uidLastSave="{9E716B78-070F-4BE8-82C7-D2E6EE8AB8F3}"/>
  <bookViews>
    <workbookView xWindow="-108" yWindow="-108" windowWidth="23256" windowHeight="12456" xr2:uid="{00000000-000D-0000-FFFF-FFFF00000000}"/>
  </bookViews>
  <sheets>
    <sheet name="Registro_Actividades" sheetId="1" r:id="rId1"/>
    <sheet name="Control_Actividades" sheetId="2" r:id="rId2"/>
    <sheet name="Resumen_Semanal" sheetId="3" r:id="rId3"/>
    <sheet name="Resumen_L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0" i="1" l="1"/>
  <c r="J418" i="1"/>
  <c r="I425" i="1"/>
  <c r="J425" i="1" s="1"/>
  <c r="G425" i="1"/>
  <c r="B425" i="1"/>
  <c r="I424" i="1"/>
  <c r="J424" i="1" s="1"/>
  <c r="G424" i="1"/>
  <c r="B424" i="1"/>
  <c r="I423" i="1"/>
  <c r="J423" i="1" s="1"/>
  <c r="G423" i="1"/>
  <c r="B423" i="1"/>
  <c r="I422" i="1"/>
  <c r="J422" i="1" s="1"/>
  <c r="G422" i="1"/>
  <c r="B422" i="1"/>
  <c r="I421" i="1"/>
  <c r="J421" i="1" s="1"/>
  <c r="G421" i="1"/>
  <c r="B421" i="1"/>
  <c r="G420" i="1"/>
  <c r="B420" i="1"/>
  <c r="I419" i="1"/>
  <c r="J419" i="1" s="1"/>
  <c r="G419" i="1"/>
  <c r="B419" i="1"/>
  <c r="I418" i="1"/>
  <c r="G418" i="1"/>
  <c r="B418" i="1"/>
  <c r="I417" i="1"/>
  <c r="J417" i="1" s="1"/>
  <c r="G417" i="1"/>
  <c r="B417" i="1"/>
  <c r="I416" i="1"/>
  <c r="J416" i="1" s="1"/>
  <c r="G416" i="1"/>
  <c r="B416" i="1"/>
  <c r="I415" i="1"/>
  <c r="J415" i="1" s="1"/>
  <c r="G415" i="1"/>
  <c r="B415" i="1"/>
  <c r="I414" i="1"/>
  <c r="J414" i="1" s="1"/>
  <c r="G414" i="1"/>
  <c r="B414" i="1"/>
  <c r="I413" i="1"/>
  <c r="J413" i="1" s="1"/>
  <c r="G413" i="1"/>
  <c r="B413" i="1"/>
  <c r="I412" i="1"/>
  <c r="J412" i="1" s="1"/>
  <c r="G412" i="1"/>
  <c r="B412" i="1"/>
  <c r="I411" i="1"/>
  <c r="J411" i="1" s="1"/>
  <c r="G411" i="1"/>
  <c r="B411" i="1"/>
  <c r="I410" i="1"/>
  <c r="J410" i="1" s="1"/>
  <c r="G410" i="1"/>
  <c r="B410" i="1"/>
  <c r="I409" i="1"/>
  <c r="J409" i="1" s="1"/>
  <c r="G409" i="1"/>
  <c r="B409" i="1"/>
  <c r="I408" i="1"/>
  <c r="J408" i="1" s="1"/>
  <c r="G408" i="1"/>
  <c r="B408" i="1"/>
  <c r="I407" i="1"/>
  <c r="J407" i="1" s="1"/>
  <c r="G407" i="1"/>
  <c r="B407" i="1"/>
  <c r="I406" i="1"/>
  <c r="G406" i="1"/>
  <c r="B406" i="1"/>
  <c r="I405" i="1"/>
  <c r="G405" i="1"/>
  <c r="B405" i="1"/>
  <c r="I404" i="1"/>
  <c r="J404" i="1" s="1"/>
  <c r="G404" i="1"/>
  <c r="B404" i="1"/>
  <c r="I403" i="1"/>
  <c r="J403" i="1" s="1"/>
  <c r="G403" i="1"/>
  <c r="B403" i="1"/>
  <c r="J397" i="1"/>
  <c r="J395" i="1"/>
  <c r="J383" i="1"/>
  <c r="J382" i="1"/>
  <c r="I402" i="1"/>
  <c r="J402" i="1" s="1"/>
  <c r="G402" i="1"/>
  <c r="B402" i="1"/>
  <c r="I401" i="1"/>
  <c r="J401" i="1" s="1"/>
  <c r="G401" i="1"/>
  <c r="B401" i="1"/>
  <c r="I400" i="1"/>
  <c r="J400" i="1" s="1"/>
  <c r="G400" i="1"/>
  <c r="B400" i="1"/>
  <c r="I399" i="1"/>
  <c r="J399" i="1" s="1"/>
  <c r="G399" i="1"/>
  <c r="B399" i="1"/>
  <c r="I398" i="1"/>
  <c r="J398" i="1" s="1"/>
  <c r="G398" i="1"/>
  <c r="B398" i="1"/>
  <c r="G397" i="1"/>
  <c r="B397" i="1"/>
  <c r="I396" i="1"/>
  <c r="J396" i="1" s="1"/>
  <c r="G396" i="1"/>
  <c r="B396" i="1"/>
  <c r="I395" i="1"/>
  <c r="G395" i="1"/>
  <c r="B395" i="1"/>
  <c r="I394" i="1"/>
  <c r="J394" i="1" s="1"/>
  <c r="G394" i="1"/>
  <c r="B394" i="1"/>
  <c r="I393" i="1"/>
  <c r="J393" i="1" s="1"/>
  <c r="G393" i="1"/>
  <c r="B393" i="1"/>
  <c r="I392" i="1"/>
  <c r="J392" i="1" s="1"/>
  <c r="G392" i="1"/>
  <c r="B392" i="1"/>
  <c r="I391" i="1"/>
  <c r="J391" i="1" s="1"/>
  <c r="G391" i="1"/>
  <c r="B391" i="1"/>
  <c r="I390" i="1"/>
  <c r="J390" i="1" s="1"/>
  <c r="G390" i="1"/>
  <c r="B390" i="1"/>
  <c r="I389" i="1"/>
  <c r="J389" i="1" s="1"/>
  <c r="G389" i="1"/>
  <c r="B389" i="1"/>
  <c r="I388" i="1"/>
  <c r="J388" i="1" s="1"/>
  <c r="G388" i="1"/>
  <c r="B388" i="1"/>
  <c r="I387" i="1"/>
  <c r="J387" i="1" s="1"/>
  <c r="G387" i="1"/>
  <c r="B387" i="1"/>
  <c r="I386" i="1"/>
  <c r="J386" i="1" s="1"/>
  <c r="G386" i="1"/>
  <c r="B386" i="1"/>
  <c r="I385" i="1"/>
  <c r="J385" i="1" s="1"/>
  <c r="G385" i="1"/>
  <c r="B385" i="1"/>
  <c r="I384" i="1"/>
  <c r="J384" i="1" s="1"/>
  <c r="G384" i="1"/>
  <c r="B384" i="1"/>
  <c r="I383" i="1"/>
  <c r="G383" i="1"/>
  <c r="B383" i="1"/>
  <c r="I382" i="1"/>
  <c r="G382" i="1"/>
  <c r="B382" i="1"/>
  <c r="I381" i="1"/>
  <c r="J381" i="1" s="1"/>
  <c r="G381" i="1"/>
  <c r="B381" i="1"/>
  <c r="I380" i="1"/>
  <c r="J380" i="1" s="1"/>
  <c r="G380" i="1"/>
  <c r="B380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J446" i="1"/>
  <c r="J447" i="1"/>
  <c r="J454" i="1"/>
  <c r="J506" i="1"/>
  <c r="J550" i="1"/>
  <c r="J602" i="1"/>
  <c r="J603" i="1"/>
  <c r="J606" i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I447" i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I603" i="1"/>
  <c r="I604" i="1"/>
  <c r="J604" i="1" s="1"/>
  <c r="I605" i="1"/>
  <c r="J605" i="1" s="1"/>
  <c r="I606" i="1"/>
  <c r="I607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I92" i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I116" i="1"/>
  <c r="J116" i="1" s="1"/>
  <c r="I117" i="1"/>
  <c r="J117" i="1" s="1"/>
  <c r="I118" i="1"/>
  <c r="J118" i="1" s="1"/>
  <c r="I119" i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27" i="1"/>
  <c r="G28" i="1"/>
  <c r="G29" i="1"/>
  <c r="G197" i="1"/>
  <c r="G198" i="1"/>
  <c r="G199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3" i="1"/>
  <c r="J3" i="1" s="1"/>
  <c r="I2" i="1"/>
  <c r="J2" i="1" s="1"/>
  <c r="G2" i="1"/>
  <c r="G3" i="1"/>
  <c r="B3" i="1"/>
  <c r="B2" i="1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51" i="3"/>
  <c r="F51" i="3" s="1"/>
  <c r="C50" i="3"/>
  <c r="F50" i="3" s="1"/>
  <c r="C49" i="3"/>
  <c r="F49" i="3" s="1"/>
  <c r="C48" i="3"/>
  <c r="F48" i="3" s="1"/>
  <c r="C47" i="3"/>
  <c r="F47" i="3" s="1"/>
  <c r="C46" i="3"/>
  <c r="F46" i="3" s="1"/>
  <c r="C45" i="3"/>
  <c r="F45" i="3" s="1"/>
  <c r="C44" i="3"/>
  <c r="F44" i="3" s="1"/>
  <c r="C43" i="3"/>
  <c r="F43" i="3" s="1"/>
  <c r="C42" i="3"/>
  <c r="F42" i="3" s="1"/>
  <c r="C41" i="3"/>
  <c r="F41" i="3" s="1"/>
  <c r="C40" i="3"/>
  <c r="F40" i="3" s="1"/>
  <c r="C39" i="3"/>
  <c r="F39" i="3" s="1"/>
  <c r="C38" i="3"/>
  <c r="F38" i="3" s="1"/>
  <c r="C37" i="3"/>
  <c r="F37" i="3" s="1"/>
  <c r="C36" i="3"/>
  <c r="F36" i="3" s="1"/>
  <c r="C35" i="3"/>
  <c r="F35" i="3" s="1"/>
  <c r="C34" i="3"/>
  <c r="F34" i="3" s="1"/>
  <c r="C33" i="3"/>
  <c r="F33" i="3" s="1"/>
  <c r="C32" i="3"/>
  <c r="F32" i="3" s="1"/>
  <c r="C31" i="3"/>
  <c r="F31" i="3" s="1"/>
  <c r="C30" i="3"/>
  <c r="F30" i="3" s="1"/>
  <c r="C29" i="3"/>
  <c r="F29" i="3" s="1"/>
  <c r="C28" i="3"/>
  <c r="F28" i="3" s="1"/>
  <c r="C27" i="3"/>
  <c r="F27" i="3" s="1"/>
  <c r="C26" i="3"/>
  <c r="F26" i="3" s="1"/>
  <c r="C25" i="3"/>
  <c r="F25" i="3" s="1"/>
  <c r="C24" i="3"/>
  <c r="F24" i="3" s="1"/>
  <c r="C23" i="3"/>
  <c r="F23" i="3" s="1"/>
  <c r="C22" i="3"/>
  <c r="F22" i="3" s="1"/>
  <c r="C21" i="3"/>
  <c r="F21" i="3" s="1"/>
  <c r="C20" i="3"/>
  <c r="F20" i="3" s="1"/>
  <c r="C19" i="3"/>
  <c r="F19" i="3" s="1"/>
  <c r="C18" i="3"/>
  <c r="F18" i="3" s="1"/>
  <c r="C17" i="3"/>
  <c r="F17" i="3" s="1"/>
  <c r="C16" i="3"/>
  <c r="F16" i="3" s="1"/>
  <c r="C15" i="3"/>
  <c r="F15" i="3" s="1"/>
  <c r="C14" i="3"/>
  <c r="F14" i="3" s="1"/>
  <c r="C13" i="3"/>
  <c r="F13" i="3" s="1"/>
  <c r="C12" i="3"/>
  <c r="F12" i="3" s="1"/>
  <c r="C11" i="3"/>
  <c r="F11" i="3" s="1"/>
  <c r="C10" i="3"/>
  <c r="F10" i="3" s="1"/>
  <c r="C9" i="3"/>
  <c r="F9" i="3" s="1"/>
  <c r="C8" i="3"/>
  <c r="F8" i="3" s="1"/>
  <c r="C7" i="3"/>
  <c r="F7" i="3" s="1"/>
  <c r="C6" i="3"/>
  <c r="F6" i="3" s="1"/>
  <c r="C5" i="3"/>
  <c r="F5" i="3" s="1"/>
  <c r="C4" i="3"/>
  <c r="F4" i="3" s="1"/>
  <c r="C3" i="3"/>
  <c r="F3" i="3" s="1"/>
  <c r="C2" i="3"/>
  <c r="F2" i="3" s="1"/>
</calcChain>
</file>

<file path=xl/sharedStrings.xml><?xml version="1.0" encoding="utf-8"?>
<sst xmlns="http://schemas.openxmlformats.org/spreadsheetml/2006/main" count="1246" uniqueCount="65">
  <si>
    <t>Fecha</t>
  </si>
  <si>
    <t>Semana</t>
  </si>
  <si>
    <t>Nombre Trabajador</t>
  </si>
  <si>
    <t>DPI</t>
  </si>
  <si>
    <t>Actividad</t>
  </si>
  <si>
    <t>Lote</t>
  </si>
  <si>
    <t>Unidad</t>
  </si>
  <si>
    <t>Cantidad</t>
  </si>
  <si>
    <t>Precio Unitario</t>
  </si>
  <si>
    <t>Total Devengado</t>
  </si>
  <si>
    <t>Corte de Café</t>
  </si>
  <si>
    <t>Quintal</t>
  </si>
  <si>
    <t>Pepena</t>
  </si>
  <si>
    <t>Fertilización</t>
  </si>
  <si>
    <t>Hectárea</t>
  </si>
  <si>
    <t>Limpia Manual</t>
  </si>
  <si>
    <t>Jornal</t>
  </si>
  <si>
    <t>Poda</t>
  </si>
  <si>
    <t>Bonificación</t>
  </si>
  <si>
    <t>Anticipos</t>
  </si>
  <si>
    <t>Total a Pagar</t>
  </si>
  <si>
    <t>Total Devengado Lote</t>
  </si>
  <si>
    <t xml:space="preserve">GILDABERTO SOLANO </t>
  </si>
  <si>
    <t>Caporal</t>
  </si>
  <si>
    <t>Dia</t>
  </si>
  <si>
    <t>Canoa</t>
  </si>
  <si>
    <t>JAIME ANIBAL MARROQUIN</t>
  </si>
  <si>
    <t>HENRY RANDOLFO HERNANDEZ</t>
  </si>
  <si>
    <t>CARMELO GUAMUCH</t>
  </si>
  <si>
    <t>LUZ DE MARIA MARTINEZ</t>
  </si>
  <si>
    <t>SUSANA SOLANO</t>
  </si>
  <si>
    <t>ENMA PEREZ</t>
  </si>
  <si>
    <t>EDGAR ROLANDO NAVAS</t>
  </si>
  <si>
    <t>SULEIMA MARROQUIN</t>
  </si>
  <si>
    <t>FERNANDO GUAMUCH</t>
  </si>
  <si>
    <t>GERMAN SOLANO</t>
  </si>
  <si>
    <t>CARLOS GARCIA</t>
  </si>
  <si>
    <t>JULIA MARROQUIN</t>
  </si>
  <si>
    <t>BALDOMERO SOLANO</t>
  </si>
  <si>
    <t>ADISTER ARCENIO</t>
  </si>
  <si>
    <t>OLIVER AGUILAR</t>
  </si>
  <si>
    <t>ELMER MANUEL HERNANDEZ</t>
  </si>
  <si>
    <t>IRIS PEREZ</t>
  </si>
  <si>
    <t>JONATHAN AGUILAR</t>
  </si>
  <si>
    <t>AXEL ALVAREZ</t>
  </si>
  <si>
    <t>MARLENI SALAZAR</t>
  </si>
  <si>
    <t>JORGE ODILIO SOLANO</t>
  </si>
  <si>
    <t>DANILO SOLANO</t>
  </si>
  <si>
    <t>Beneficio</t>
  </si>
  <si>
    <t>beneficio</t>
  </si>
  <si>
    <t>Cruz 2</t>
  </si>
  <si>
    <t>Manzana</t>
  </si>
  <si>
    <t>canoa</t>
  </si>
  <si>
    <t>Encargado Beneficio</t>
  </si>
  <si>
    <t>Encargado beneficio</t>
  </si>
  <si>
    <t>encargado beneficio</t>
  </si>
  <si>
    <t>Muestreo de Suelos</t>
  </si>
  <si>
    <t>Muestreo de suelos</t>
  </si>
  <si>
    <t>General</t>
  </si>
  <si>
    <t>Mirasol</t>
  </si>
  <si>
    <t>Cruz 1</t>
  </si>
  <si>
    <t>Vuelta Grande</t>
  </si>
  <si>
    <t>Repaso Poda</t>
  </si>
  <si>
    <t>Repaso poda</t>
  </si>
  <si>
    <t>repaso 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</si>
</sst>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right"/>
    </xf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44" fontId="0" fillId="0" borderId="1" xfId="1" applyFont="1" applyBorder="1"/>
    <xf numFmtId="44" fontId="0" fillId="0" borderId="0" xfId="1" applyFon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numFmt numFmtId="19" formatCode="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8BA35-1375-46B8-BDED-31A1002EF12B}" name="Tabla1" displayName="Tabla1" ref="A1:J425" totalsRowShown="0" headerRowDxfId="3" tableBorderDxfId="2">
  <autoFilter ref="A1:J425" xr:uid="{BD38BA35-1375-46B8-BDED-31A1002EF12B}">
    <filterColumn colId="9">
      <filters>
        <filter val="Q110.00"/>
        <filter val="Q116.00"/>
        <filter val="Q146.30"/>
        <filter val="Q77.00"/>
      </filters>
    </filterColumn>
  </autoFilter>
  <tableColumns count="10">
    <tableColumn id="1" xr3:uid="{CE545EFD-239E-4980-94A1-F8FAE4C37971}" name="Fecha" dataDxfId="1"/>
    <tableColumn id="2" xr3:uid="{1215758C-F8FC-4824-BF44-6AD82615BC1D}" name="Semana">
      <calculatedColumnFormula>WEEKNUM(A2,2)</calculatedColumnFormula>
    </tableColumn>
    <tableColumn id="3" xr3:uid="{9469E7F8-8689-4F53-9E03-3877FBA368C0}" name="Nombre Trabajador"/>
    <tableColumn id="4" xr3:uid="{C1581F60-3C56-4D2E-B5C0-FA4F2EBB2A09}" name="DPI"/>
    <tableColumn id="5" xr3:uid="{C81748F7-9832-495E-9030-BB50ADF93732}" name="Actividad"/>
    <tableColumn id="6" xr3:uid="{2EAAC280-526F-43B9-92CF-44209BFCD589}" name="Lote" dataDxfId="0"/>
    <tableColumn id="7" xr3:uid="{7D25F6AE-AA5C-4372-A2A8-02E9F9F97661}" name="Unidad">
      <calculatedColumnFormula>IFERROR(VLOOKUP(E2,Control_Actividades!A:C,2,FALSE),"")</calculatedColumnFormula>
    </tableColumn>
    <tableColumn id="8" xr3:uid="{764883D3-6A2E-4897-8FE9-53D32184F360}" name="Cantidad"/>
    <tableColumn id="9" xr3:uid="{F08EADDD-BDBF-4837-AEF6-B3C46C23B19B}" name="Precio Unitario">
      <calculatedColumnFormula>IFERROR(VLOOKUP(E2,Control_Actividades!A:C,3,FALSE),"")</calculatedColumnFormula>
    </tableColumn>
    <tableColumn id="10" xr3:uid="{359FDBBF-333B-4F34-913E-930AAAF8267A}" name="Total Devengado" dataCellStyle="Moneda">
      <calculatedColumnFormula>H2*I2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7"/>
  <sheetViews>
    <sheetView tabSelected="1" workbookViewId="0">
      <selection activeCell="L135" sqref="L135"/>
    </sheetView>
  </sheetViews>
  <sheetFormatPr baseColWidth="10" defaultColWidth="8.88671875" defaultRowHeight="14.4" x14ac:dyDescent="0.3"/>
  <cols>
    <col min="1" max="1" width="12" customWidth="1"/>
    <col min="2" max="2" width="11.33203125" bestFit="1" customWidth="1"/>
    <col min="3" max="3" width="27.33203125" bestFit="1" customWidth="1"/>
    <col min="4" max="4" width="18" customWidth="1"/>
    <col min="5" max="5" width="20" customWidth="1"/>
    <col min="6" max="6" width="15" customWidth="1"/>
    <col min="7" max="7" width="12" customWidth="1"/>
    <col min="8" max="8" width="10.44140625" customWidth="1"/>
    <col min="9" max="9" width="15.33203125" customWidth="1"/>
    <col min="10" max="10" width="18" customWidth="1"/>
    <col min="12" max="12" width="1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>
        <v>46066</v>
      </c>
      <c r="B2">
        <f>_xlfn.SINGLE(WEEKNUM(A2,2))</f>
        <v>7</v>
      </c>
      <c r="C2" t="s">
        <v>22</v>
      </c>
      <c r="E2" t="s">
        <v>23</v>
      </c>
      <c r="F2" t="s">
        <v>25</v>
      </c>
      <c r="G2" t="str">
        <f>IFERROR(VLOOKUP(E2,Control_Actividades!A:C,2,FALSE),"")</f>
        <v>Dia</v>
      </c>
      <c r="H2">
        <v>1</v>
      </c>
      <c r="I2" s="4">
        <f>IFERROR(VLOOKUP(E2,Control_Actividades!A:C,3,FALSE),"")</f>
        <v>100</v>
      </c>
      <c r="J2" s="4">
        <f t="shared" ref="J2:J62" si="0">H2*I2</f>
        <v>100</v>
      </c>
    </row>
    <row r="3" spans="1:10" hidden="1" x14ac:dyDescent="0.3">
      <c r="A3" s="2">
        <v>46066</v>
      </c>
      <c r="B3">
        <f>WEEKNUM(A3,2)</f>
        <v>7</v>
      </c>
      <c r="C3" t="s">
        <v>27</v>
      </c>
      <c r="E3" t="s">
        <v>55</v>
      </c>
      <c r="F3" t="s">
        <v>49</v>
      </c>
      <c r="G3" t="str">
        <f>IFERROR(VLOOKUP(E3,Control_Actividades!A:C,2,FALSE),"")</f>
        <v>Dia</v>
      </c>
      <c r="H3">
        <v>1.35</v>
      </c>
      <c r="I3" s="4">
        <f>IFERROR(VLOOKUP(E3,Control_Actividades!A:C,3,FALSE),"")</f>
        <v>130</v>
      </c>
      <c r="J3" s="4">
        <f t="shared" si="0"/>
        <v>175.5</v>
      </c>
    </row>
    <row r="4" spans="1:10" hidden="1" x14ac:dyDescent="0.3">
      <c r="A4" s="2">
        <v>46066</v>
      </c>
      <c r="B4">
        <f t="shared" ref="B4" si="1">_xlfn.SINGLE(WEEKNUM(A4,2))</f>
        <v>7</v>
      </c>
      <c r="C4" t="s">
        <v>28</v>
      </c>
      <c r="E4" t="s">
        <v>48</v>
      </c>
      <c r="F4" t="s">
        <v>49</v>
      </c>
      <c r="G4" t="str">
        <f>IFERROR(VLOOKUP(E4,Control_Actividades!A:C,2,FALSE),"")</f>
        <v>Dia</v>
      </c>
      <c r="H4">
        <v>1</v>
      </c>
      <c r="I4" s="4">
        <f>IFERROR(VLOOKUP(E4,Control_Actividades!A:C,3,FALSE),"")</f>
        <v>100</v>
      </c>
      <c r="J4" s="4">
        <f t="shared" si="0"/>
        <v>100</v>
      </c>
    </row>
    <row r="5" spans="1:10" hidden="1" x14ac:dyDescent="0.3">
      <c r="A5" s="2">
        <v>46066</v>
      </c>
      <c r="B5">
        <f t="shared" ref="B5" si="2">WEEKNUM(A5,2)</f>
        <v>7</v>
      </c>
      <c r="C5" t="s">
        <v>29</v>
      </c>
      <c r="E5" t="s">
        <v>10</v>
      </c>
      <c r="F5" t="s">
        <v>25</v>
      </c>
      <c r="G5" t="str">
        <f>IFERROR(VLOOKUP(E5,Control_Actividades!A:C,2,FALSE),"")</f>
        <v>Quintal</v>
      </c>
      <c r="H5">
        <v>1.5</v>
      </c>
      <c r="I5" s="4">
        <f>IFERROR(VLOOKUP(E5,Control_Actividades!A:C,3,FALSE),"")</f>
        <v>70</v>
      </c>
      <c r="J5" s="4">
        <f t="shared" si="0"/>
        <v>105</v>
      </c>
    </row>
    <row r="6" spans="1:10" hidden="1" x14ac:dyDescent="0.3">
      <c r="A6" s="2">
        <v>46066</v>
      </c>
      <c r="B6">
        <f t="shared" ref="B6" si="3">_xlfn.SINGLE(WEEKNUM(A6,2))</f>
        <v>7</v>
      </c>
      <c r="C6" t="s">
        <v>26</v>
      </c>
      <c r="E6" t="s">
        <v>10</v>
      </c>
      <c r="F6" t="s">
        <v>25</v>
      </c>
      <c r="G6" t="str">
        <f>IFERROR(VLOOKUP(E6,Control_Actividades!A:C,2,FALSE),"")</f>
        <v>Quintal</v>
      </c>
      <c r="H6">
        <v>1.35</v>
      </c>
      <c r="I6" s="4">
        <f>IFERROR(VLOOKUP(E6,Control_Actividades!A:C,3,FALSE),"")</f>
        <v>70</v>
      </c>
      <c r="J6" s="4">
        <f t="shared" si="0"/>
        <v>94.5</v>
      </c>
    </row>
    <row r="7" spans="1:10" x14ac:dyDescent="0.3">
      <c r="A7" s="2">
        <v>46066</v>
      </c>
      <c r="B7">
        <f t="shared" ref="B7" si="4">WEEKNUM(A7,2)</f>
        <v>7</v>
      </c>
      <c r="C7" t="s">
        <v>30</v>
      </c>
      <c r="E7" t="s">
        <v>10</v>
      </c>
      <c r="F7" t="s">
        <v>25</v>
      </c>
      <c r="G7" t="str">
        <f>IFERROR(VLOOKUP(E7,Control_Actividades!A:C,2,FALSE),"")</f>
        <v>Quintal</v>
      </c>
      <c r="H7">
        <v>1.1000000000000001</v>
      </c>
      <c r="I7" s="4">
        <f>IFERROR(VLOOKUP(E7,Control_Actividades!A:C,3,FALSE),"")</f>
        <v>70</v>
      </c>
      <c r="J7" s="4">
        <f t="shared" si="0"/>
        <v>77</v>
      </c>
    </row>
    <row r="8" spans="1:10" hidden="1" x14ac:dyDescent="0.3">
      <c r="A8" s="2">
        <v>46066</v>
      </c>
      <c r="B8">
        <f t="shared" ref="B8" si="5">_xlfn.SINGLE(WEEKNUM(A8,2))</f>
        <v>7</v>
      </c>
      <c r="C8" t="s">
        <v>31</v>
      </c>
      <c r="E8" t="s">
        <v>10</v>
      </c>
      <c r="F8" t="s">
        <v>25</v>
      </c>
      <c r="G8" t="str">
        <f>IFERROR(VLOOKUP(E8,Control_Actividades!A:C,2,FALSE),"")</f>
        <v>Quintal</v>
      </c>
      <c r="H8">
        <v>1.65</v>
      </c>
      <c r="I8" s="4">
        <f>IFERROR(VLOOKUP(E8,Control_Actividades!A:C,3,FALSE),"")</f>
        <v>70</v>
      </c>
      <c r="J8" s="4">
        <f t="shared" si="0"/>
        <v>115.5</v>
      </c>
    </row>
    <row r="9" spans="1:10" hidden="1" x14ac:dyDescent="0.3">
      <c r="A9" s="2">
        <v>46066</v>
      </c>
      <c r="B9">
        <f t="shared" ref="B9" si="6">WEEKNUM(A9,2)</f>
        <v>7</v>
      </c>
      <c r="C9" t="s">
        <v>32</v>
      </c>
      <c r="E9" t="s">
        <v>23</v>
      </c>
      <c r="F9" t="s">
        <v>25</v>
      </c>
      <c r="G9" t="str">
        <f>IFERROR(VLOOKUP(E9,Control_Actividades!A:C,2,FALSE),"")</f>
        <v>Dia</v>
      </c>
      <c r="H9">
        <v>1</v>
      </c>
      <c r="I9" s="4">
        <f>IFERROR(VLOOKUP(E9,Control_Actividades!A:C,3,FALSE),"")</f>
        <v>100</v>
      </c>
      <c r="J9" s="4">
        <f t="shared" si="0"/>
        <v>100</v>
      </c>
    </row>
    <row r="10" spans="1:10" hidden="1" x14ac:dyDescent="0.3">
      <c r="A10" s="2">
        <v>46066</v>
      </c>
      <c r="B10">
        <f t="shared" ref="B10" si="7">_xlfn.SINGLE(WEEKNUM(A10,2))</f>
        <v>7</v>
      </c>
      <c r="C10" t="s">
        <v>33</v>
      </c>
      <c r="E10" t="s">
        <v>10</v>
      </c>
      <c r="F10" t="s">
        <v>25</v>
      </c>
      <c r="G10" t="str">
        <f>IFERROR(VLOOKUP(E10,Control_Actividades!A:C,2,FALSE),"")</f>
        <v>Quintal</v>
      </c>
      <c r="H10">
        <v>1.1499999999999999</v>
      </c>
      <c r="I10" s="4">
        <f>IFERROR(VLOOKUP(E10,Control_Actividades!A:C,3,FALSE),"")</f>
        <v>70</v>
      </c>
      <c r="J10" s="4">
        <f t="shared" si="0"/>
        <v>80.5</v>
      </c>
    </row>
    <row r="11" spans="1:10" x14ac:dyDescent="0.3">
      <c r="A11" s="2">
        <v>46066</v>
      </c>
      <c r="B11">
        <f t="shared" ref="B11" si="8">WEEKNUM(A11,2)</f>
        <v>7</v>
      </c>
      <c r="C11" t="s">
        <v>34</v>
      </c>
      <c r="E11" t="s">
        <v>10</v>
      </c>
      <c r="F11" t="s">
        <v>25</v>
      </c>
      <c r="G11" t="str">
        <f>IFERROR(VLOOKUP(E11,Control_Actividades!A:C,2,FALSE),"")</f>
        <v>Quintal</v>
      </c>
      <c r="H11">
        <v>1.1000000000000001</v>
      </c>
      <c r="I11" s="4">
        <f>IFERROR(VLOOKUP(E11,Control_Actividades!A:C,3,FALSE),"")</f>
        <v>70</v>
      </c>
      <c r="J11" s="4">
        <f t="shared" si="0"/>
        <v>77</v>
      </c>
    </row>
    <row r="12" spans="1:10" hidden="1" x14ac:dyDescent="0.3">
      <c r="A12" s="2">
        <v>46066</v>
      </c>
      <c r="B12">
        <f t="shared" ref="B12" si="9">_xlfn.SINGLE(WEEKNUM(A12,2))</f>
        <v>7</v>
      </c>
      <c r="C12" t="s">
        <v>35</v>
      </c>
      <c r="E12" t="s">
        <v>17</v>
      </c>
      <c r="F12" t="s">
        <v>50</v>
      </c>
      <c r="G12" t="str">
        <f>IFERROR(VLOOKUP(E12,Control_Actividades!A:C,2,FALSE),"")</f>
        <v>Manzana</v>
      </c>
      <c r="H12">
        <v>2</v>
      </c>
      <c r="I12" s="4">
        <f>IFERROR(VLOOKUP(E12,Control_Actividades!A:C,3,FALSE),"")</f>
        <v>110</v>
      </c>
      <c r="J12" s="4">
        <f t="shared" si="0"/>
        <v>220</v>
      </c>
    </row>
    <row r="13" spans="1:10" hidden="1" x14ac:dyDescent="0.3">
      <c r="A13" s="2">
        <v>46066</v>
      </c>
      <c r="B13">
        <f t="shared" ref="B13" si="10">WEEKNUM(A13,2)</f>
        <v>7</v>
      </c>
      <c r="C13" t="s">
        <v>36</v>
      </c>
      <c r="E13" t="s">
        <v>10</v>
      </c>
      <c r="F13" t="s">
        <v>25</v>
      </c>
      <c r="G13" t="str">
        <f>IFERROR(VLOOKUP(E13,Control_Actividades!A:C,2,FALSE),"")</f>
        <v>Quintal</v>
      </c>
      <c r="H13">
        <v>1.35</v>
      </c>
      <c r="I13" s="4">
        <f>IFERROR(VLOOKUP(E13,Control_Actividades!A:C,3,FALSE),"")</f>
        <v>70</v>
      </c>
      <c r="J13" s="4">
        <f t="shared" si="0"/>
        <v>94.5</v>
      </c>
    </row>
    <row r="14" spans="1:10" hidden="1" x14ac:dyDescent="0.3">
      <c r="A14" s="2">
        <v>46066</v>
      </c>
      <c r="B14">
        <f t="shared" ref="B14" si="11">_xlfn.SINGLE(WEEKNUM(A14,2))</f>
        <v>7</v>
      </c>
      <c r="C14" t="s">
        <v>37</v>
      </c>
      <c r="E14" t="s">
        <v>10</v>
      </c>
      <c r="F14" t="s">
        <v>25</v>
      </c>
      <c r="G14" t="str">
        <f>IFERROR(VLOOKUP(E14,Control_Actividades!A:C,2,FALSE),"")</f>
        <v>Quintal</v>
      </c>
      <c r="H14">
        <v>1.35</v>
      </c>
      <c r="I14" s="4">
        <f>IFERROR(VLOOKUP(E14,Control_Actividades!A:C,3,FALSE),"")</f>
        <v>70</v>
      </c>
      <c r="J14" s="4">
        <f t="shared" si="0"/>
        <v>94.5</v>
      </c>
    </row>
    <row r="15" spans="1:10" x14ac:dyDescent="0.3">
      <c r="A15" s="2">
        <v>46066</v>
      </c>
      <c r="B15">
        <f t="shared" ref="B15" si="12">WEEKNUM(A15,2)</f>
        <v>7</v>
      </c>
      <c r="C15" t="s">
        <v>38</v>
      </c>
      <c r="E15" t="s">
        <v>10</v>
      </c>
      <c r="F15" t="s">
        <v>25</v>
      </c>
      <c r="G15" t="str">
        <f>IFERROR(VLOOKUP(E15,Control_Actividades!A:C,2,FALSE),"")</f>
        <v>Quintal</v>
      </c>
      <c r="H15">
        <v>1.1000000000000001</v>
      </c>
      <c r="I15" s="4">
        <f>IFERROR(VLOOKUP(E15,Control_Actividades!A:C,3,FALSE),"")</f>
        <v>70</v>
      </c>
      <c r="J15" s="4">
        <f t="shared" si="0"/>
        <v>77</v>
      </c>
    </row>
    <row r="16" spans="1:10" hidden="1" x14ac:dyDescent="0.3">
      <c r="A16" s="2">
        <v>46066</v>
      </c>
      <c r="B16">
        <f t="shared" ref="B16" si="13">_xlfn.SINGLE(WEEKNUM(A16,2))</f>
        <v>7</v>
      </c>
      <c r="C16" t="s">
        <v>39</v>
      </c>
      <c r="G16" t="str">
        <f>IFERROR(VLOOKUP(E16,Control_Actividades!A:C,2,FALSE),"")</f>
        <v/>
      </c>
      <c r="I16" s="4" t="str">
        <f>IFERROR(VLOOKUP(E16,Control_Actividades!A:C,3,FALSE),"")</f>
        <v/>
      </c>
      <c r="J16" s="4" t="e">
        <f t="shared" si="0"/>
        <v>#VALUE!</v>
      </c>
    </row>
    <row r="17" spans="1:10" x14ac:dyDescent="0.3">
      <c r="A17" s="2">
        <v>46066</v>
      </c>
      <c r="B17">
        <f t="shared" ref="B17" si="14">WEEKNUM(A17,2)</f>
        <v>7</v>
      </c>
      <c r="C17" t="s">
        <v>40</v>
      </c>
      <c r="E17" t="s">
        <v>10</v>
      </c>
      <c r="F17" t="s">
        <v>25</v>
      </c>
      <c r="G17" t="str">
        <f>IFERROR(VLOOKUP(E17,Control_Actividades!A:C,2,FALSE),"")</f>
        <v>Quintal</v>
      </c>
      <c r="H17">
        <v>1.1000000000000001</v>
      </c>
      <c r="I17" s="4">
        <f>IFERROR(VLOOKUP(E17,Control_Actividades!A:C,3,FALSE),"")</f>
        <v>70</v>
      </c>
      <c r="J17" s="4">
        <f t="shared" si="0"/>
        <v>77</v>
      </c>
    </row>
    <row r="18" spans="1:10" hidden="1" x14ac:dyDescent="0.3">
      <c r="A18" s="2">
        <v>46066</v>
      </c>
      <c r="B18">
        <f t="shared" ref="B18" si="15">_xlfn.SINGLE(WEEKNUM(A18,2))</f>
        <v>7</v>
      </c>
      <c r="C18" t="s">
        <v>41</v>
      </c>
      <c r="E18" t="s">
        <v>48</v>
      </c>
      <c r="F18" t="s">
        <v>49</v>
      </c>
      <c r="G18" t="str">
        <f>IFERROR(VLOOKUP(E18,Control_Actividades!A:C,2,FALSE),"")</f>
        <v>Dia</v>
      </c>
      <c r="H18">
        <v>1</v>
      </c>
      <c r="I18" s="4">
        <f>IFERROR(VLOOKUP(E18,Control_Actividades!A:C,3,FALSE),"")</f>
        <v>100</v>
      </c>
      <c r="J18" s="4">
        <f t="shared" si="0"/>
        <v>100</v>
      </c>
    </row>
    <row r="19" spans="1:10" hidden="1" x14ac:dyDescent="0.3">
      <c r="A19" s="2">
        <v>46066</v>
      </c>
      <c r="B19">
        <f t="shared" ref="B19" si="16">WEEKNUM(A19,2)</f>
        <v>7</v>
      </c>
      <c r="C19" t="s">
        <v>42</v>
      </c>
      <c r="E19" t="s">
        <v>10</v>
      </c>
      <c r="F19" t="s">
        <v>25</v>
      </c>
      <c r="G19" t="str">
        <f>IFERROR(VLOOKUP(E19,Control_Actividades!A:C,2,FALSE),"")</f>
        <v>Quintal</v>
      </c>
      <c r="H19">
        <v>1.75</v>
      </c>
      <c r="I19" s="4">
        <f>IFERROR(VLOOKUP(E19,Control_Actividades!A:C,3,FALSE),"")</f>
        <v>70</v>
      </c>
      <c r="J19" s="4">
        <f t="shared" si="0"/>
        <v>122.5</v>
      </c>
    </row>
    <row r="20" spans="1:10" hidden="1" x14ac:dyDescent="0.3">
      <c r="A20" s="2">
        <v>46066</v>
      </c>
      <c r="B20">
        <f t="shared" ref="B20" si="17">_xlfn.SINGLE(WEEKNUM(A20,2))</f>
        <v>7</v>
      </c>
      <c r="C20" t="s">
        <v>43</v>
      </c>
      <c r="E20" t="s">
        <v>48</v>
      </c>
      <c r="F20" t="s">
        <v>49</v>
      </c>
      <c r="G20" t="str">
        <f>IFERROR(VLOOKUP(E20,Control_Actividades!A:C,2,FALSE),"")</f>
        <v>Dia</v>
      </c>
      <c r="H20">
        <v>1</v>
      </c>
      <c r="I20" s="4">
        <f>IFERROR(VLOOKUP(E20,Control_Actividades!A:C,3,FALSE),"")</f>
        <v>100</v>
      </c>
      <c r="J20" s="4">
        <f t="shared" si="0"/>
        <v>100</v>
      </c>
    </row>
    <row r="21" spans="1:10" hidden="1" x14ac:dyDescent="0.3">
      <c r="A21" s="2">
        <v>46066</v>
      </c>
      <c r="B21">
        <f t="shared" ref="B21" si="18">WEEKNUM(A21,2)</f>
        <v>7</v>
      </c>
      <c r="C21" t="s">
        <v>44</v>
      </c>
      <c r="E21" t="s">
        <v>48</v>
      </c>
      <c r="F21" t="s">
        <v>49</v>
      </c>
      <c r="G21" t="str">
        <f>IFERROR(VLOOKUP(E21,Control_Actividades!A:C,2,FALSE),"")</f>
        <v>Dia</v>
      </c>
      <c r="H21">
        <v>1</v>
      </c>
      <c r="I21" s="4">
        <f>IFERROR(VLOOKUP(E21,Control_Actividades!A:C,3,FALSE),"")</f>
        <v>100</v>
      </c>
      <c r="J21" s="4">
        <f t="shared" si="0"/>
        <v>100</v>
      </c>
    </row>
    <row r="22" spans="1:10" hidden="1" x14ac:dyDescent="0.3">
      <c r="A22" s="2">
        <v>46066</v>
      </c>
      <c r="B22">
        <f t="shared" ref="B22" si="19">_xlfn.SINGLE(WEEKNUM(A22,2))</f>
        <v>7</v>
      </c>
      <c r="C22" t="s">
        <v>45</v>
      </c>
      <c r="E22" t="s">
        <v>10</v>
      </c>
      <c r="F22" t="s">
        <v>25</v>
      </c>
      <c r="G22" t="str">
        <f>IFERROR(VLOOKUP(E22,Control_Actividades!A:C,2,FALSE),"")</f>
        <v>Quintal</v>
      </c>
      <c r="H22">
        <v>1</v>
      </c>
      <c r="I22" s="4">
        <f>IFERROR(VLOOKUP(E22,Control_Actividades!A:C,3,FALSE),"")</f>
        <v>70</v>
      </c>
      <c r="J22" s="4">
        <f t="shared" si="0"/>
        <v>70</v>
      </c>
    </row>
    <row r="23" spans="1:10" hidden="1" x14ac:dyDescent="0.3">
      <c r="A23" s="2">
        <v>46066</v>
      </c>
      <c r="B23">
        <f t="shared" ref="B23" si="20">WEEKNUM(A23,2)</f>
        <v>7</v>
      </c>
      <c r="C23" t="s">
        <v>46</v>
      </c>
      <c r="E23" t="s">
        <v>10</v>
      </c>
      <c r="F23" t="s">
        <v>25</v>
      </c>
      <c r="G23" t="str">
        <f>IFERROR(VLOOKUP(E23,Control_Actividades!A:C,2,FALSE),"")</f>
        <v>Quintal</v>
      </c>
      <c r="H23">
        <v>1.2</v>
      </c>
      <c r="I23" s="4">
        <f>IFERROR(VLOOKUP(E23,Control_Actividades!A:C,3,FALSE),"")</f>
        <v>70</v>
      </c>
      <c r="J23" s="4">
        <f t="shared" si="0"/>
        <v>84</v>
      </c>
    </row>
    <row r="24" spans="1:10" hidden="1" x14ac:dyDescent="0.3">
      <c r="A24" s="5">
        <v>46066</v>
      </c>
      <c r="B24" s="6">
        <f t="shared" ref="B24" si="21">_xlfn.SINGLE(WEEKNUM(A24,2))</f>
        <v>7</v>
      </c>
      <c r="C24" s="6" t="s">
        <v>47</v>
      </c>
      <c r="D24" s="6"/>
      <c r="E24" s="6" t="s">
        <v>10</v>
      </c>
      <c r="F24" s="6" t="s">
        <v>25</v>
      </c>
      <c r="G24" s="6" t="str">
        <f>IFERROR(VLOOKUP(E24,Control_Actividades!A:C,2,FALSE),"")</f>
        <v>Quintal</v>
      </c>
      <c r="H24" s="6">
        <v>0.85</v>
      </c>
      <c r="I24" s="7">
        <f>IFERROR(VLOOKUP(E24,Control_Actividades!A:C,3,FALSE),"")</f>
        <v>70</v>
      </c>
      <c r="J24" s="7">
        <f t="shared" si="0"/>
        <v>59.5</v>
      </c>
    </row>
    <row r="25" spans="1:10" hidden="1" x14ac:dyDescent="0.3">
      <c r="A25" s="2">
        <v>46067</v>
      </c>
      <c r="B25">
        <f t="shared" ref="B25" si="22">WEEKNUM(A25,2)</f>
        <v>7</v>
      </c>
      <c r="C25" t="s">
        <v>22</v>
      </c>
      <c r="E25" t="s">
        <v>23</v>
      </c>
      <c r="F25" t="s">
        <v>25</v>
      </c>
      <c r="G25" t="str">
        <f>IFERROR(VLOOKUP(E25,Control_Actividades!A:C,2,FALSE),"")</f>
        <v>Dia</v>
      </c>
      <c r="H25">
        <v>1</v>
      </c>
      <c r="I25">
        <f>IFERROR(VLOOKUP(E25,Control_Actividades!A:C,3,FALSE),"")</f>
        <v>100</v>
      </c>
      <c r="J25" s="3">
        <f t="shared" si="0"/>
        <v>100</v>
      </c>
    </row>
    <row r="26" spans="1:10" hidden="1" x14ac:dyDescent="0.3">
      <c r="A26" s="2">
        <v>46067</v>
      </c>
      <c r="B26">
        <f t="shared" ref="B26" si="23">_xlfn.SINGLE(WEEKNUM(A26,2))</f>
        <v>7</v>
      </c>
      <c r="C26" t="s">
        <v>27</v>
      </c>
      <c r="E26" t="s">
        <v>54</v>
      </c>
      <c r="F26" t="s">
        <v>49</v>
      </c>
      <c r="G26" t="str">
        <f>IFERROR(VLOOKUP(E26,Control_Actividades!A:C,2,FALSE),"")</f>
        <v>Dia</v>
      </c>
      <c r="H26">
        <v>1</v>
      </c>
      <c r="I26">
        <f>IFERROR(VLOOKUP(E26,Control_Actividades!A:C,3,FALSE),"")</f>
        <v>130</v>
      </c>
      <c r="J26" s="3">
        <f t="shared" si="0"/>
        <v>130</v>
      </c>
    </row>
    <row r="27" spans="1:10" hidden="1" x14ac:dyDescent="0.3">
      <c r="A27" s="2">
        <v>46067</v>
      </c>
      <c r="B27">
        <f t="shared" ref="B27" si="24">WEEKNUM(A27,2)</f>
        <v>7</v>
      </c>
      <c r="C27" t="s">
        <v>28</v>
      </c>
      <c r="G27" t="str">
        <f>IFERROR(VLOOKUP(E27,Control_Actividades!A:C,2,FALSE),"")</f>
        <v/>
      </c>
      <c r="I27" t="str">
        <f>IFERROR(VLOOKUP(E27,Control_Actividades!A:C,3,FALSE),"")</f>
        <v/>
      </c>
      <c r="J27" s="3" t="e">
        <f t="shared" si="0"/>
        <v>#VALUE!</v>
      </c>
    </row>
    <row r="28" spans="1:10" hidden="1" x14ac:dyDescent="0.3">
      <c r="A28" s="2">
        <v>46067</v>
      </c>
      <c r="B28">
        <f t="shared" ref="B28:B76" si="25">_xlfn.SINGLE(WEEKNUM(A28,2))</f>
        <v>7</v>
      </c>
      <c r="C28" t="s">
        <v>29</v>
      </c>
      <c r="G28" t="str">
        <f>IFERROR(VLOOKUP(E28,Control_Actividades!A:C,2,FALSE),"")</f>
        <v/>
      </c>
      <c r="I28" t="str">
        <f>IFERROR(VLOOKUP(E28,Control_Actividades!A:C,3,FALSE),"")</f>
        <v/>
      </c>
      <c r="J28" s="3" t="e">
        <f t="shared" si="0"/>
        <v>#VALUE!</v>
      </c>
    </row>
    <row r="29" spans="1:10" hidden="1" x14ac:dyDescent="0.3">
      <c r="A29" s="2">
        <v>46067</v>
      </c>
      <c r="B29">
        <f t="shared" ref="B29:B77" si="26">WEEKNUM(A29,2)</f>
        <v>7</v>
      </c>
      <c r="C29" t="s">
        <v>26</v>
      </c>
      <c r="E29" t="s">
        <v>10</v>
      </c>
      <c r="F29" t="s">
        <v>25</v>
      </c>
      <c r="G29" t="str">
        <f>IFERROR(VLOOKUP(E29,Control_Actividades!A:C,2,FALSE),"")</f>
        <v>Quintal</v>
      </c>
      <c r="H29">
        <v>0.65</v>
      </c>
      <c r="I29">
        <f>IFERROR(VLOOKUP(E29,Control_Actividades!A:C,3,FALSE),"")</f>
        <v>70</v>
      </c>
      <c r="J29" s="3">
        <f t="shared" si="0"/>
        <v>45.5</v>
      </c>
    </row>
    <row r="30" spans="1:10" hidden="1" x14ac:dyDescent="0.3">
      <c r="A30" s="2">
        <v>46067</v>
      </c>
      <c r="B30">
        <f t="shared" ref="B30:B78" si="27">_xlfn.SINGLE(WEEKNUM(A30,2))</f>
        <v>7</v>
      </c>
      <c r="C30" t="s">
        <v>30</v>
      </c>
      <c r="G30" t="str">
        <f>IFERROR(VLOOKUP(E30,Control_Actividades!A:C,2,FALSE),"")</f>
        <v/>
      </c>
      <c r="I30" t="str">
        <f>IFERROR(VLOOKUP(E30,Control_Actividades!A:C,3,FALSE),"")</f>
        <v/>
      </c>
      <c r="J30" s="3" t="e">
        <f t="shared" si="0"/>
        <v>#VALUE!</v>
      </c>
    </row>
    <row r="31" spans="1:10" hidden="1" x14ac:dyDescent="0.3">
      <c r="A31" s="2">
        <v>46067</v>
      </c>
      <c r="B31">
        <f t="shared" ref="B31:B79" si="28">WEEKNUM(A31,2)</f>
        <v>7</v>
      </c>
      <c r="C31" t="s">
        <v>31</v>
      </c>
      <c r="G31" t="str">
        <f>IFERROR(VLOOKUP(E31,Control_Actividades!A:C,2,FALSE),"")</f>
        <v/>
      </c>
      <c r="I31" t="str">
        <f>IFERROR(VLOOKUP(E31,Control_Actividades!A:C,3,FALSE),"")</f>
        <v/>
      </c>
      <c r="J31" s="3" t="e">
        <f t="shared" si="0"/>
        <v>#VALUE!</v>
      </c>
    </row>
    <row r="32" spans="1:10" hidden="1" x14ac:dyDescent="0.3">
      <c r="A32" s="2">
        <v>46067</v>
      </c>
      <c r="B32">
        <f t="shared" ref="B32:B80" si="29">_xlfn.SINGLE(WEEKNUM(A32,2))</f>
        <v>7</v>
      </c>
      <c r="C32" t="s">
        <v>32</v>
      </c>
      <c r="E32" t="s">
        <v>48</v>
      </c>
      <c r="F32" t="s">
        <v>49</v>
      </c>
      <c r="G32" t="str">
        <f>IFERROR(VLOOKUP(E32,Control_Actividades!A:C,2,FALSE),"")</f>
        <v>Dia</v>
      </c>
      <c r="H32">
        <v>1</v>
      </c>
      <c r="I32">
        <f>IFERROR(VLOOKUP(E32,Control_Actividades!A:C,3,FALSE),"")</f>
        <v>100</v>
      </c>
      <c r="J32" s="3">
        <f t="shared" si="0"/>
        <v>100</v>
      </c>
    </row>
    <row r="33" spans="1:10" hidden="1" x14ac:dyDescent="0.3">
      <c r="A33" s="2">
        <v>46067</v>
      </c>
      <c r="B33">
        <f t="shared" ref="B33:B81" si="30">WEEKNUM(A33,2)</f>
        <v>7</v>
      </c>
      <c r="C33" t="s">
        <v>33</v>
      </c>
      <c r="E33" t="s">
        <v>10</v>
      </c>
      <c r="F33" t="s">
        <v>25</v>
      </c>
      <c r="G33" t="str">
        <f>IFERROR(VLOOKUP(E33,Control_Actividades!A:C,2,FALSE),"")</f>
        <v>Quintal</v>
      </c>
      <c r="H33">
        <v>0.55000000000000004</v>
      </c>
      <c r="I33">
        <f>IFERROR(VLOOKUP(E33,Control_Actividades!A:C,3,FALSE),"")</f>
        <v>70</v>
      </c>
      <c r="J33" s="3">
        <f t="shared" si="0"/>
        <v>38.5</v>
      </c>
    </row>
    <row r="34" spans="1:10" hidden="1" x14ac:dyDescent="0.3">
      <c r="A34" s="2">
        <v>46067</v>
      </c>
      <c r="B34">
        <f t="shared" ref="B34:B82" si="31">_xlfn.SINGLE(WEEKNUM(A34,2))</f>
        <v>7</v>
      </c>
      <c r="C34" t="s">
        <v>34</v>
      </c>
      <c r="G34" t="str">
        <f>IFERROR(VLOOKUP(E34,Control_Actividades!A:C,2,FALSE),"")</f>
        <v/>
      </c>
      <c r="I34" t="str">
        <f>IFERROR(VLOOKUP(E34,Control_Actividades!A:C,3,FALSE),"")</f>
        <v/>
      </c>
      <c r="J34" s="3" t="e">
        <f t="shared" si="0"/>
        <v>#VALUE!</v>
      </c>
    </row>
    <row r="35" spans="1:10" hidden="1" x14ac:dyDescent="0.3">
      <c r="A35" s="2">
        <v>46067</v>
      </c>
      <c r="B35">
        <f t="shared" ref="B35:B83" si="32">WEEKNUM(A35,2)</f>
        <v>7</v>
      </c>
      <c r="C35" t="s">
        <v>35</v>
      </c>
      <c r="E35" t="s">
        <v>17</v>
      </c>
      <c r="F35" t="s">
        <v>50</v>
      </c>
      <c r="G35" t="str">
        <f>IFERROR(VLOOKUP(E35,Control_Actividades!A:C,2,FALSE),"")</f>
        <v>Manzana</v>
      </c>
      <c r="H35">
        <v>2</v>
      </c>
      <c r="I35">
        <f>IFERROR(VLOOKUP(E35,Control_Actividades!A:C,3,FALSE),"")</f>
        <v>110</v>
      </c>
      <c r="J35" s="3">
        <f t="shared" si="0"/>
        <v>220</v>
      </c>
    </row>
    <row r="36" spans="1:10" hidden="1" x14ac:dyDescent="0.3">
      <c r="A36" s="2">
        <v>46067</v>
      </c>
      <c r="B36">
        <f t="shared" ref="B36:B84" si="33">_xlfn.SINGLE(WEEKNUM(A36,2))</f>
        <v>7</v>
      </c>
      <c r="C36" t="s">
        <v>36</v>
      </c>
      <c r="E36" t="s">
        <v>10</v>
      </c>
      <c r="F36" t="s">
        <v>25</v>
      </c>
      <c r="G36" t="str">
        <f>IFERROR(VLOOKUP(E36,Control_Actividades!A:C,2,FALSE),"")</f>
        <v>Quintal</v>
      </c>
      <c r="H36">
        <v>0.55000000000000004</v>
      </c>
      <c r="I36">
        <f>IFERROR(VLOOKUP(E36,Control_Actividades!A:C,3,FALSE),"")</f>
        <v>70</v>
      </c>
      <c r="J36" s="3">
        <f t="shared" si="0"/>
        <v>38.5</v>
      </c>
    </row>
    <row r="37" spans="1:10" hidden="1" x14ac:dyDescent="0.3">
      <c r="A37" s="2">
        <v>46067</v>
      </c>
      <c r="B37">
        <f t="shared" ref="B37:B85" si="34">WEEKNUM(A37,2)</f>
        <v>7</v>
      </c>
      <c r="C37" t="s">
        <v>37</v>
      </c>
      <c r="E37" t="s">
        <v>10</v>
      </c>
      <c r="F37" t="s">
        <v>25</v>
      </c>
      <c r="G37" t="str">
        <f>IFERROR(VLOOKUP(E37,Control_Actividades!A:C,2,FALSE),"")</f>
        <v>Quintal</v>
      </c>
      <c r="H37">
        <v>0.95</v>
      </c>
      <c r="I37">
        <f>IFERROR(VLOOKUP(E37,Control_Actividades!A:C,3,FALSE),"")</f>
        <v>70</v>
      </c>
      <c r="J37" s="3">
        <f t="shared" si="0"/>
        <v>66.5</v>
      </c>
    </row>
    <row r="38" spans="1:10" hidden="1" x14ac:dyDescent="0.3">
      <c r="A38" s="2">
        <v>46067</v>
      </c>
      <c r="B38">
        <f t="shared" ref="B38:B86" si="35">_xlfn.SINGLE(WEEKNUM(A38,2))</f>
        <v>7</v>
      </c>
      <c r="C38" t="s">
        <v>38</v>
      </c>
      <c r="E38" t="s">
        <v>10</v>
      </c>
      <c r="F38" t="s">
        <v>25</v>
      </c>
      <c r="G38" t="str">
        <f>IFERROR(VLOOKUP(E38,Control_Actividades!A:C,2,FALSE),"")</f>
        <v>Quintal</v>
      </c>
      <c r="H38">
        <v>0.85</v>
      </c>
      <c r="I38">
        <f>IFERROR(VLOOKUP(E38,Control_Actividades!A:C,3,FALSE),"")</f>
        <v>70</v>
      </c>
      <c r="J38" s="3">
        <f t="shared" si="0"/>
        <v>59.5</v>
      </c>
    </row>
    <row r="39" spans="1:10" x14ac:dyDescent="0.3">
      <c r="A39" s="2">
        <v>46067</v>
      </c>
      <c r="B39">
        <f t="shared" ref="B39:B87" si="36">WEEKNUM(A39,2)</f>
        <v>7</v>
      </c>
      <c r="C39" t="s">
        <v>39</v>
      </c>
      <c r="E39" t="s">
        <v>17</v>
      </c>
      <c r="F39" t="s">
        <v>50</v>
      </c>
      <c r="G39" t="str">
        <f>IFERROR(VLOOKUP(E39,Control_Actividades!A:C,2,FALSE),"")</f>
        <v>Manzana</v>
      </c>
      <c r="H39">
        <v>1.33</v>
      </c>
      <c r="I39">
        <f>IFERROR(VLOOKUP(E39,Control_Actividades!A:C,3,FALSE),"")</f>
        <v>110</v>
      </c>
      <c r="J39" s="3">
        <f t="shared" si="0"/>
        <v>146.30000000000001</v>
      </c>
    </row>
    <row r="40" spans="1:10" hidden="1" x14ac:dyDescent="0.3">
      <c r="A40" s="2">
        <v>46067</v>
      </c>
      <c r="B40">
        <f t="shared" ref="B40:B88" si="37">_xlfn.SINGLE(WEEKNUM(A40,2))</f>
        <v>7</v>
      </c>
      <c r="C40" t="s">
        <v>40</v>
      </c>
      <c r="G40" t="str">
        <f>IFERROR(VLOOKUP(E40,Control_Actividades!A:C,2,FALSE),"")</f>
        <v/>
      </c>
      <c r="I40" t="str">
        <f>IFERROR(VLOOKUP(E40,Control_Actividades!A:C,3,FALSE),"")</f>
        <v/>
      </c>
      <c r="J40" s="3" t="e">
        <f t="shared" si="0"/>
        <v>#VALUE!</v>
      </c>
    </row>
    <row r="41" spans="1:10" hidden="1" x14ac:dyDescent="0.3">
      <c r="A41" s="2">
        <v>46067</v>
      </c>
      <c r="B41">
        <f t="shared" ref="B41:B89" si="38">WEEKNUM(A41,2)</f>
        <v>7</v>
      </c>
      <c r="C41" t="s">
        <v>41</v>
      </c>
      <c r="E41" t="s">
        <v>48</v>
      </c>
      <c r="F41" t="s">
        <v>49</v>
      </c>
      <c r="G41" t="str">
        <f>IFERROR(VLOOKUP(E41,Control_Actividades!A:C,2,FALSE),"")</f>
        <v>Dia</v>
      </c>
      <c r="H41">
        <v>1</v>
      </c>
      <c r="I41">
        <f>IFERROR(VLOOKUP(E41,Control_Actividades!A:C,3,FALSE),"")</f>
        <v>100</v>
      </c>
      <c r="J41" s="3">
        <f t="shared" si="0"/>
        <v>100</v>
      </c>
    </row>
    <row r="42" spans="1:10" hidden="1" x14ac:dyDescent="0.3">
      <c r="A42" s="2">
        <v>46067</v>
      </c>
      <c r="B42">
        <f t="shared" ref="B42:B90" si="39">_xlfn.SINGLE(WEEKNUM(A42,2))</f>
        <v>7</v>
      </c>
      <c r="C42" t="s">
        <v>42</v>
      </c>
      <c r="G42" t="str">
        <f>IFERROR(VLOOKUP(E42,Control_Actividades!A:C,2,FALSE),"")</f>
        <v/>
      </c>
      <c r="I42" t="str">
        <f>IFERROR(VLOOKUP(E42,Control_Actividades!A:C,3,FALSE),"")</f>
        <v/>
      </c>
      <c r="J42" s="3" t="e">
        <f t="shared" si="0"/>
        <v>#VALUE!</v>
      </c>
    </row>
    <row r="43" spans="1:10" hidden="1" x14ac:dyDescent="0.3">
      <c r="A43" s="2">
        <v>46067</v>
      </c>
      <c r="B43">
        <f t="shared" ref="B43:B91" si="40">WEEKNUM(A43,2)</f>
        <v>7</v>
      </c>
      <c r="C43" t="s">
        <v>43</v>
      </c>
      <c r="E43" t="s">
        <v>48</v>
      </c>
      <c r="F43" t="s">
        <v>49</v>
      </c>
      <c r="G43" t="str">
        <f>IFERROR(VLOOKUP(E43,Control_Actividades!A:C,2,FALSE),"")</f>
        <v>Dia</v>
      </c>
      <c r="H43">
        <v>1</v>
      </c>
      <c r="I43">
        <f>IFERROR(VLOOKUP(E43,Control_Actividades!A:C,3,FALSE),"")</f>
        <v>100</v>
      </c>
      <c r="J43" s="3">
        <f t="shared" si="0"/>
        <v>100</v>
      </c>
    </row>
    <row r="44" spans="1:10" hidden="1" x14ac:dyDescent="0.3">
      <c r="A44" s="2">
        <v>46067</v>
      </c>
      <c r="B44">
        <f t="shared" ref="B44:B92" si="41">_xlfn.SINGLE(WEEKNUM(A44,2))</f>
        <v>7</v>
      </c>
      <c r="C44" t="s">
        <v>44</v>
      </c>
      <c r="E44" t="s">
        <v>48</v>
      </c>
      <c r="F44" t="s">
        <v>49</v>
      </c>
      <c r="G44" t="str">
        <f>IFERROR(VLOOKUP(E44,Control_Actividades!A:C,2,FALSE),"")</f>
        <v>Dia</v>
      </c>
      <c r="H44">
        <v>1</v>
      </c>
      <c r="I44">
        <f>IFERROR(VLOOKUP(E44,Control_Actividades!A:C,3,FALSE),"")</f>
        <v>100</v>
      </c>
      <c r="J44" s="3">
        <f t="shared" si="0"/>
        <v>100</v>
      </c>
    </row>
    <row r="45" spans="1:10" hidden="1" x14ac:dyDescent="0.3">
      <c r="A45" s="2">
        <v>46067</v>
      </c>
      <c r="B45">
        <f t="shared" ref="B45:B93" si="42">WEEKNUM(A45,2)</f>
        <v>7</v>
      </c>
      <c r="C45" t="s">
        <v>45</v>
      </c>
      <c r="E45" t="s">
        <v>10</v>
      </c>
      <c r="F45" t="s">
        <v>25</v>
      </c>
      <c r="G45" t="str">
        <f>IFERROR(VLOOKUP(E45,Control_Actividades!A:C,2,FALSE),"")</f>
        <v>Quintal</v>
      </c>
      <c r="H45">
        <v>0.9</v>
      </c>
      <c r="I45">
        <f>IFERROR(VLOOKUP(E45,Control_Actividades!A:C,3,FALSE),"")</f>
        <v>70</v>
      </c>
      <c r="J45" s="3">
        <f t="shared" si="0"/>
        <v>63</v>
      </c>
    </row>
    <row r="46" spans="1:10" hidden="1" x14ac:dyDescent="0.3">
      <c r="A46" s="2">
        <v>46067</v>
      </c>
      <c r="B46">
        <f t="shared" ref="B46:B94" si="43">_xlfn.SINGLE(WEEKNUM(A46,2))</f>
        <v>7</v>
      </c>
      <c r="C46" t="s">
        <v>46</v>
      </c>
      <c r="E46" t="s">
        <v>10</v>
      </c>
      <c r="F46" t="s">
        <v>25</v>
      </c>
      <c r="G46" t="str">
        <f>IFERROR(VLOOKUP(E46,Control_Actividades!A:C,2,FALSE),"")</f>
        <v>Quintal</v>
      </c>
      <c r="H46">
        <v>1.2</v>
      </c>
      <c r="I46">
        <f>IFERROR(VLOOKUP(E46,Control_Actividades!A:C,3,FALSE),"")</f>
        <v>70</v>
      </c>
      <c r="J46" s="3">
        <f t="shared" si="0"/>
        <v>84</v>
      </c>
    </row>
    <row r="47" spans="1:10" hidden="1" x14ac:dyDescent="0.3">
      <c r="A47" s="5">
        <v>46067</v>
      </c>
      <c r="B47" s="6">
        <f t="shared" ref="B47:B95" si="44">WEEKNUM(A47,2)</f>
        <v>7</v>
      </c>
      <c r="C47" s="6" t="s">
        <v>47</v>
      </c>
      <c r="D47" s="6"/>
      <c r="E47" s="6" t="s">
        <v>10</v>
      </c>
      <c r="F47" s="6" t="s">
        <v>25</v>
      </c>
      <c r="G47" s="6" t="str">
        <f>IFERROR(VLOOKUP(E47,Control_Actividades!A:C,2,FALSE),"")</f>
        <v>Quintal</v>
      </c>
      <c r="H47" s="6">
        <v>0.7</v>
      </c>
      <c r="I47" s="6">
        <f>IFERROR(VLOOKUP(E47,Control_Actividades!A:C,3,FALSE),"")</f>
        <v>70</v>
      </c>
      <c r="J47" s="10">
        <f t="shared" si="0"/>
        <v>49</v>
      </c>
    </row>
    <row r="48" spans="1:10" hidden="1" x14ac:dyDescent="0.3">
      <c r="A48" s="2">
        <v>46068</v>
      </c>
      <c r="B48">
        <f t="shared" ref="B48:B96" si="45">_xlfn.SINGLE(WEEKNUM(A48,2))</f>
        <v>7</v>
      </c>
      <c r="C48" t="s">
        <v>27</v>
      </c>
      <c r="E48" t="s">
        <v>53</v>
      </c>
      <c r="F48" t="s">
        <v>49</v>
      </c>
      <c r="G48" t="str">
        <f>IFERROR(VLOOKUP(E48,Control_Actividades!A:C,2,FALSE),"")</f>
        <v>Dia</v>
      </c>
      <c r="H48">
        <v>1</v>
      </c>
      <c r="I48">
        <f>IFERROR(VLOOKUP(E48,Control_Actividades!A:C,3,FALSE),"")</f>
        <v>130</v>
      </c>
      <c r="J48" s="3">
        <f t="shared" si="0"/>
        <v>130</v>
      </c>
    </row>
    <row r="49" spans="1:10" hidden="1" x14ac:dyDescent="0.3">
      <c r="A49" s="2">
        <v>46068</v>
      </c>
      <c r="B49">
        <f t="shared" ref="B49:B97" si="46">WEEKNUM(A49,2)</f>
        <v>7</v>
      </c>
      <c r="C49" t="s">
        <v>41</v>
      </c>
      <c r="E49" t="s">
        <v>48</v>
      </c>
      <c r="F49" t="s">
        <v>49</v>
      </c>
      <c r="G49" t="str">
        <f>IFERROR(VLOOKUP(E49,Control_Actividades!A:C,2,FALSE),"")</f>
        <v>Dia</v>
      </c>
      <c r="H49">
        <v>1</v>
      </c>
      <c r="I49">
        <f>IFERROR(VLOOKUP(E49,Control_Actividades!A:C,3,FALSE),"")</f>
        <v>100</v>
      </c>
      <c r="J49" s="3">
        <f t="shared" si="0"/>
        <v>100</v>
      </c>
    </row>
    <row r="50" spans="1:10" hidden="1" x14ac:dyDescent="0.3">
      <c r="A50" s="2">
        <v>46068</v>
      </c>
      <c r="B50">
        <f t="shared" ref="B50" si="47">_xlfn.SINGLE(WEEKNUM(A50,2))</f>
        <v>7</v>
      </c>
      <c r="C50" t="s">
        <v>43</v>
      </c>
      <c r="E50" t="s">
        <v>48</v>
      </c>
      <c r="F50" t="s">
        <v>49</v>
      </c>
      <c r="G50" t="str">
        <f>IFERROR(VLOOKUP(E50,Control_Actividades!A:C,2,FALSE),"")</f>
        <v>Dia</v>
      </c>
      <c r="H50">
        <v>1</v>
      </c>
      <c r="I50">
        <f>IFERROR(VLOOKUP(E50,Control_Actividades!A:C,3,FALSE),"")</f>
        <v>100</v>
      </c>
      <c r="J50" s="3">
        <f t="shared" si="0"/>
        <v>100</v>
      </c>
    </row>
    <row r="51" spans="1:10" hidden="1" x14ac:dyDescent="0.3">
      <c r="A51" s="5">
        <v>46068</v>
      </c>
      <c r="B51" s="6">
        <f t="shared" ref="B51" si="48">WEEKNUM(A51,2)</f>
        <v>7</v>
      </c>
      <c r="C51" s="6" t="s">
        <v>44</v>
      </c>
      <c r="D51" s="6"/>
      <c r="E51" s="6" t="s">
        <v>48</v>
      </c>
      <c r="F51" s="6" t="s">
        <v>49</v>
      </c>
      <c r="G51" s="6" t="str">
        <f>IFERROR(VLOOKUP(E51,Control_Actividades!A:C,2,FALSE),"")</f>
        <v>Dia</v>
      </c>
      <c r="H51" s="6">
        <v>1</v>
      </c>
      <c r="I51" s="6">
        <f>IFERROR(VLOOKUP(E51,Control_Actividades!A:C,3,FALSE),"")</f>
        <v>100</v>
      </c>
      <c r="J51" s="10">
        <f t="shared" si="0"/>
        <v>100</v>
      </c>
    </row>
    <row r="52" spans="1:10" hidden="1" x14ac:dyDescent="0.3">
      <c r="A52" s="2">
        <v>46069</v>
      </c>
      <c r="B52">
        <f t="shared" si="25"/>
        <v>8</v>
      </c>
      <c r="C52" t="s">
        <v>22</v>
      </c>
      <c r="E52" t="s">
        <v>23</v>
      </c>
      <c r="F52" t="s">
        <v>25</v>
      </c>
      <c r="G52" t="str">
        <f>IFERROR(VLOOKUP(E52,Control_Actividades!A:C,2,FALSE),"")</f>
        <v>Dia</v>
      </c>
      <c r="H52">
        <v>1</v>
      </c>
      <c r="I52">
        <f>IFERROR(VLOOKUP(E52,Control_Actividades!A:C,3,FALSE),"")</f>
        <v>100</v>
      </c>
      <c r="J52" s="3">
        <f t="shared" si="0"/>
        <v>100</v>
      </c>
    </row>
    <row r="53" spans="1:10" hidden="1" x14ac:dyDescent="0.3">
      <c r="A53" s="2">
        <v>46069</v>
      </c>
      <c r="B53">
        <f t="shared" si="26"/>
        <v>8</v>
      </c>
      <c r="C53" t="s">
        <v>27</v>
      </c>
      <c r="E53" t="s">
        <v>53</v>
      </c>
      <c r="F53" t="s">
        <v>49</v>
      </c>
      <c r="G53" t="str">
        <f>IFERROR(VLOOKUP(E53,Control_Actividades!A:C,2,FALSE),"")</f>
        <v>Dia</v>
      </c>
      <c r="H53">
        <v>1</v>
      </c>
      <c r="I53">
        <f>IFERROR(VLOOKUP(E53,Control_Actividades!A:C,3,FALSE),"")</f>
        <v>130</v>
      </c>
      <c r="J53" s="3">
        <f t="shared" si="0"/>
        <v>130</v>
      </c>
    </row>
    <row r="54" spans="1:10" hidden="1" x14ac:dyDescent="0.3">
      <c r="A54" s="2">
        <v>46069</v>
      </c>
      <c r="B54">
        <f t="shared" si="27"/>
        <v>8</v>
      </c>
      <c r="C54" t="s">
        <v>28</v>
      </c>
      <c r="E54" t="s">
        <v>10</v>
      </c>
      <c r="F54" t="s">
        <v>25</v>
      </c>
      <c r="G54" t="str">
        <f>IFERROR(VLOOKUP(E54,Control_Actividades!A:C,2,FALSE),"")</f>
        <v>Quintal</v>
      </c>
      <c r="H54">
        <v>1.6</v>
      </c>
      <c r="I54">
        <f>IFERROR(VLOOKUP(E54,Control_Actividades!A:C,3,FALSE),"")</f>
        <v>70</v>
      </c>
      <c r="J54" s="3">
        <f t="shared" si="0"/>
        <v>112</v>
      </c>
    </row>
    <row r="55" spans="1:10" hidden="1" x14ac:dyDescent="0.3">
      <c r="A55" s="2">
        <v>46069</v>
      </c>
      <c r="B55">
        <f t="shared" si="28"/>
        <v>8</v>
      </c>
      <c r="C55" t="s">
        <v>29</v>
      </c>
      <c r="E55" t="s">
        <v>10</v>
      </c>
      <c r="F55" t="s">
        <v>25</v>
      </c>
      <c r="G55" t="str">
        <f>IFERROR(VLOOKUP(E55,Control_Actividades!A:C,2,FALSE),"")</f>
        <v>Quintal</v>
      </c>
      <c r="H55">
        <v>1.6</v>
      </c>
      <c r="I55">
        <f>IFERROR(VLOOKUP(E55,Control_Actividades!A:C,3,FALSE),"")</f>
        <v>70</v>
      </c>
      <c r="J55" s="3">
        <f t="shared" si="0"/>
        <v>112</v>
      </c>
    </row>
    <row r="56" spans="1:10" hidden="1" x14ac:dyDescent="0.3">
      <c r="A56" s="2">
        <v>46069</v>
      </c>
      <c r="B56">
        <f t="shared" si="29"/>
        <v>8</v>
      </c>
      <c r="C56" t="s">
        <v>26</v>
      </c>
      <c r="E56" t="s">
        <v>10</v>
      </c>
      <c r="F56" t="s">
        <v>25</v>
      </c>
      <c r="G56" t="str">
        <f>IFERROR(VLOOKUP(E56,Control_Actividades!A:C,2,FALSE),"")</f>
        <v>Quintal</v>
      </c>
      <c r="H56">
        <v>1.5</v>
      </c>
      <c r="I56">
        <f>IFERROR(VLOOKUP(E56,Control_Actividades!A:C,3,FALSE),"")</f>
        <v>70</v>
      </c>
      <c r="J56" s="3">
        <f t="shared" si="0"/>
        <v>105</v>
      </c>
    </row>
    <row r="57" spans="1:10" hidden="1" x14ac:dyDescent="0.3">
      <c r="A57" s="2">
        <v>46069</v>
      </c>
      <c r="B57">
        <f t="shared" si="30"/>
        <v>8</v>
      </c>
      <c r="C57" t="s">
        <v>30</v>
      </c>
      <c r="E57" t="s">
        <v>10</v>
      </c>
      <c r="F57" t="s">
        <v>25</v>
      </c>
      <c r="G57" t="str">
        <f>IFERROR(VLOOKUP(E57,Control_Actividades!A:C,2,FALSE),"")</f>
        <v>Quintal</v>
      </c>
      <c r="H57">
        <v>1.05</v>
      </c>
      <c r="I57">
        <f>IFERROR(VLOOKUP(E57,Control_Actividades!A:C,3,FALSE),"")</f>
        <v>70</v>
      </c>
      <c r="J57" s="3">
        <f t="shared" si="0"/>
        <v>73.5</v>
      </c>
    </row>
    <row r="58" spans="1:10" hidden="1" x14ac:dyDescent="0.3">
      <c r="A58" s="2">
        <v>46069</v>
      </c>
      <c r="B58">
        <f t="shared" si="31"/>
        <v>8</v>
      </c>
      <c r="C58" t="s">
        <v>31</v>
      </c>
      <c r="E58" t="s">
        <v>10</v>
      </c>
      <c r="F58" t="s">
        <v>25</v>
      </c>
      <c r="G58" t="str">
        <f>IFERROR(VLOOKUP(E58,Control_Actividades!A:C,2,FALSE),"")</f>
        <v>Quintal</v>
      </c>
      <c r="H58">
        <v>1.85</v>
      </c>
      <c r="I58">
        <f>IFERROR(VLOOKUP(E58,Control_Actividades!A:C,3,FALSE),"")</f>
        <v>70</v>
      </c>
      <c r="J58" s="3">
        <f t="shared" si="0"/>
        <v>129.5</v>
      </c>
    </row>
    <row r="59" spans="1:10" hidden="1" x14ac:dyDescent="0.3">
      <c r="A59" s="2">
        <v>46069</v>
      </c>
      <c r="B59">
        <f t="shared" si="32"/>
        <v>8</v>
      </c>
      <c r="C59" t="s">
        <v>32</v>
      </c>
      <c r="E59" t="s">
        <v>48</v>
      </c>
      <c r="F59" t="s">
        <v>49</v>
      </c>
      <c r="G59" t="str">
        <f>IFERROR(VLOOKUP(E59,Control_Actividades!A:C,2,FALSE),"")</f>
        <v>Dia</v>
      </c>
      <c r="H59">
        <v>1</v>
      </c>
      <c r="I59">
        <f>IFERROR(VLOOKUP(E59,Control_Actividades!A:C,3,FALSE),"")</f>
        <v>100</v>
      </c>
      <c r="J59" s="3">
        <f t="shared" si="0"/>
        <v>100</v>
      </c>
    </row>
    <row r="60" spans="1:10" hidden="1" x14ac:dyDescent="0.3">
      <c r="A60" s="2">
        <v>46069</v>
      </c>
      <c r="B60">
        <f t="shared" si="33"/>
        <v>8</v>
      </c>
      <c r="C60" t="s">
        <v>33</v>
      </c>
      <c r="E60" t="s">
        <v>10</v>
      </c>
      <c r="F60" t="s">
        <v>25</v>
      </c>
      <c r="G60" t="str">
        <f>IFERROR(VLOOKUP(E60,Control_Actividades!A:C,2,FALSE),"")</f>
        <v>Quintal</v>
      </c>
      <c r="H60">
        <v>1.4</v>
      </c>
      <c r="I60">
        <f>IFERROR(VLOOKUP(E60,Control_Actividades!A:C,3,FALSE),"")</f>
        <v>70</v>
      </c>
      <c r="J60" s="3">
        <f t="shared" si="0"/>
        <v>98</v>
      </c>
    </row>
    <row r="61" spans="1:10" hidden="1" x14ac:dyDescent="0.3">
      <c r="A61" s="2">
        <v>46069</v>
      </c>
      <c r="B61">
        <f t="shared" si="34"/>
        <v>8</v>
      </c>
      <c r="C61" t="s">
        <v>34</v>
      </c>
      <c r="E61" t="s">
        <v>10</v>
      </c>
      <c r="F61" t="s">
        <v>25</v>
      </c>
      <c r="G61" t="str">
        <f>IFERROR(VLOOKUP(E61,Control_Actividades!A:C,2,FALSE),"")</f>
        <v>Quintal</v>
      </c>
      <c r="H61">
        <v>1.3</v>
      </c>
      <c r="I61">
        <f>IFERROR(VLOOKUP(E61,Control_Actividades!A:C,3,FALSE),"")</f>
        <v>70</v>
      </c>
      <c r="J61" s="3">
        <f t="shared" si="0"/>
        <v>91</v>
      </c>
    </row>
    <row r="62" spans="1:10" hidden="1" x14ac:dyDescent="0.3">
      <c r="A62" s="2">
        <v>46069</v>
      </c>
      <c r="B62">
        <f t="shared" si="35"/>
        <v>8</v>
      </c>
      <c r="C62" t="s">
        <v>35</v>
      </c>
      <c r="E62" t="s">
        <v>10</v>
      </c>
      <c r="F62" t="s">
        <v>25</v>
      </c>
      <c r="G62" t="str">
        <f>IFERROR(VLOOKUP(E62,Control_Actividades!A:C,2,FALSE),"")</f>
        <v>Quintal</v>
      </c>
      <c r="H62">
        <v>1.75</v>
      </c>
      <c r="I62">
        <f>IFERROR(VLOOKUP(E62,Control_Actividades!A:C,3,FALSE),"")</f>
        <v>70</v>
      </c>
      <c r="J62" s="3">
        <f t="shared" si="0"/>
        <v>122.5</v>
      </c>
    </row>
    <row r="63" spans="1:10" hidden="1" x14ac:dyDescent="0.3">
      <c r="A63" s="2">
        <v>46069</v>
      </c>
      <c r="B63">
        <f t="shared" si="36"/>
        <v>8</v>
      </c>
      <c r="C63" t="s">
        <v>36</v>
      </c>
      <c r="E63" t="s">
        <v>10</v>
      </c>
      <c r="F63" t="s">
        <v>25</v>
      </c>
      <c r="G63" t="str">
        <f>IFERROR(VLOOKUP(E63,Control_Actividades!A:C,2,FALSE),"")</f>
        <v>Quintal</v>
      </c>
      <c r="H63">
        <v>1.45</v>
      </c>
      <c r="I63">
        <f>IFERROR(VLOOKUP(E63,Control_Actividades!A:C,3,FALSE),"")</f>
        <v>70</v>
      </c>
      <c r="J63" s="3">
        <f t="shared" ref="J63:J65" si="49">H63*I63</f>
        <v>101.5</v>
      </c>
    </row>
    <row r="64" spans="1:10" hidden="1" x14ac:dyDescent="0.3">
      <c r="A64" s="2">
        <v>46069</v>
      </c>
      <c r="B64">
        <f t="shared" si="37"/>
        <v>8</v>
      </c>
      <c r="C64" t="s">
        <v>37</v>
      </c>
      <c r="E64" t="s">
        <v>10</v>
      </c>
      <c r="F64" t="s">
        <v>25</v>
      </c>
      <c r="G64" t="str">
        <f>IFERROR(VLOOKUP(E64,Control_Actividades!A:C,2,FALSE),"")</f>
        <v>Quintal</v>
      </c>
      <c r="H64">
        <v>1.45</v>
      </c>
      <c r="I64">
        <f>IFERROR(VLOOKUP(E64,Control_Actividades!A:C,3,FALSE),"")</f>
        <v>70</v>
      </c>
      <c r="J64" s="3">
        <f t="shared" si="49"/>
        <v>101.5</v>
      </c>
    </row>
    <row r="65" spans="1:10" hidden="1" x14ac:dyDescent="0.3">
      <c r="A65" s="2">
        <v>46069</v>
      </c>
      <c r="B65">
        <f t="shared" si="38"/>
        <v>8</v>
      </c>
      <c r="C65" t="s">
        <v>38</v>
      </c>
      <c r="E65" t="s">
        <v>10</v>
      </c>
      <c r="F65" t="s">
        <v>25</v>
      </c>
      <c r="G65" t="str">
        <f>IFERROR(VLOOKUP(E65,Control_Actividades!A:C,2,FALSE),"")</f>
        <v>Quintal</v>
      </c>
      <c r="H65">
        <v>1.05</v>
      </c>
      <c r="I65">
        <f>IFERROR(VLOOKUP(E65,Control_Actividades!A:C,3,FALSE),"")</f>
        <v>70</v>
      </c>
      <c r="J65" s="3">
        <f t="shared" si="49"/>
        <v>73.5</v>
      </c>
    </row>
    <row r="66" spans="1:10" x14ac:dyDescent="0.3">
      <c r="A66" s="2">
        <v>46069</v>
      </c>
      <c r="B66">
        <f t="shared" si="39"/>
        <v>8</v>
      </c>
      <c r="C66" t="s">
        <v>39</v>
      </c>
      <c r="E66" t="s">
        <v>17</v>
      </c>
      <c r="F66" t="s">
        <v>50</v>
      </c>
      <c r="G66" t="str">
        <f>IFERROR(VLOOKUP(E66,Control_Actividades!A:C,2,FALSE),"")</f>
        <v>Manzana</v>
      </c>
      <c r="H66">
        <v>1.33</v>
      </c>
      <c r="I66">
        <f>IFERROR(VLOOKUP(E66,Control_Actividades!A:C,3,FALSE),"")</f>
        <v>110</v>
      </c>
      <c r="J66" s="3">
        <f t="shared" ref="J66:J97" si="50">H66*I66</f>
        <v>146.30000000000001</v>
      </c>
    </row>
    <row r="67" spans="1:10" hidden="1" x14ac:dyDescent="0.3">
      <c r="A67" s="2">
        <v>46069</v>
      </c>
      <c r="B67">
        <f t="shared" si="40"/>
        <v>8</v>
      </c>
      <c r="C67" t="s">
        <v>40</v>
      </c>
      <c r="E67" t="s">
        <v>10</v>
      </c>
      <c r="F67" t="s">
        <v>25</v>
      </c>
      <c r="G67" t="str">
        <f>IFERROR(VLOOKUP(E67,Control_Actividades!A:C,2,FALSE),"")</f>
        <v>Quintal</v>
      </c>
      <c r="H67">
        <v>1.2</v>
      </c>
      <c r="I67">
        <f>IFERROR(VLOOKUP(E67,Control_Actividades!A:C,3,FALSE),"")</f>
        <v>70</v>
      </c>
      <c r="J67" s="3">
        <f t="shared" si="50"/>
        <v>84</v>
      </c>
    </row>
    <row r="68" spans="1:10" hidden="1" x14ac:dyDescent="0.3">
      <c r="A68" s="2">
        <v>46069</v>
      </c>
      <c r="B68">
        <f t="shared" si="41"/>
        <v>8</v>
      </c>
      <c r="C68" t="s">
        <v>41</v>
      </c>
      <c r="E68" t="s">
        <v>48</v>
      </c>
      <c r="F68" t="s">
        <v>49</v>
      </c>
      <c r="G68" t="str">
        <f>IFERROR(VLOOKUP(E68,Control_Actividades!A:C,2,FALSE),"")</f>
        <v>Dia</v>
      </c>
      <c r="H68">
        <v>1</v>
      </c>
      <c r="I68">
        <f>IFERROR(VLOOKUP(E68,Control_Actividades!A:C,3,FALSE),"")</f>
        <v>100</v>
      </c>
      <c r="J68" s="3">
        <f t="shared" si="50"/>
        <v>100</v>
      </c>
    </row>
    <row r="69" spans="1:10" hidden="1" x14ac:dyDescent="0.3">
      <c r="A69" s="2">
        <v>46069</v>
      </c>
      <c r="B69">
        <f t="shared" si="42"/>
        <v>8</v>
      </c>
      <c r="C69" t="s">
        <v>42</v>
      </c>
      <c r="E69" t="s">
        <v>10</v>
      </c>
      <c r="F69" t="s">
        <v>25</v>
      </c>
      <c r="G69" t="str">
        <f>IFERROR(VLOOKUP(E69,Control_Actividades!A:C,2,FALSE),"")</f>
        <v>Quintal</v>
      </c>
      <c r="H69">
        <v>1.7</v>
      </c>
      <c r="I69">
        <f>IFERROR(VLOOKUP(E69,Control_Actividades!A:C,3,FALSE),"")</f>
        <v>70</v>
      </c>
      <c r="J69" s="3">
        <f t="shared" si="50"/>
        <v>119</v>
      </c>
    </row>
    <row r="70" spans="1:10" hidden="1" x14ac:dyDescent="0.3">
      <c r="A70" s="2">
        <v>46069</v>
      </c>
      <c r="B70">
        <f t="shared" si="43"/>
        <v>8</v>
      </c>
      <c r="C70" t="s">
        <v>43</v>
      </c>
      <c r="E70" t="s">
        <v>48</v>
      </c>
      <c r="F70" t="s">
        <v>49</v>
      </c>
      <c r="G70" t="str">
        <f>IFERROR(VLOOKUP(E70,Control_Actividades!A:C,2,FALSE),"")</f>
        <v>Dia</v>
      </c>
      <c r="H70">
        <v>1</v>
      </c>
      <c r="I70">
        <f>IFERROR(VLOOKUP(E70,Control_Actividades!A:C,3,FALSE),"")</f>
        <v>100</v>
      </c>
      <c r="J70" s="3">
        <f t="shared" si="50"/>
        <v>100</v>
      </c>
    </row>
    <row r="71" spans="1:10" hidden="1" x14ac:dyDescent="0.3">
      <c r="A71" s="2">
        <v>46069</v>
      </c>
      <c r="B71">
        <f t="shared" si="44"/>
        <v>8</v>
      </c>
      <c r="C71" t="s">
        <v>44</v>
      </c>
      <c r="E71" t="s">
        <v>48</v>
      </c>
      <c r="F71" t="s">
        <v>49</v>
      </c>
      <c r="G71" t="str">
        <f>IFERROR(VLOOKUP(E71,Control_Actividades!A:C,2,FALSE),"")</f>
        <v>Dia</v>
      </c>
      <c r="H71">
        <v>1</v>
      </c>
      <c r="I71">
        <f>IFERROR(VLOOKUP(E71,Control_Actividades!A:C,3,FALSE),"")</f>
        <v>100</v>
      </c>
      <c r="J71" s="3">
        <f t="shared" si="50"/>
        <v>100</v>
      </c>
    </row>
    <row r="72" spans="1:10" hidden="1" x14ac:dyDescent="0.3">
      <c r="A72" s="2">
        <v>46069</v>
      </c>
      <c r="B72">
        <f t="shared" si="45"/>
        <v>8</v>
      </c>
      <c r="C72" t="s">
        <v>45</v>
      </c>
      <c r="E72" t="s">
        <v>10</v>
      </c>
      <c r="F72" t="s">
        <v>25</v>
      </c>
      <c r="G72" t="str">
        <f>IFERROR(VLOOKUP(E72,Control_Actividades!A:C,2,FALSE),"")</f>
        <v>Quintal</v>
      </c>
      <c r="H72">
        <v>1.1499999999999999</v>
      </c>
      <c r="I72">
        <f>IFERROR(VLOOKUP(E72,Control_Actividades!A:C,3,FALSE),"")</f>
        <v>70</v>
      </c>
      <c r="J72" s="3">
        <f t="shared" si="50"/>
        <v>80.5</v>
      </c>
    </row>
    <row r="73" spans="1:10" hidden="1" x14ac:dyDescent="0.3">
      <c r="A73" s="2">
        <v>46069</v>
      </c>
      <c r="B73">
        <f t="shared" si="46"/>
        <v>8</v>
      </c>
      <c r="C73" t="s">
        <v>46</v>
      </c>
      <c r="G73" t="str">
        <f>IFERROR(VLOOKUP(E73,Control_Actividades!A:C,2,FALSE),"")</f>
        <v/>
      </c>
      <c r="I73" t="str">
        <f>IFERROR(VLOOKUP(E73,Control_Actividades!A:C,3,FALSE),"")</f>
        <v/>
      </c>
      <c r="J73" s="3" t="e">
        <f t="shared" si="50"/>
        <v>#VALUE!</v>
      </c>
    </row>
    <row r="74" spans="1:10" hidden="1" x14ac:dyDescent="0.3">
      <c r="A74" s="5">
        <v>46069</v>
      </c>
      <c r="B74" s="6">
        <f t="shared" ref="B74" si="51">_xlfn.SINGLE(WEEKNUM(A74,2))</f>
        <v>8</v>
      </c>
      <c r="C74" s="6" t="s">
        <v>47</v>
      </c>
      <c r="D74" s="6"/>
      <c r="E74" s="6" t="s">
        <v>10</v>
      </c>
      <c r="F74" s="6" t="s">
        <v>25</v>
      </c>
      <c r="G74" s="6" t="str">
        <f>IFERROR(VLOOKUP(E74,Control_Actividades!A:C,2,FALSE),"")</f>
        <v>Quintal</v>
      </c>
      <c r="H74" s="6">
        <v>1.05</v>
      </c>
      <c r="I74" s="6">
        <f>IFERROR(VLOOKUP(E74,Control_Actividades!A:C,3,FALSE),"")</f>
        <v>70</v>
      </c>
      <c r="J74" s="10">
        <f t="shared" si="50"/>
        <v>73.5</v>
      </c>
    </row>
    <row r="75" spans="1:10" hidden="1" x14ac:dyDescent="0.3">
      <c r="A75" s="2">
        <v>46070</v>
      </c>
      <c r="B75">
        <f t="shared" ref="B75" si="52">WEEKNUM(A75,2)</f>
        <v>8</v>
      </c>
      <c r="C75" t="s">
        <v>22</v>
      </c>
      <c r="E75" t="s">
        <v>23</v>
      </c>
      <c r="F75" t="s">
        <v>25</v>
      </c>
      <c r="G75" t="str">
        <f>IFERROR(VLOOKUP(E75,Control_Actividades!A:C,2,FALSE),"")</f>
        <v>Dia</v>
      </c>
      <c r="H75">
        <v>1</v>
      </c>
      <c r="I75">
        <f>IFERROR(VLOOKUP(E75,Control_Actividades!A:C,3,FALSE),"")</f>
        <v>100</v>
      </c>
      <c r="J75" s="3">
        <f t="shared" si="50"/>
        <v>100</v>
      </c>
    </row>
    <row r="76" spans="1:10" hidden="1" x14ac:dyDescent="0.3">
      <c r="A76" s="2">
        <v>46070</v>
      </c>
      <c r="B76">
        <f t="shared" si="25"/>
        <v>8</v>
      </c>
      <c r="C76" t="s">
        <v>27</v>
      </c>
      <c r="E76" t="s">
        <v>53</v>
      </c>
      <c r="F76" t="s">
        <v>49</v>
      </c>
      <c r="G76" t="str">
        <f>IFERROR(VLOOKUP(E76,Control_Actividades!A:C,2,FALSE),"")</f>
        <v>Dia</v>
      </c>
      <c r="H76">
        <v>1</v>
      </c>
      <c r="I76">
        <f>IFERROR(VLOOKUP(E76,Control_Actividades!A:C,3,FALSE),"")</f>
        <v>130</v>
      </c>
      <c r="J76" s="3">
        <f t="shared" si="50"/>
        <v>130</v>
      </c>
    </row>
    <row r="77" spans="1:10" hidden="1" x14ac:dyDescent="0.3">
      <c r="A77" s="2">
        <v>46070</v>
      </c>
      <c r="B77">
        <f t="shared" si="26"/>
        <v>8</v>
      </c>
      <c r="C77" t="s">
        <v>28</v>
      </c>
      <c r="E77" t="s">
        <v>10</v>
      </c>
      <c r="F77" t="s">
        <v>25</v>
      </c>
      <c r="G77" t="str">
        <f>IFERROR(VLOOKUP(E77,Control_Actividades!A:C,2,FALSE),"")</f>
        <v>Quintal</v>
      </c>
      <c r="H77">
        <v>1.1499999999999999</v>
      </c>
      <c r="I77">
        <f>IFERROR(VLOOKUP(E77,Control_Actividades!A:C,3,FALSE),"")</f>
        <v>70</v>
      </c>
      <c r="J77" s="3">
        <f t="shared" si="50"/>
        <v>80.5</v>
      </c>
    </row>
    <row r="78" spans="1:10" hidden="1" x14ac:dyDescent="0.3">
      <c r="A78" s="2">
        <v>46070</v>
      </c>
      <c r="B78">
        <f t="shared" si="27"/>
        <v>8</v>
      </c>
      <c r="C78" t="s">
        <v>29</v>
      </c>
      <c r="E78" t="s">
        <v>10</v>
      </c>
      <c r="F78" t="s">
        <v>25</v>
      </c>
      <c r="G78" t="str">
        <f>IFERROR(VLOOKUP(E78,Control_Actividades!A:C,2,FALSE),"")</f>
        <v>Quintal</v>
      </c>
      <c r="H78">
        <v>1.2</v>
      </c>
      <c r="I78">
        <f>IFERROR(VLOOKUP(E78,Control_Actividades!A:C,3,FALSE),"")</f>
        <v>70</v>
      </c>
      <c r="J78" s="3">
        <f t="shared" si="50"/>
        <v>84</v>
      </c>
    </row>
    <row r="79" spans="1:10" hidden="1" x14ac:dyDescent="0.3">
      <c r="A79" s="2">
        <v>46070</v>
      </c>
      <c r="B79">
        <f t="shared" si="28"/>
        <v>8</v>
      </c>
      <c r="C79" t="s">
        <v>26</v>
      </c>
      <c r="E79" t="s">
        <v>10</v>
      </c>
      <c r="F79" t="s">
        <v>25</v>
      </c>
      <c r="G79" t="str">
        <f>IFERROR(VLOOKUP(E79,Control_Actividades!A:C,2,FALSE),"")</f>
        <v>Quintal</v>
      </c>
      <c r="H79">
        <v>1.3</v>
      </c>
      <c r="I79">
        <f>IFERROR(VLOOKUP(E79,Control_Actividades!A:C,3,FALSE),"")</f>
        <v>70</v>
      </c>
      <c r="J79" s="3">
        <f t="shared" si="50"/>
        <v>91</v>
      </c>
    </row>
    <row r="80" spans="1:10" hidden="1" x14ac:dyDescent="0.3">
      <c r="A80" s="2">
        <v>46070</v>
      </c>
      <c r="B80">
        <f t="shared" si="29"/>
        <v>8</v>
      </c>
      <c r="C80" t="s">
        <v>30</v>
      </c>
      <c r="E80" t="s">
        <v>10</v>
      </c>
      <c r="F80" t="s">
        <v>25</v>
      </c>
      <c r="G80" t="str">
        <f>IFERROR(VLOOKUP(E80,Control_Actividades!A:C,2,FALSE),"")</f>
        <v>Quintal</v>
      </c>
      <c r="H80">
        <v>1.35</v>
      </c>
      <c r="I80">
        <f>IFERROR(VLOOKUP(E80,Control_Actividades!A:C,3,FALSE),"")</f>
        <v>70</v>
      </c>
      <c r="J80" s="3">
        <f t="shared" si="50"/>
        <v>94.5</v>
      </c>
    </row>
    <row r="81" spans="1:12" hidden="1" x14ac:dyDescent="0.3">
      <c r="A81" s="2">
        <v>46070</v>
      </c>
      <c r="B81">
        <f t="shared" si="30"/>
        <v>8</v>
      </c>
      <c r="C81" t="s">
        <v>31</v>
      </c>
      <c r="E81" t="s">
        <v>10</v>
      </c>
      <c r="F81" t="s">
        <v>25</v>
      </c>
      <c r="G81" t="str">
        <f>IFERROR(VLOOKUP(E81,Control_Actividades!A:C,2,FALSE),"")</f>
        <v>Quintal</v>
      </c>
      <c r="H81">
        <v>2</v>
      </c>
      <c r="I81">
        <f>IFERROR(VLOOKUP(E81,Control_Actividades!A:C,3,FALSE),"")</f>
        <v>70</v>
      </c>
      <c r="J81" s="3">
        <f t="shared" si="50"/>
        <v>140</v>
      </c>
    </row>
    <row r="82" spans="1:12" hidden="1" x14ac:dyDescent="0.3">
      <c r="A82" s="2">
        <v>46070</v>
      </c>
      <c r="B82">
        <f t="shared" si="31"/>
        <v>8</v>
      </c>
      <c r="C82" t="s">
        <v>32</v>
      </c>
      <c r="E82" t="s">
        <v>48</v>
      </c>
      <c r="F82" t="s">
        <v>49</v>
      </c>
      <c r="G82" t="str">
        <f>IFERROR(VLOOKUP(E82,Control_Actividades!A:C,2,FALSE),"")</f>
        <v>Dia</v>
      </c>
      <c r="H82">
        <v>1</v>
      </c>
      <c r="I82">
        <f>IFERROR(VLOOKUP(E82,Control_Actividades!A:C,3,FALSE),"")</f>
        <v>100</v>
      </c>
      <c r="J82" s="3">
        <f t="shared" si="50"/>
        <v>100</v>
      </c>
    </row>
    <row r="83" spans="1:12" hidden="1" x14ac:dyDescent="0.3">
      <c r="A83" s="2">
        <v>46070</v>
      </c>
      <c r="B83">
        <f t="shared" si="32"/>
        <v>8</v>
      </c>
      <c r="C83" t="s">
        <v>33</v>
      </c>
      <c r="E83" t="s">
        <v>10</v>
      </c>
      <c r="F83" t="s">
        <v>25</v>
      </c>
      <c r="G83" t="str">
        <f>IFERROR(VLOOKUP(E83,Control_Actividades!A:C,2,FALSE),"")</f>
        <v>Quintal</v>
      </c>
      <c r="H83">
        <v>1.25</v>
      </c>
      <c r="I83">
        <f>IFERROR(VLOOKUP(E83,Control_Actividades!A:C,3,FALSE),"")</f>
        <v>70</v>
      </c>
      <c r="J83" s="3">
        <f t="shared" si="50"/>
        <v>87.5</v>
      </c>
    </row>
    <row r="84" spans="1:12" hidden="1" x14ac:dyDescent="0.3">
      <c r="A84" s="2">
        <v>46070</v>
      </c>
      <c r="B84">
        <f t="shared" si="33"/>
        <v>8</v>
      </c>
      <c r="C84" t="s">
        <v>34</v>
      </c>
      <c r="E84" t="s">
        <v>57</v>
      </c>
      <c r="F84" t="s">
        <v>58</v>
      </c>
      <c r="G84" t="str">
        <f>IFERROR(VLOOKUP(E84,Control_Actividades!A:C,2,FALSE),"")</f>
        <v>Dia</v>
      </c>
      <c r="H84">
        <v>1</v>
      </c>
      <c r="I84">
        <f>IFERROR(VLOOKUP(E84,Control_Actividades!A:C,3,FALSE),"")</f>
        <v>75</v>
      </c>
      <c r="J84" s="3">
        <f t="shared" si="50"/>
        <v>75</v>
      </c>
    </row>
    <row r="85" spans="1:12" hidden="1" x14ac:dyDescent="0.3">
      <c r="A85" s="2">
        <v>46070</v>
      </c>
      <c r="B85">
        <f t="shared" si="34"/>
        <v>8</v>
      </c>
      <c r="C85" t="s">
        <v>35</v>
      </c>
      <c r="E85" t="s">
        <v>57</v>
      </c>
      <c r="F85" t="s">
        <v>58</v>
      </c>
      <c r="G85" t="str">
        <f>IFERROR(VLOOKUP(E85,Control_Actividades!A:C,2,FALSE),"")</f>
        <v>Dia</v>
      </c>
      <c r="H85">
        <v>1</v>
      </c>
      <c r="I85">
        <f>IFERROR(VLOOKUP(E85,Control_Actividades!A:C,3,FALSE),"")</f>
        <v>75</v>
      </c>
      <c r="J85" s="3">
        <f t="shared" si="50"/>
        <v>75</v>
      </c>
    </row>
    <row r="86" spans="1:12" hidden="1" x14ac:dyDescent="0.3">
      <c r="A86" s="2">
        <v>46070</v>
      </c>
      <c r="B86">
        <f t="shared" si="35"/>
        <v>8</v>
      </c>
      <c r="C86" t="s">
        <v>36</v>
      </c>
      <c r="E86" t="s">
        <v>10</v>
      </c>
      <c r="F86" t="s">
        <v>25</v>
      </c>
      <c r="G86" t="str">
        <f>IFERROR(VLOOKUP(E86,Control_Actividades!A:C,2,FALSE),"")</f>
        <v>Quintal</v>
      </c>
      <c r="H86">
        <v>1.35</v>
      </c>
      <c r="I86">
        <f>IFERROR(VLOOKUP(E86,Control_Actividades!A:C,3,FALSE),"")</f>
        <v>70</v>
      </c>
      <c r="J86" s="3">
        <f t="shared" si="50"/>
        <v>94.5</v>
      </c>
    </row>
    <row r="87" spans="1:12" hidden="1" x14ac:dyDescent="0.3">
      <c r="A87" s="2">
        <v>46070</v>
      </c>
      <c r="B87">
        <f t="shared" si="36"/>
        <v>8</v>
      </c>
      <c r="C87" t="s">
        <v>37</v>
      </c>
      <c r="E87" t="s">
        <v>10</v>
      </c>
      <c r="F87" t="s">
        <v>25</v>
      </c>
      <c r="G87" t="str">
        <f>IFERROR(VLOOKUP(E87,Control_Actividades!A:C,2,FALSE),"")</f>
        <v>Quintal</v>
      </c>
      <c r="H87">
        <v>1.35</v>
      </c>
      <c r="I87">
        <f>IFERROR(VLOOKUP(E87,Control_Actividades!A:C,3,FALSE),"")</f>
        <v>70</v>
      </c>
      <c r="J87" s="3">
        <f t="shared" si="50"/>
        <v>94.5</v>
      </c>
    </row>
    <row r="88" spans="1:12" hidden="1" x14ac:dyDescent="0.3">
      <c r="A88" s="2">
        <v>46070</v>
      </c>
      <c r="B88">
        <f t="shared" si="37"/>
        <v>8</v>
      </c>
      <c r="C88" t="s">
        <v>38</v>
      </c>
      <c r="E88" t="s">
        <v>57</v>
      </c>
      <c r="F88" t="s">
        <v>58</v>
      </c>
      <c r="G88" t="str">
        <f>IFERROR(VLOOKUP(E88,Control_Actividades!A:C,2,FALSE),"")</f>
        <v>Dia</v>
      </c>
      <c r="H88">
        <v>1</v>
      </c>
      <c r="I88">
        <f>IFERROR(VLOOKUP(E88,Control_Actividades!A:C,3,FALSE),"")</f>
        <v>75</v>
      </c>
      <c r="J88" s="3">
        <f t="shared" si="50"/>
        <v>75</v>
      </c>
    </row>
    <row r="89" spans="1:12" hidden="1" x14ac:dyDescent="0.3">
      <c r="A89" s="2">
        <v>46070</v>
      </c>
      <c r="B89">
        <f t="shared" si="38"/>
        <v>8</v>
      </c>
      <c r="C89" t="s">
        <v>39</v>
      </c>
      <c r="G89" t="str">
        <f>IFERROR(VLOOKUP(E89,Control_Actividades!A:C,2,FALSE),"")</f>
        <v/>
      </c>
      <c r="I89" t="str">
        <f>IFERROR(VLOOKUP(E89,Control_Actividades!A:C,3,FALSE),"")</f>
        <v/>
      </c>
      <c r="J89" s="3" t="e">
        <f t="shared" si="50"/>
        <v>#VALUE!</v>
      </c>
      <c r="L89" s="12"/>
    </row>
    <row r="90" spans="1:12" hidden="1" x14ac:dyDescent="0.3">
      <c r="A90" s="2">
        <v>46070</v>
      </c>
      <c r="B90">
        <f t="shared" si="39"/>
        <v>8</v>
      </c>
      <c r="C90" t="s">
        <v>40</v>
      </c>
      <c r="G90" t="str">
        <f>IFERROR(VLOOKUP(E90,Control_Actividades!A:C,2,FALSE),"")</f>
        <v/>
      </c>
      <c r="I90" t="str">
        <f>IFERROR(VLOOKUP(E90,Control_Actividades!A:C,3,FALSE),"")</f>
        <v/>
      </c>
      <c r="J90" s="3" t="e">
        <f t="shared" si="50"/>
        <v>#VALUE!</v>
      </c>
    </row>
    <row r="91" spans="1:12" hidden="1" x14ac:dyDescent="0.3">
      <c r="A91" s="2">
        <v>46070</v>
      </c>
      <c r="B91">
        <f t="shared" si="40"/>
        <v>8</v>
      </c>
      <c r="C91" t="s">
        <v>41</v>
      </c>
      <c r="E91" t="s">
        <v>48</v>
      </c>
      <c r="F91" t="s">
        <v>49</v>
      </c>
      <c r="G91" t="str">
        <f>IFERROR(VLOOKUP(E91,Control_Actividades!A:C,2,FALSE),"")</f>
        <v>Dia</v>
      </c>
      <c r="H91">
        <v>1</v>
      </c>
      <c r="I91">
        <f>IFERROR(VLOOKUP(E91,Control_Actividades!A:C,3,FALSE),"")</f>
        <v>100</v>
      </c>
      <c r="J91" s="3">
        <f t="shared" si="50"/>
        <v>100</v>
      </c>
    </row>
    <row r="92" spans="1:12" hidden="1" x14ac:dyDescent="0.3">
      <c r="A92" s="2">
        <v>46070</v>
      </c>
      <c r="B92">
        <f t="shared" si="41"/>
        <v>8</v>
      </c>
      <c r="C92" t="s">
        <v>42</v>
      </c>
      <c r="E92" t="s">
        <v>10</v>
      </c>
      <c r="F92" t="s">
        <v>25</v>
      </c>
      <c r="G92" t="str">
        <f>IFERROR(VLOOKUP(E92,Control_Actividades!A:C,2,FALSE),"")</f>
        <v>Quintal</v>
      </c>
      <c r="H92">
        <v>2.25</v>
      </c>
      <c r="I92">
        <f>IFERROR(VLOOKUP(E92,Control_Actividades!A:C,3,FALSE),"")</f>
        <v>70</v>
      </c>
      <c r="J92" s="3">
        <v>163.75</v>
      </c>
    </row>
    <row r="93" spans="1:12" hidden="1" x14ac:dyDescent="0.3">
      <c r="A93" s="2">
        <v>46070</v>
      </c>
      <c r="B93">
        <f t="shared" si="42"/>
        <v>8</v>
      </c>
      <c r="C93" t="s">
        <v>43</v>
      </c>
      <c r="E93" t="s">
        <v>48</v>
      </c>
      <c r="F93" t="s">
        <v>49</v>
      </c>
      <c r="G93" t="str">
        <f>IFERROR(VLOOKUP(E93,Control_Actividades!A:C,2,FALSE),"")</f>
        <v>Dia</v>
      </c>
      <c r="H93">
        <v>1</v>
      </c>
      <c r="I93">
        <f>IFERROR(VLOOKUP(E93,Control_Actividades!A:C,3,FALSE),"")</f>
        <v>100</v>
      </c>
      <c r="J93" s="3">
        <f t="shared" si="50"/>
        <v>100</v>
      </c>
    </row>
    <row r="94" spans="1:12" hidden="1" x14ac:dyDescent="0.3">
      <c r="A94" s="2">
        <v>46070</v>
      </c>
      <c r="B94">
        <f t="shared" si="43"/>
        <v>8</v>
      </c>
      <c r="C94" t="s">
        <v>44</v>
      </c>
      <c r="E94" t="s">
        <v>48</v>
      </c>
      <c r="F94" t="s">
        <v>49</v>
      </c>
      <c r="G94" t="str">
        <f>IFERROR(VLOOKUP(E94,Control_Actividades!A:C,2,FALSE),"")</f>
        <v>Dia</v>
      </c>
      <c r="H94">
        <v>1</v>
      </c>
      <c r="I94">
        <f>IFERROR(VLOOKUP(E94,Control_Actividades!A:C,3,FALSE),"")</f>
        <v>100</v>
      </c>
      <c r="J94" s="3">
        <f t="shared" si="50"/>
        <v>100</v>
      </c>
    </row>
    <row r="95" spans="1:12" hidden="1" x14ac:dyDescent="0.3">
      <c r="A95" s="2">
        <v>46070</v>
      </c>
      <c r="B95">
        <f t="shared" si="44"/>
        <v>8</v>
      </c>
      <c r="C95" t="s">
        <v>45</v>
      </c>
      <c r="E95" t="s">
        <v>10</v>
      </c>
      <c r="F95" t="s">
        <v>25</v>
      </c>
      <c r="G95" t="str">
        <f>IFERROR(VLOOKUP(E95,Control_Actividades!A:C,2,FALSE),"")</f>
        <v>Quintal</v>
      </c>
      <c r="H95">
        <v>1.1499999999999999</v>
      </c>
      <c r="I95">
        <f>IFERROR(VLOOKUP(E95,Control_Actividades!A:C,3,FALSE),"")</f>
        <v>70</v>
      </c>
      <c r="J95" s="3">
        <f t="shared" si="50"/>
        <v>80.5</v>
      </c>
    </row>
    <row r="96" spans="1:12" hidden="1" x14ac:dyDescent="0.3">
      <c r="A96" s="2">
        <v>46070</v>
      </c>
      <c r="B96">
        <f t="shared" si="45"/>
        <v>8</v>
      </c>
      <c r="C96" t="s">
        <v>46</v>
      </c>
      <c r="E96" t="s">
        <v>57</v>
      </c>
      <c r="F96" t="s">
        <v>58</v>
      </c>
      <c r="G96" t="str">
        <f>IFERROR(VLOOKUP(E96,Control_Actividades!A:C,2,FALSE),"")</f>
        <v>Dia</v>
      </c>
      <c r="H96">
        <v>1</v>
      </c>
      <c r="I96">
        <f>IFERROR(VLOOKUP(E96,Control_Actividades!A:C,3,FALSE),"")</f>
        <v>75</v>
      </c>
      <c r="J96" s="3">
        <f t="shared" si="50"/>
        <v>75</v>
      </c>
    </row>
    <row r="97" spans="1:10" hidden="1" x14ac:dyDescent="0.3">
      <c r="A97" s="5">
        <v>46070</v>
      </c>
      <c r="B97" s="6">
        <f t="shared" si="46"/>
        <v>8</v>
      </c>
      <c r="C97" s="6" t="s">
        <v>47</v>
      </c>
      <c r="D97" s="6"/>
      <c r="E97" s="6" t="s">
        <v>10</v>
      </c>
      <c r="F97" s="6" t="s">
        <v>25</v>
      </c>
      <c r="G97" s="6" t="str">
        <f>IFERROR(VLOOKUP(E97,Control_Actividades!A:C,2,FALSE),"")</f>
        <v>Quintal</v>
      </c>
      <c r="H97" s="6">
        <v>1</v>
      </c>
      <c r="I97" s="6">
        <f>IFERROR(VLOOKUP(E97,Control_Actividades!A:C,3,FALSE),"")</f>
        <v>70</v>
      </c>
      <c r="J97" s="10">
        <f t="shared" si="50"/>
        <v>70</v>
      </c>
    </row>
    <row r="98" spans="1:10" hidden="1" x14ac:dyDescent="0.3">
      <c r="A98" s="2">
        <v>46071</v>
      </c>
      <c r="B98">
        <f t="shared" ref="B98" si="53">_xlfn.SINGLE(WEEKNUM(A98,2))</f>
        <v>8</v>
      </c>
      <c r="C98" t="s">
        <v>22</v>
      </c>
      <c r="E98" t="s">
        <v>23</v>
      </c>
      <c r="F98" t="s">
        <v>25</v>
      </c>
      <c r="G98" t="str">
        <f>IFERROR(VLOOKUP(E98,Control_Actividades!A:C,2,FALSE),"")</f>
        <v>Dia</v>
      </c>
      <c r="H98">
        <v>1</v>
      </c>
      <c r="I98">
        <f>IFERROR(VLOOKUP(E98,Control_Actividades!A:C,3,FALSE),"")</f>
        <v>100</v>
      </c>
      <c r="J98" s="3">
        <f t="shared" ref="J98:J129" si="54">H98*I98</f>
        <v>100</v>
      </c>
    </row>
    <row r="99" spans="1:10" hidden="1" x14ac:dyDescent="0.3">
      <c r="A99" s="2">
        <v>46071</v>
      </c>
      <c r="B99">
        <f t="shared" ref="B99" si="55">WEEKNUM(A99,2)</f>
        <v>8</v>
      </c>
      <c r="C99" t="s">
        <v>27</v>
      </c>
      <c r="E99" t="s">
        <v>54</v>
      </c>
      <c r="F99" t="s">
        <v>49</v>
      </c>
      <c r="G99" t="str">
        <f>IFERROR(VLOOKUP(E99,Control_Actividades!A:C,2,FALSE),"")</f>
        <v>Dia</v>
      </c>
      <c r="H99">
        <v>1</v>
      </c>
      <c r="I99">
        <f>IFERROR(VLOOKUP(E99,Control_Actividades!A:C,3,FALSE),"")</f>
        <v>130</v>
      </c>
      <c r="J99" s="3">
        <f t="shared" si="54"/>
        <v>130</v>
      </c>
    </row>
    <row r="100" spans="1:10" hidden="1" x14ac:dyDescent="0.3">
      <c r="A100" s="2">
        <v>46071</v>
      </c>
      <c r="B100">
        <f t="shared" ref="B100:B148" si="56">_xlfn.SINGLE(WEEKNUM(A100,2))</f>
        <v>8</v>
      </c>
      <c r="C100" t="s">
        <v>28</v>
      </c>
      <c r="G100" t="str">
        <f>IFERROR(VLOOKUP(E100,Control_Actividades!A:C,2,FALSE),"")</f>
        <v/>
      </c>
      <c r="I100" t="str">
        <f>IFERROR(VLOOKUP(E100,Control_Actividades!A:C,3,FALSE),"")</f>
        <v/>
      </c>
      <c r="J100" s="3" t="e">
        <f t="shared" si="54"/>
        <v>#VALUE!</v>
      </c>
    </row>
    <row r="101" spans="1:10" hidden="1" x14ac:dyDescent="0.3">
      <c r="A101" s="2">
        <v>46071</v>
      </c>
      <c r="B101">
        <f t="shared" ref="B101:B149" si="57">WEEKNUM(A101,2)</f>
        <v>8</v>
      </c>
      <c r="C101" t="s">
        <v>29</v>
      </c>
      <c r="E101" t="s">
        <v>10</v>
      </c>
      <c r="F101" t="s">
        <v>25</v>
      </c>
      <c r="G101" t="str">
        <f>IFERROR(VLOOKUP(E101,Control_Actividades!A:C,2,FALSE),"")</f>
        <v>Quintal</v>
      </c>
      <c r="H101">
        <v>1.85</v>
      </c>
      <c r="I101">
        <f>IFERROR(VLOOKUP(E101,Control_Actividades!A:C,3,FALSE),"")</f>
        <v>70</v>
      </c>
      <c r="J101" s="3">
        <f t="shared" si="54"/>
        <v>129.5</v>
      </c>
    </row>
    <row r="102" spans="1:10" hidden="1" x14ac:dyDescent="0.3">
      <c r="A102" s="2">
        <v>46071</v>
      </c>
      <c r="B102">
        <f t="shared" ref="B102:B150" si="58">_xlfn.SINGLE(WEEKNUM(A102,2))</f>
        <v>8</v>
      </c>
      <c r="C102" t="s">
        <v>26</v>
      </c>
      <c r="G102" t="str">
        <f>IFERROR(VLOOKUP(E102,Control_Actividades!A:C,2,FALSE),"")</f>
        <v/>
      </c>
      <c r="I102" t="str">
        <f>IFERROR(VLOOKUP(E102,Control_Actividades!A:C,3,FALSE),"")</f>
        <v/>
      </c>
      <c r="J102" s="3" t="e">
        <f t="shared" si="54"/>
        <v>#VALUE!</v>
      </c>
    </row>
    <row r="103" spans="1:10" hidden="1" x14ac:dyDescent="0.3">
      <c r="A103" s="2">
        <v>46071</v>
      </c>
      <c r="B103">
        <f t="shared" ref="B103:B151" si="59">WEEKNUM(A103,2)</f>
        <v>8</v>
      </c>
      <c r="C103" t="s">
        <v>30</v>
      </c>
      <c r="E103" t="s">
        <v>10</v>
      </c>
      <c r="F103" t="s">
        <v>25</v>
      </c>
      <c r="G103" t="str">
        <f>IFERROR(VLOOKUP(E103,Control_Actividades!A:C,2,FALSE),"")</f>
        <v>Quintal</v>
      </c>
      <c r="H103">
        <v>1.1499999999999999</v>
      </c>
      <c r="I103">
        <f>IFERROR(VLOOKUP(E103,Control_Actividades!A:C,3,FALSE),"")</f>
        <v>70</v>
      </c>
      <c r="J103" s="3">
        <f t="shared" si="54"/>
        <v>80.5</v>
      </c>
    </row>
    <row r="104" spans="1:10" hidden="1" x14ac:dyDescent="0.3">
      <c r="A104" s="2">
        <v>46071</v>
      </c>
      <c r="B104">
        <f t="shared" ref="B104:B152" si="60">_xlfn.SINGLE(WEEKNUM(A104,2))</f>
        <v>8</v>
      </c>
      <c r="C104" t="s">
        <v>31</v>
      </c>
      <c r="E104" t="s">
        <v>10</v>
      </c>
      <c r="F104" t="s">
        <v>25</v>
      </c>
      <c r="G104" t="str">
        <f>IFERROR(VLOOKUP(E104,Control_Actividades!A:C,2,FALSE),"")</f>
        <v>Quintal</v>
      </c>
      <c r="H104">
        <v>2.35</v>
      </c>
      <c r="I104">
        <f>IFERROR(VLOOKUP(E104,Control_Actividades!A:C,3,FALSE),"")</f>
        <v>70</v>
      </c>
      <c r="J104" s="3">
        <v>171.25</v>
      </c>
    </row>
    <row r="105" spans="1:10" hidden="1" x14ac:dyDescent="0.3">
      <c r="A105" s="2">
        <v>46071</v>
      </c>
      <c r="B105">
        <f t="shared" ref="B105:B153" si="61">WEEKNUM(A105,2)</f>
        <v>8</v>
      </c>
      <c r="C105" t="s">
        <v>32</v>
      </c>
      <c r="E105" t="s">
        <v>48</v>
      </c>
      <c r="F105" t="s">
        <v>49</v>
      </c>
      <c r="G105" t="str">
        <f>IFERROR(VLOOKUP(E105,Control_Actividades!A:C,2,FALSE),"")</f>
        <v>Dia</v>
      </c>
      <c r="H105">
        <v>1</v>
      </c>
      <c r="I105">
        <f>IFERROR(VLOOKUP(E105,Control_Actividades!A:C,3,FALSE),"")</f>
        <v>100</v>
      </c>
      <c r="J105" s="3">
        <f t="shared" si="54"/>
        <v>100</v>
      </c>
    </row>
    <row r="106" spans="1:10" hidden="1" x14ac:dyDescent="0.3">
      <c r="A106" s="2">
        <v>46071</v>
      </c>
      <c r="B106">
        <f t="shared" ref="B106:B154" si="62">_xlfn.SINGLE(WEEKNUM(A106,2))</f>
        <v>8</v>
      </c>
      <c r="C106" t="s">
        <v>33</v>
      </c>
      <c r="E106" t="s">
        <v>10</v>
      </c>
      <c r="F106" t="s">
        <v>25</v>
      </c>
      <c r="G106" t="str">
        <f>IFERROR(VLOOKUP(E106,Control_Actividades!A:C,2,FALSE),"")</f>
        <v>Quintal</v>
      </c>
      <c r="H106">
        <v>1.25</v>
      </c>
      <c r="I106">
        <f>IFERROR(VLOOKUP(E106,Control_Actividades!A:C,3,FALSE),"")</f>
        <v>70</v>
      </c>
      <c r="J106" s="3">
        <f t="shared" si="54"/>
        <v>87.5</v>
      </c>
    </row>
    <row r="107" spans="1:10" hidden="1" x14ac:dyDescent="0.3">
      <c r="A107" s="2">
        <v>46071</v>
      </c>
      <c r="B107">
        <f t="shared" ref="B107:B155" si="63">WEEKNUM(A107,2)</f>
        <v>8</v>
      </c>
      <c r="C107" t="s">
        <v>34</v>
      </c>
      <c r="E107" t="s">
        <v>10</v>
      </c>
      <c r="F107" t="s">
        <v>25</v>
      </c>
      <c r="G107" t="str">
        <f>IFERROR(VLOOKUP(E107,Control_Actividades!A:C,2,FALSE),"")</f>
        <v>Quintal</v>
      </c>
      <c r="H107">
        <v>2</v>
      </c>
      <c r="I107">
        <f>IFERROR(VLOOKUP(E107,Control_Actividades!A:C,3,FALSE),"")</f>
        <v>70</v>
      </c>
      <c r="J107" s="3">
        <f t="shared" si="54"/>
        <v>140</v>
      </c>
    </row>
    <row r="108" spans="1:10" hidden="1" x14ac:dyDescent="0.3">
      <c r="A108" s="2">
        <v>46071</v>
      </c>
      <c r="B108">
        <f t="shared" ref="B108:B156" si="64">_xlfn.SINGLE(WEEKNUM(A108,2))</f>
        <v>8</v>
      </c>
      <c r="C108" t="s">
        <v>35</v>
      </c>
      <c r="E108" t="s">
        <v>10</v>
      </c>
      <c r="F108" t="s">
        <v>25</v>
      </c>
      <c r="G108" t="str">
        <f>IFERROR(VLOOKUP(E108,Control_Actividades!A:C,2,FALSE),"")</f>
        <v>Quintal</v>
      </c>
      <c r="H108">
        <v>2</v>
      </c>
      <c r="I108">
        <f>IFERROR(VLOOKUP(E108,Control_Actividades!A:C,3,FALSE),"")</f>
        <v>70</v>
      </c>
      <c r="J108" s="3">
        <f t="shared" si="54"/>
        <v>140</v>
      </c>
    </row>
    <row r="109" spans="1:10" hidden="1" x14ac:dyDescent="0.3">
      <c r="A109" s="2">
        <v>46071</v>
      </c>
      <c r="B109">
        <f t="shared" ref="B109:B157" si="65">WEEKNUM(A109,2)</f>
        <v>8</v>
      </c>
      <c r="C109" t="s">
        <v>36</v>
      </c>
      <c r="E109" t="s">
        <v>10</v>
      </c>
      <c r="F109" t="s">
        <v>25</v>
      </c>
      <c r="G109" t="str">
        <f>IFERROR(VLOOKUP(E109,Control_Actividades!A:C,2,FALSE),"")</f>
        <v>Quintal</v>
      </c>
      <c r="H109">
        <v>1.1499999999999999</v>
      </c>
      <c r="I109">
        <f>IFERROR(VLOOKUP(E109,Control_Actividades!A:C,3,FALSE),"")</f>
        <v>70</v>
      </c>
      <c r="J109" s="3">
        <f t="shared" si="54"/>
        <v>80.5</v>
      </c>
    </row>
    <row r="110" spans="1:10" hidden="1" x14ac:dyDescent="0.3">
      <c r="A110" s="2">
        <v>46071</v>
      </c>
      <c r="B110">
        <f t="shared" ref="B110:B158" si="66">_xlfn.SINGLE(WEEKNUM(A110,2))</f>
        <v>8</v>
      </c>
      <c r="C110" t="s">
        <v>37</v>
      </c>
      <c r="E110" t="s">
        <v>10</v>
      </c>
      <c r="F110" t="s">
        <v>25</v>
      </c>
      <c r="G110" t="str">
        <f>IFERROR(VLOOKUP(E110,Control_Actividades!A:C,2,FALSE),"")</f>
        <v>Quintal</v>
      </c>
      <c r="H110">
        <v>1.1499999999999999</v>
      </c>
      <c r="I110">
        <f>IFERROR(VLOOKUP(E110,Control_Actividades!A:C,3,FALSE),"")</f>
        <v>70</v>
      </c>
      <c r="J110" s="3">
        <f t="shared" si="54"/>
        <v>80.5</v>
      </c>
    </row>
    <row r="111" spans="1:10" hidden="1" x14ac:dyDescent="0.3">
      <c r="A111" s="2">
        <v>46071</v>
      </c>
      <c r="B111">
        <f t="shared" ref="B111:B159" si="67">WEEKNUM(A111,2)</f>
        <v>8</v>
      </c>
      <c r="C111" t="s">
        <v>38</v>
      </c>
      <c r="E111" t="s">
        <v>10</v>
      </c>
      <c r="F111" t="s">
        <v>25</v>
      </c>
      <c r="G111" t="str">
        <f>IFERROR(VLOOKUP(E111,Control_Actividades!A:C,2,FALSE),"")</f>
        <v>Quintal</v>
      </c>
      <c r="H111">
        <v>1.1499999999999999</v>
      </c>
      <c r="I111">
        <f>IFERROR(VLOOKUP(E111,Control_Actividades!A:C,3,FALSE),"")</f>
        <v>70</v>
      </c>
      <c r="J111" s="3">
        <f t="shared" si="54"/>
        <v>80.5</v>
      </c>
    </row>
    <row r="112" spans="1:10" x14ac:dyDescent="0.3">
      <c r="A112" s="2">
        <v>46071</v>
      </c>
      <c r="B112">
        <f t="shared" ref="B112:B160" si="68">_xlfn.SINGLE(WEEKNUM(A112,2))</f>
        <v>8</v>
      </c>
      <c r="C112" t="s">
        <v>39</v>
      </c>
      <c r="E112" t="s">
        <v>17</v>
      </c>
      <c r="F112" t="s">
        <v>50</v>
      </c>
      <c r="G112" t="str">
        <f>IFERROR(VLOOKUP(E112,Control_Actividades!A:C,2,FALSE),"")</f>
        <v>Manzana</v>
      </c>
      <c r="H112">
        <v>1.33</v>
      </c>
      <c r="I112">
        <f>IFERROR(VLOOKUP(E112,Control_Actividades!A:C,3,FALSE),"")</f>
        <v>110</v>
      </c>
      <c r="J112" s="3">
        <f t="shared" si="54"/>
        <v>146.30000000000001</v>
      </c>
    </row>
    <row r="113" spans="1:10" hidden="1" x14ac:dyDescent="0.3">
      <c r="A113" s="2">
        <v>46071</v>
      </c>
      <c r="B113">
        <f t="shared" ref="B113:B161" si="69">WEEKNUM(A113,2)</f>
        <v>8</v>
      </c>
      <c r="C113" t="s">
        <v>40</v>
      </c>
      <c r="E113" t="s">
        <v>10</v>
      </c>
      <c r="F113" t="s">
        <v>25</v>
      </c>
      <c r="G113" t="str">
        <f>IFERROR(VLOOKUP(E113,Control_Actividades!A:C,2,FALSE),"")</f>
        <v>Quintal</v>
      </c>
      <c r="H113">
        <v>1.1499999999999999</v>
      </c>
      <c r="I113">
        <f>IFERROR(VLOOKUP(E113,Control_Actividades!A:C,3,FALSE),"")</f>
        <v>70</v>
      </c>
      <c r="J113" s="3">
        <f t="shared" si="54"/>
        <v>80.5</v>
      </c>
    </row>
    <row r="114" spans="1:10" hidden="1" x14ac:dyDescent="0.3">
      <c r="A114" s="2">
        <v>46071</v>
      </c>
      <c r="B114">
        <f t="shared" ref="B114:B162" si="70">_xlfn.SINGLE(WEEKNUM(A114,2))</f>
        <v>8</v>
      </c>
      <c r="C114" t="s">
        <v>41</v>
      </c>
      <c r="E114" t="s">
        <v>48</v>
      </c>
      <c r="F114" t="s">
        <v>49</v>
      </c>
      <c r="G114" t="str">
        <f>IFERROR(VLOOKUP(E114,Control_Actividades!A:C,2,FALSE),"")</f>
        <v>Dia</v>
      </c>
      <c r="H114">
        <v>1</v>
      </c>
      <c r="I114">
        <f>IFERROR(VLOOKUP(E114,Control_Actividades!A:C,3,FALSE),"")</f>
        <v>100</v>
      </c>
      <c r="J114" s="3">
        <f t="shared" si="54"/>
        <v>100</v>
      </c>
    </row>
    <row r="115" spans="1:10" hidden="1" x14ac:dyDescent="0.3">
      <c r="A115" s="2">
        <v>46071</v>
      </c>
      <c r="B115">
        <f t="shared" ref="B115:B163" si="71">WEEKNUM(A115,2)</f>
        <v>8</v>
      </c>
      <c r="C115" t="s">
        <v>42</v>
      </c>
      <c r="E115" t="s">
        <v>10</v>
      </c>
      <c r="F115" t="s">
        <v>25</v>
      </c>
      <c r="G115" t="str">
        <f>IFERROR(VLOOKUP(E115,Control_Actividades!A:C,2,FALSE),"")</f>
        <v>Quintal</v>
      </c>
      <c r="H115">
        <v>2.35</v>
      </c>
      <c r="I115">
        <f>IFERROR(VLOOKUP(E115,Control_Actividades!A:C,3,FALSE),"")</f>
        <v>70</v>
      </c>
      <c r="J115" s="3">
        <v>171.25</v>
      </c>
    </row>
    <row r="116" spans="1:10" hidden="1" x14ac:dyDescent="0.3">
      <c r="A116" s="2">
        <v>46071</v>
      </c>
      <c r="B116">
        <f t="shared" ref="B116:B164" si="72">_xlfn.SINGLE(WEEKNUM(A116,2))</f>
        <v>8</v>
      </c>
      <c r="C116" t="s">
        <v>43</v>
      </c>
      <c r="E116" t="s">
        <v>48</v>
      </c>
      <c r="F116" t="s">
        <v>49</v>
      </c>
      <c r="G116" t="str">
        <f>IFERROR(VLOOKUP(E116,Control_Actividades!A:C,2,FALSE),"")</f>
        <v>Dia</v>
      </c>
      <c r="H116">
        <v>1</v>
      </c>
      <c r="I116">
        <f>IFERROR(VLOOKUP(E116,Control_Actividades!A:C,3,FALSE),"")</f>
        <v>100</v>
      </c>
      <c r="J116" s="3">
        <f t="shared" si="54"/>
        <v>100</v>
      </c>
    </row>
    <row r="117" spans="1:10" hidden="1" x14ac:dyDescent="0.3">
      <c r="A117" s="2">
        <v>46071</v>
      </c>
      <c r="B117">
        <f t="shared" ref="B117:B165" si="73">WEEKNUM(A117,2)</f>
        <v>8</v>
      </c>
      <c r="C117" t="s">
        <v>44</v>
      </c>
      <c r="E117" t="s">
        <v>48</v>
      </c>
      <c r="F117" t="s">
        <v>49</v>
      </c>
      <c r="G117" t="str">
        <f>IFERROR(VLOOKUP(E117,Control_Actividades!A:C,2,FALSE),"")</f>
        <v>Dia</v>
      </c>
      <c r="H117">
        <v>1</v>
      </c>
      <c r="I117">
        <f>IFERROR(VLOOKUP(E117,Control_Actividades!A:C,3,FALSE),"")</f>
        <v>100</v>
      </c>
      <c r="J117" s="3">
        <f t="shared" si="54"/>
        <v>100</v>
      </c>
    </row>
    <row r="118" spans="1:10" x14ac:dyDescent="0.3">
      <c r="A118" s="2">
        <v>46071</v>
      </c>
      <c r="B118">
        <f t="shared" ref="B118:B166" si="74">_xlfn.SINGLE(WEEKNUM(A118,2))</f>
        <v>8</v>
      </c>
      <c r="C118" t="s">
        <v>45</v>
      </c>
      <c r="E118" t="s">
        <v>10</v>
      </c>
      <c r="F118" t="s">
        <v>25</v>
      </c>
      <c r="G118" t="str">
        <f>IFERROR(VLOOKUP(E118,Control_Actividades!A:C,2,FALSE),"")</f>
        <v>Quintal</v>
      </c>
      <c r="H118">
        <v>1.1000000000000001</v>
      </c>
      <c r="I118">
        <f>IFERROR(VLOOKUP(E118,Control_Actividades!A:C,3,FALSE),"")</f>
        <v>70</v>
      </c>
      <c r="J118" s="3">
        <f t="shared" si="54"/>
        <v>77</v>
      </c>
    </row>
    <row r="119" spans="1:10" hidden="1" x14ac:dyDescent="0.3">
      <c r="A119" s="2">
        <v>46071</v>
      </c>
      <c r="B119">
        <f t="shared" ref="B119:B167" si="75">WEEKNUM(A119,2)</f>
        <v>8</v>
      </c>
      <c r="C119" t="s">
        <v>46</v>
      </c>
      <c r="E119" t="s">
        <v>10</v>
      </c>
      <c r="F119" t="s">
        <v>25</v>
      </c>
      <c r="G119" t="str">
        <f>IFERROR(VLOOKUP(E119,Control_Actividades!A:C,2,FALSE),"")</f>
        <v>Quintal</v>
      </c>
      <c r="H119">
        <v>3.2</v>
      </c>
      <c r="I119">
        <f>IFERROR(VLOOKUP(E119,Control_Actividades!A:C,3,FALSE),"")</f>
        <v>70</v>
      </c>
      <c r="J119" s="3">
        <v>235</v>
      </c>
    </row>
    <row r="120" spans="1:10" hidden="1" x14ac:dyDescent="0.3">
      <c r="A120" s="5">
        <v>46071</v>
      </c>
      <c r="B120" s="6">
        <f t="shared" ref="B120:B168" si="76">_xlfn.SINGLE(WEEKNUM(A120,2))</f>
        <v>8</v>
      </c>
      <c r="C120" s="6" t="s">
        <v>47</v>
      </c>
      <c r="D120" s="6"/>
      <c r="E120" s="6" t="s">
        <v>10</v>
      </c>
      <c r="F120" s="6" t="s">
        <v>25</v>
      </c>
      <c r="G120" s="6" t="str">
        <f>IFERROR(VLOOKUP(E120,Control_Actividades!A:C,2,FALSE),"")</f>
        <v>Quintal</v>
      </c>
      <c r="H120" s="6">
        <v>1.2</v>
      </c>
      <c r="I120" s="6">
        <f>IFERROR(VLOOKUP(E120,Control_Actividades!A:C,3,FALSE),"")</f>
        <v>70</v>
      </c>
      <c r="J120" s="10">
        <f t="shared" si="54"/>
        <v>84</v>
      </c>
    </row>
    <row r="121" spans="1:10" hidden="1" x14ac:dyDescent="0.3">
      <c r="A121" s="2">
        <v>46072</v>
      </c>
      <c r="B121">
        <f t="shared" ref="B121:B169" si="77">WEEKNUM(A121,2)</f>
        <v>8</v>
      </c>
      <c r="C121" t="s">
        <v>22</v>
      </c>
      <c r="E121" t="s">
        <v>23</v>
      </c>
      <c r="F121" t="s">
        <v>25</v>
      </c>
      <c r="G121" t="str">
        <f>IFERROR(VLOOKUP(E121,Control_Actividades!A:C,2,FALSE),"")</f>
        <v>Dia</v>
      </c>
      <c r="H121">
        <v>1</v>
      </c>
      <c r="I121">
        <f>IFERROR(VLOOKUP(E121,Control_Actividades!A:C,3,FALSE),"")</f>
        <v>100</v>
      </c>
      <c r="J121" s="3">
        <f t="shared" si="54"/>
        <v>100</v>
      </c>
    </row>
    <row r="122" spans="1:10" hidden="1" x14ac:dyDescent="0.3">
      <c r="A122" s="2">
        <v>46072</v>
      </c>
      <c r="B122">
        <f t="shared" ref="B122" si="78">_xlfn.SINGLE(WEEKNUM(A122,2))</f>
        <v>8</v>
      </c>
      <c r="C122" t="s">
        <v>27</v>
      </c>
      <c r="E122" t="s">
        <v>54</v>
      </c>
      <c r="F122" t="s">
        <v>49</v>
      </c>
      <c r="G122" t="str">
        <f>IFERROR(VLOOKUP(E122,Control_Actividades!A:C,2,FALSE),"")</f>
        <v>Dia</v>
      </c>
      <c r="H122">
        <v>1</v>
      </c>
      <c r="I122">
        <f>IFERROR(VLOOKUP(E122,Control_Actividades!A:C,3,FALSE),"")</f>
        <v>130</v>
      </c>
      <c r="J122" s="3">
        <f t="shared" si="54"/>
        <v>130</v>
      </c>
    </row>
    <row r="123" spans="1:10" x14ac:dyDescent="0.3">
      <c r="A123" s="2">
        <v>46072</v>
      </c>
      <c r="B123">
        <f t="shared" ref="B123" si="79">WEEKNUM(A123,2)</f>
        <v>8</v>
      </c>
      <c r="C123" t="s">
        <v>28</v>
      </c>
      <c r="E123" t="s">
        <v>10</v>
      </c>
      <c r="F123" t="s">
        <v>25</v>
      </c>
      <c r="G123" t="str">
        <f>IFERROR(VLOOKUP(E123,Control_Actividades!A:C,2,FALSE),"")</f>
        <v>Quintal</v>
      </c>
      <c r="H123">
        <v>1.1000000000000001</v>
      </c>
      <c r="I123">
        <f>IFERROR(VLOOKUP(E123,Control_Actividades!A:C,3,FALSE),"")</f>
        <v>70</v>
      </c>
      <c r="J123" s="3">
        <f t="shared" si="54"/>
        <v>77</v>
      </c>
    </row>
    <row r="124" spans="1:10" hidden="1" x14ac:dyDescent="0.3">
      <c r="A124" s="2">
        <v>46072</v>
      </c>
      <c r="B124">
        <f t="shared" si="56"/>
        <v>8</v>
      </c>
      <c r="C124" t="s">
        <v>29</v>
      </c>
      <c r="E124" t="s">
        <v>10</v>
      </c>
      <c r="F124" t="s">
        <v>25</v>
      </c>
      <c r="G124" t="str">
        <f>IFERROR(VLOOKUP(E124,Control_Actividades!A:C,2,FALSE),"")</f>
        <v>Quintal</v>
      </c>
      <c r="H124">
        <v>1.1499999999999999</v>
      </c>
      <c r="I124">
        <f>IFERROR(VLOOKUP(E124,Control_Actividades!A:C,3,FALSE),"")</f>
        <v>70</v>
      </c>
      <c r="J124" s="3">
        <f t="shared" si="54"/>
        <v>80.5</v>
      </c>
    </row>
    <row r="125" spans="1:10" hidden="1" x14ac:dyDescent="0.3">
      <c r="A125" s="2">
        <v>46072</v>
      </c>
      <c r="B125">
        <f t="shared" si="57"/>
        <v>8</v>
      </c>
      <c r="C125" t="s">
        <v>26</v>
      </c>
      <c r="E125" t="s">
        <v>10</v>
      </c>
      <c r="F125" t="s">
        <v>25</v>
      </c>
      <c r="G125" t="str">
        <f>IFERROR(VLOOKUP(E125,Control_Actividades!A:C,2,FALSE),"")</f>
        <v>Quintal</v>
      </c>
      <c r="H125">
        <v>1.2</v>
      </c>
      <c r="I125">
        <f>IFERROR(VLOOKUP(E125,Control_Actividades!A:C,3,FALSE),"")</f>
        <v>70</v>
      </c>
      <c r="J125" s="3">
        <f t="shared" si="54"/>
        <v>84</v>
      </c>
    </row>
    <row r="126" spans="1:10" hidden="1" x14ac:dyDescent="0.3">
      <c r="A126" s="2">
        <v>46072</v>
      </c>
      <c r="B126">
        <f t="shared" si="58"/>
        <v>8</v>
      </c>
      <c r="C126" t="s">
        <v>30</v>
      </c>
      <c r="E126" t="s">
        <v>10</v>
      </c>
      <c r="F126" t="s">
        <v>25</v>
      </c>
      <c r="G126" t="str">
        <f>IFERROR(VLOOKUP(E126,Control_Actividades!A:C,2,FALSE),"")</f>
        <v>Quintal</v>
      </c>
      <c r="H126">
        <v>1.1499999999999999</v>
      </c>
      <c r="I126">
        <f>IFERROR(VLOOKUP(E126,Control_Actividades!A:C,3,FALSE),"")</f>
        <v>70</v>
      </c>
      <c r="J126" s="3">
        <f t="shared" si="54"/>
        <v>80.5</v>
      </c>
    </row>
    <row r="127" spans="1:10" hidden="1" x14ac:dyDescent="0.3">
      <c r="A127" s="2">
        <v>46072</v>
      </c>
      <c r="B127">
        <f t="shared" si="59"/>
        <v>8</v>
      </c>
      <c r="C127" t="s">
        <v>31</v>
      </c>
      <c r="E127" t="s">
        <v>10</v>
      </c>
      <c r="F127" t="s">
        <v>25</v>
      </c>
      <c r="G127" t="str">
        <f>IFERROR(VLOOKUP(E127,Control_Actividades!A:C,2,FALSE),"")</f>
        <v>Quintal</v>
      </c>
      <c r="H127">
        <v>1.55</v>
      </c>
      <c r="I127">
        <f>IFERROR(VLOOKUP(E127,Control_Actividades!A:C,3,FALSE),"")</f>
        <v>70</v>
      </c>
      <c r="J127" s="3">
        <f t="shared" si="54"/>
        <v>108.5</v>
      </c>
    </row>
    <row r="128" spans="1:10" hidden="1" x14ac:dyDescent="0.3">
      <c r="A128" s="2">
        <v>46072</v>
      </c>
      <c r="B128">
        <f t="shared" si="60"/>
        <v>8</v>
      </c>
      <c r="C128" t="s">
        <v>32</v>
      </c>
      <c r="E128" t="s">
        <v>48</v>
      </c>
      <c r="F128" t="s">
        <v>49</v>
      </c>
      <c r="G128" t="str">
        <f>IFERROR(VLOOKUP(E128,Control_Actividades!A:C,2,FALSE),"")</f>
        <v>Dia</v>
      </c>
      <c r="H128">
        <v>1</v>
      </c>
      <c r="I128">
        <f>IFERROR(VLOOKUP(E128,Control_Actividades!A:C,3,FALSE),"")</f>
        <v>100</v>
      </c>
      <c r="J128" s="3">
        <f t="shared" si="54"/>
        <v>100</v>
      </c>
    </row>
    <row r="129" spans="1:10" hidden="1" x14ac:dyDescent="0.3">
      <c r="A129" s="2">
        <v>46072</v>
      </c>
      <c r="B129">
        <f t="shared" si="61"/>
        <v>8</v>
      </c>
      <c r="C129" t="s">
        <v>33</v>
      </c>
      <c r="E129" t="s">
        <v>10</v>
      </c>
      <c r="F129" t="s">
        <v>25</v>
      </c>
      <c r="G129" t="str">
        <f>IFERROR(VLOOKUP(E129,Control_Actividades!A:C,2,FALSE),"")</f>
        <v>Quintal</v>
      </c>
      <c r="H129">
        <v>1.5</v>
      </c>
      <c r="I129">
        <f>IFERROR(VLOOKUP(E129,Control_Actividades!A:C,3,FALSE),"")</f>
        <v>70</v>
      </c>
      <c r="J129" s="3">
        <f t="shared" si="54"/>
        <v>105</v>
      </c>
    </row>
    <row r="130" spans="1:10" hidden="1" x14ac:dyDescent="0.3">
      <c r="A130" s="2">
        <v>46072</v>
      </c>
      <c r="B130">
        <f t="shared" si="62"/>
        <v>8</v>
      </c>
      <c r="C130" t="s">
        <v>34</v>
      </c>
      <c r="E130" t="s">
        <v>10</v>
      </c>
      <c r="F130" t="s">
        <v>25</v>
      </c>
      <c r="G130" t="str">
        <f>IFERROR(VLOOKUP(E130,Control_Actividades!A:C,2,FALSE),"")</f>
        <v>Quintal</v>
      </c>
      <c r="H130">
        <v>1.25</v>
      </c>
      <c r="I130">
        <f>IFERROR(VLOOKUP(E130,Control_Actividades!A:C,3,FALSE),"")</f>
        <v>70</v>
      </c>
      <c r="J130" s="3">
        <f t="shared" ref="J130:J161" si="80">H130*I130</f>
        <v>87.5</v>
      </c>
    </row>
    <row r="131" spans="1:10" hidden="1" x14ac:dyDescent="0.3">
      <c r="A131" s="2">
        <v>46072</v>
      </c>
      <c r="B131">
        <f t="shared" si="63"/>
        <v>8</v>
      </c>
      <c r="C131" t="s">
        <v>35</v>
      </c>
      <c r="E131" t="s">
        <v>10</v>
      </c>
      <c r="F131" t="s">
        <v>25</v>
      </c>
      <c r="G131" t="str">
        <f>IFERROR(VLOOKUP(E131,Control_Actividades!A:C,2,FALSE),"")</f>
        <v>Quintal</v>
      </c>
      <c r="H131">
        <v>1.5</v>
      </c>
      <c r="I131">
        <f>IFERROR(VLOOKUP(E131,Control_Actividades!A:C,3,FALSE),"")</f>
        <v>70</v>
      </c>
      <c r="J131" s="3">
        <f t="shared" si="80"/>
        <v>105</v>
      </c>
    </row>
    <row r="132" spans="1:10" hidden="1" x14ac:dyDescent="0.3">
      <c r="A132" s="2">
        <v>46072</v>
      </c>
      <c r="B132">
        <f t="shared" si="64"/>
        <v>8</v>
      </c>
      <c r="C132" t="s">
        <v>36</v>
      </c>
      <c r="E132" t="s">
        <v>10</v>
      </c>
      <c r="F132" t="s">
        <v>25</v>
      </c>
      <c r="G132" t="str">
        <f>IFERROR(VLOOKUP(E132,Control_Actividades!A:C,2,FALSE),"")</f>
        <v>Quintal</v>
      </c>
      <c r="H132">
        <v>1.25</v>
      </c>
      <c r="I132">
        <f>IFERROR(VLOOKUP(E132,Control_Actividades!A:C,3,FALSE),"")</f>
        <v>70</v>
      </c>
      <c r="J132" s="3">
        <f t="shared" si="80"/>
        <v>87.5</v>
      </c>
    </row>
    <row r="133" spans="1:10" hidden="1" x14ac:dyDescent="0.3">
      <c r="A133" s="2">
        <v>46072</v>
      </c>
      <c r="B133">
        <f t="shared" si="65"/>
        <v>8</v>
      </c>
      <c r="C133" t="s">
        <v>37</v>
      </c>
      <c r="E133" t="s">
        <v>10</v>
      </c>
      <c r="F133" t="s">
        <v>25</v>
      </c>
      <c r="G133" t="str">
        <f>IFERROR(VLOOKUP(E133,Control_Actividades!A:C,2,FALSE),"")</f>
        <v>Quintal</v>
      </c>
      <c r="H133">
        <v>1.25</v>
      </c>
      <c r="I133">
        <f>IFERROR(VLOOKUP(E133,Control_Actividades!A:C,3,FALSE),"")</f>
        <v>70</v>
      </c>
      <c r="J133" s="3">
        <f t="shared" si="80"/>
        <v>87.5</v>
      </c>
    </row>
    <row r="134" spans="1:10" hidden="1" x14ac:dyDescent="0.3">
      <c r="A134" s="2">
        <v>46072</v>
      </c>
      <c r="B134">
        <f t="shared" si="66"/>
        <v>8</v>
      </c>
      <c r="C134" t="s">
        <v>38</v>
      </c>
      <c r="E134" t="s">
        <v>10</v>
      </c>
      <c r="F134" t="s">
        <v>25</v>
      </c>
      <c r="G134" t="str">
        <f>IFERROR(VLOOKUP(E134,Control_Actividades!A:C,2,FALSE),"")</f>
        <v>Quintal</v>
      </c>
      <c r="H134">
        <v>1.2</v>
      </c>
      <c r="I134">
        <f>IFERROR(VLOOKUP(E134,Control_Actividades!A:C,3,FALSE),"")</f>
        <v>70</v>
      </c>
      <c r="J134" s="3">
        <f t="shared" si="80"/>
        <v>84</v>
      </c>
    </row>
    <row r="135" spans="1:10" x14ac:dyDescent="0.3">
      <c r="A135" s="2">
        <v>46072</v>
      </c>
      <c r="B135">
        <f t="shared" si="67"/>
        <v>8</v>
      </c>
      <c r="C135" t="s">
        <v>39</v>
      </c>
      <c r="E135" t="s">
        <v>17</v>
      </c>
      <c r="F135" t="s">
        <v>50</v>
      </c>
      <c r="G135" t="str">
        <f>IFERROR(VLOOKUP(E135,Control_Actividades!A:C,2,FALSE),"")</f>
        <v>Manzana</v>
      </c>
      <c r="H135">
        <v>1.33</v>
      </c>
      <c r="I135">
        <f>IFERROR(VLOOKUP(E135,Control_Actividades!A:C,3,FALSE),"")</f>
        <v>110</v>
      </c>
      <c r="J135" s="3">
        <f t="shared" si="80"/>
        <v>146.30000000000001</v>
      </c>
    </row>
    <row r="136" spans="1:10" hidden="1" x14ac:dyDescent="0.3">
      <c r="A136" s="2">
        <v>46072</v>
      </c>
      <c r="B136">
        <f t="shared" si="68"/>
        <v>8</v>
      </c>
      <c r="C136" t="s">
        <v>40</v>
      </c>
      <c r="E136" t="s">
        <v>10</v>
      </c>
      <c r="F136" t="s">
        <v>25</v>
      </c>
      <c r="G136" t="str">
        <f>IFERROR(VLOOKUP(E136,Control_Actividades!A:C,2,FALSE),"")</f>
        <v>Quintal</v>
      </c>
      <c r="H136">
        <v>1.5</v>
      </c>
      <c r="I136">
        <f>IFERROR(VLOOKUP(E136,Control_Actividades!A:C,3,FALSE),"")</f>
        <v>70</v>
      </c>
      <c r="J136" s="3">
        <f t="shared" si="80"/>
        <v>105</v>
      </c>
    </row>
    <row r="137" spans="1:10" hidden="1" x14ac:dyDescent="0.3">
      <c r="A137" s="2">
        <v>46072</v>
      </c>
      <c r="B137">
        <f t="shared" si="69"/>
        <v>8</v>
      </c>
      <c r="C137" t="s">
        <v>41</v>
      </c>
      <c r="E137" t="s">
        <v>48</v>
      </c>
      <c r="F137" t="s">
        <v>49</v>
      </c>
      <c r="G137" t="str">
        <f>IFERROR(VLOOKUP(E137,Control_Actividades!A:C,2,FALSE),"")</f>
        <v>Dia</v>
      </c>
      <c r="H137">
        <v>1</v>
      </c>
      <c r="I137">
        <f>IFERROR(VLOOKUP(E137,Control_Actividades!A:C,3,FALSE),"")</f>
        <v>100</v>
      </c>
      <c r="J137" s="3">
        <f t="shared" si="80"/>
        <v>100</v>
      </c>
    </row>
    <row r="138" spans="1:10" hidden="1" x14ac:dyDescent="0.3">
      <c r="A138" s="2">
        <v>46072</v>
      </c>
      <c r="B138">
        <f t="shared" si="70"/>
        <v>8</v>
      </c>
      <c r="C138" t="s">
        <v>42</v>
      </c>
      <c r="E138" t="s">
        <v>10</v>
      </c>
      <c r="F138" t="s">
        <v>25</v>
      </c>
      <c r="G138" t="str">
        <f>IFERROR(VLOOKUP(E138,Control_Actividades!A:C,2,FALSE),"")</f>
        <v>Quintal</v>
      </c>
      <c r="H138">
        <v>1.65</v>
      </c>
      <c r="I138">
        <f>IFERROR(VLOOKUP(E138,Control_Actividades!A:C,3,FALSE),"")</f>
        <v>70</v>
      </c>
      <c r="J138" s="3">
        <f t="shared" si="80"/>
        <v>115.5</v>
      </c>
    </row>
    <row r="139" spans="1:10" hidden="1" x14ac:dyDescent="0.3">
      <c r="A139" s="2">
        <v>46072</v>
      </c>
      <c r="B139">
        <f t="shared" si="71"/>
        <v>8</v>
      </c>
      <c r="C139" t="s">
        <v>43</v>
      </c>
      <c r="E139" t="s">
        <v>48</v>
      </c>
      <c r="F139" t="s">
        <v>49</v>
      </c>
      <c r="G139" t="str">
        <f>IFERROR(VLOOKUP(E139,Control_Actividades!A:C,2,FALSE),"")</f>
        <v>Dia</v>
      </c>
      <c r="H139">
        <v>1</v>
      </c>
      <c r="I139">
        <f>IFERROR(VLOOKUP(E139,Control_Actividades!A:C,3,FALSE),"")</f>
        <v>100</v>
      </c>
      <c r="J139" s="3">
        <f t="shared" si="80"/>
        <v>100</v>
      </c>
    </row>
    <row r="140" spans="1:10" hidden="1" x14ac:dyDescent="0.3">
      <c r="A140" s="2">
        <v>46072</v>
      </c>
      <c r="B140">
        <f t="shared" si="72"/>
        <v>8</v>
      </c>
      <c r="C140" t="s">
        <v>44</v>
      </c>
      <c r="E140" t="s">
        <v>48</v>
      </c>
      <c r="F140" t="s">
        <v>49</v>
      </c>
      <c r="G140" t="str">
        <f>IFERROR(VLOOKUP(E140,Control_Actividades!A:C,2,FALSE),"")</f>
        <v>Dia</v>
      </c>
      <c r="H140">
        <v>1</v>
      </c>
      <c r="I140">
        <f>IFERROR(VLOOKUP(E140,Control_Actividades!A:C,3,FALSE),"")</f>
        <v>100</v>
      </c>
      <c r="J140" s="3">
        <f t="shared" si="80"/>
        <v>100</v>
      </c>
    </row>
    <row r="141" spans="1:10" hidden="1" x14ac:dyDescent="0.3">
      <c r="A141" s="2">
        <v>46072</v>
      </c>
      <c r="B141">
        <f t="shared" si="73"/>
        <v>8</v>
      </c>
      <c r="C141" t="s">
        <v>45</v>
      </c>
      <c r="E141" t="s">
        <v>10</v>
      </c>
      <c r="F141" t="s">
        <v>25</v>
      </c>
      <c r="G141" t="str">
        <f>IFERROR(VLOOKUP(E141,Control_Actividades!A:C,2,FALSE),"")</f>
        <v>Quintal</v>
      </c>
      <c r="H141">
        <v>1.6</v>
      </c>
      <c r="I141">
        <f>IFERROR(VLOOKUP(E141,Control_Actividades!A:C,3,FALSE),"")</f>
        <v>70</v>
      </c>
      <c r="J141" s="3">
        <f t="shared" si="80"/>
        <v>112</v>
      </c>
    </row>
    <row r="142" spans="1:10" hidden="1" x14ac:dyDescent="0.3">
      <c r="A142" s="2">
        <v>46072</v>
      </c>
      <c r="B142">
        <f t="shared" si="74"/>
        <v>8</v>
      </c>
      <c r="C142" t="s">
        <v>46</v>
      </c>
      <c r="E142" t="s">
        <v>10</v>
      </c>
      <c r="F142" t="s">
        <v>25</v>
      </c>
      <c r="G142" t="str">
        <f>IFERROR(VLOOKUP(E142,Control_Actividades!A:C,2,FALSE),"")</f>
        <v>Quintal</v>
      </c>
      <c r="H142">
        <v>2.75</v>
      </c>
      <c r="I142">
        <f>IFERROR(VLOOKUP(E142,Control_Actividades!A:C,3,FALSE),"")</f>
        <v>70</v>
      </c>
      <c r="J142" s="3">
        <v>201.25</v>
      </c>
    </row>
    <row r="143" spans="1:10" hidden="1" x14ac:dyDescent="0.3">
      <c r="A143" s="5">
        <v>46072</v>
      </c>
      <c r="B143" s="6">
        <f t="shared" si="75"/>
        <v>8</v>
      </c>
      <c r="C143" s="6" t="s">
        <v>47</v>
      </c>
      <c r="D143" s="6"/>
      <c r="E143" s="6"/>
      <c r="F143" s="6"/>
      <c r="G143" s="6" t="str">
        <f>IFERROR(VLOOKUP(E143,Control_Actividades!A:C,2,FALSE),"")</f>
        <v/>
      </c>
      <c r="H143" s="6"/>
      <c r="I143" s="6" t="str">
        <f>IFERROR(VLOOKUP(E143,Control_Actividades!A:C,3,FALSE),"")</f>
        <v/>
      </c>
      <c r="J143" s="10" t="e">
        <f t="shared" si="80"/>
        <v>#VALUE!</v>
      </c>
    </row>
    <row r="144" spans="1:10" hidden="1" x14ac:dyDescent="0.3">
      <c r="A144" s="2">
        <v>46073</v>
      </c>
      <c r="B144">
        <f t="shared" si="76"/>
        <v>8</v>
      </c>
      <c r="C144" t="s">
        <v>22</v>
      </c>
      <c r="E144" t="s">
        <v>23</v>
      </c>
      <c r="F144" t="s">
        <v>25</v>
      </c>
      <c r="G144" t="str">
        <f>IFERROR(VLOOKUP(E144,Control_Actividades!A:C,2,FALSE),"")</f>
        <v>Dia</v>
      </c>
      <c r="H144">
        <v>1</v>
      </c>
      <c r="I144">
        <f>IFERROR(VLOOKUP(E144,Control_Actividades!A:C,3,FALSE),"")</f>
        <v>100</v>
      </c>
      <c r="J144" s="3">
        <f t="shared" si="80"/>
        <v>100</v>
      </c>
    </row>
    <row r="145" spans="1:10" hidden="1" x14ac:dyDescent="0.3">
      <c r="A145" s="2">
        <v>46073</v>
      </c>
      <c r="B145">
        <f t="shared" si="77"/>
        <v>8</v>
      </c>
      <c r="C145" t="s">
        <v>27</v>
      </c>
      <c r="E145" t="s">
        <v>54</v>
      </c>
      <c r="F145" t="s">
        <v>49</v>
      </c>
      <c r="G145" t="str">
        <f>IFERROR(VLOOKUP(E145,Control_Actividades!A:C,2,FALSE),"")</f>
        <v>Dia</v>
      </c>
      <c r="H145">
        <v>1</v>
      </c>
      <c r="I145">
        <f>IFERROR(VLOOKUP(E145,Control_Actividades!A:C,3,FALSE),"")</f>
        <v>130</v>
      </c>
      <c r="J145" s="3">
        <f t="shared" si="80"/>
        <v>130</v>
      </c>
    </row>
    <row r="146" spans="1:10" hidden="1" x14ac:dyDescent="0.3">
      <c r="A146" s="2">
        <v>46073</v>
      </c>
      <c r="B146">
        <f t="shared" ref="B146" si="81">_xlfn.SINGLE(WEEKNUM(A146,2))</f>
        <v>8</v>
      </c>
      <c r="C146" t="s">
        <v>28</v>
      </c>
      <c r="E146" t="s">
        <v>10</v>
      </c>
      <c r="F146" t="s">
        <v>25</v>
      </c>
      <c r="G146" t="str">
        <f>IFERROR(VLOOKUP(E146,Control_Actividades!A:C,2,FALSE),"")</f>
        <v>Quintal</v>
      </c>
      <c r="H146">
        <v>0.75</v>
      </c>
      <c r="I146">
        <f>IFERROR(VLOOKUP(E146,Control_Actividades!A:C,3,FALSE),"")</f>
        <v>70</v>
      </c>
      <c r="J146" s="3">
        <f t="shared" si="80"/>
        <v>52.5</v>
      </c>
    </row>
    <row r="147" spans="1:10" hidden="1" x14ac:dyDescent="0.3">
      <c r="A147" s="2">
        <v>46073</v>
      </c>
      <c r="B147">
        <f t="shared" ref="B147" si="82">WEEKNUM(A147,2)</f>
        <v>8</v>
      </c>
      <c r="C147" t="s">
        <v>29</v>
      </c>
      <c r="E147" t="s">
        <v>10</v>
      </c>
      <c r="F147" t="s">
        <v>25</v>
      </c>
      <c r="G147" t="str">
        <f>IFERROR(VLOOKUP(E147,Control_Actividades!A:C,2,FALSE),"")</f>
        <v>Quintal</v>
      </c>
      <c r="H147">
        <v>1</v>
      </c>
      <c r="I147">
        <f>IFERROR(VLOOKUP(E147,Control_Actividades!A:C,3,FALSE),"")</f>
        <v>70</v>
      </c>
      <c r="J147" s="3">
        <f t="shared" si="80"/>
        <v>70</v>
      </c>
    </row>
    <row r="148" spans="1:10" hidden="1" x14ac:dyDescent="0.3">
      <c r="A148" s="2">
        <v>46073</v>
      </c>
      <c r="B148">
        <f t="shared" si="56"/>
        <v>8</v>
      </c>
      <c r="C148" t="s">
        <v>26</v>
      </c>
      <c r="E148" t="s">
        <v>10</v>
      </c>
      <c r="F148" t="s">
        <v>25</v>
      </c>
      <c r="G148" t="str">
        <f>IFERROR(VLOOKUP(E148,Control_Actividades!A:C,2,FALSE),"")</f>
        <v>Quintal</v>
      </c>
      <c r="H148">
        <v>1</v>
      </c>
      <c r="I148">
        <f>IFERROR(VLOOKUP(E148,Control_Actividades!A:C,3,FALSE),"")</f>
        <v>70</v>
      </c>
      <c r="J148" s="3">
        <f t="shared" si="80"/>
        <v>70</v>
      </c>
    </row>
    <row r="149" spans="1:10" hidden="1" x14ac:dyDescent="0.3">
      <c r="A149" s="2">
        <v>46073</v>
      </c>
      <c r="B149">
        <f t="shared" si="57"/>
        <v>8</v>
      </c>
      <c r="C149" t="s">
        <v>30</v>
      </c>
      <c r="E149" t="s">
        <v>10</v>
      </c>
      <c r="F149" t="s">
        <v>25</v>
      </c>
      <c r="G149" t="str">
        <f>IFERROR(VLOOKUP(E149,Control_Actividades!A:C,2,FALSE),"")</f>
        <v>Quintal</v>
      </c>
      <c r="H149">
        <v>1.1499999999999999</v>
      </c>
      <c r="I149">
        <f>IFERROR(VLOOKUP(E149,Control_Actividades!A:C,3,FALSE),"")</f>
        <v>70</v>
      </c>
      <c r="J149" s="3">
        <f t="shared" si="80"/>
        <v>80.5</v>
      </c>
    </row>
    <row r="150" spans="1:10" hidden="1" x14ac:dyDescent="0.3">
      <c r="A150" s="2">
        <v>46073</v>
      </c>
      <c r="B150">
        <f t="shared" si="58"/>
        <v>8</v>
      </c>
      <c r="C150" t="s">
        <v>31</v>
      </c>
      <c r="E150" t="s">
        <v>10</v>
      </c>
      <c r="F150" t="s">
        <v>25</v>
      </c>
      <c r="G150" t="str">
        <f>IFERROR(VLOOKUP(E150,Control_Actividades!A:C,2,FALSE),"")</f>
        <v>Quintal</v>
      </c>
      <c r="H150">
        <v>1.7</v>
      </c>
      <c r="I150">
        <f>IFERROR(VLOOKUP(E150,Control_Actividades!A:C,3,FALSE),"")</f>
        <v>70</v>
      </c>
      <c r="J150" s="3">
        <f t="shared" si="80"/>
        <v>119</v>
      </c>
    </row>
    <row r="151" spans="1:10" hidden="1" x14ac:dyDescent="0.3">
      <c r="A151" s="2">
        <v>46073</v>
      </c>
      <c r="B151">
        <f t="shared" si="59"/>
        <v>8</v>
      </c>
      <c r="C151" t="s">
        <v>32</v>
      </c>
      <c r="E151" t="s">
        <v>48</v>
      </c>
      <c r="F151" t="s">
        <v>49</v>
      </c>
      <c r="G151" t="str">
        <f>IFERROR(VLOOKUP(E151,Control_Actividades!A:C,2,FALSE),"")</f>
        <v>Dia</v>
      </c>
      <c r="H151">
        <v>1</v>
      </c>
      <c r="I151">
        <f>IFERROR(VLOOKUP(E151,Control_Actividades!A:C,3,FALSE),"")</f>
        <v>100</v>
      </c>
      <c r="J151" s="3">
        <f t="shared" si="80"/>
        <v>100</v>
      </c>
    </row>
    <row r="152" spans="1:10" hidden="1" x14ac:dyDescent="0.3">
      <c r="A152" s="2">
        <v>46073</v>
      </c>
      <c r="B152">
        <f t="shared" si="60"/>
        <v>8</v>
      </c>
      <c r="C152" t="s">
        <v>33</v>
      </c>
      <c r="E152" t="s">
        <v>10</v>
      </c>
      <c r="F152" t="s">
        <v>25</v>
      </c>
      <c r="G152" t="str">
        <f>IFERROR(VLOOKUP(E152,Control_Actividades!A:C,2,FALSE),"")</f>
        <v>Quintal</v>
      </c>
      <c r="H152">
        <v>0.75</v>
      </c>
      <c r="I152">
        <f>IFERROR(VLOOKUP(E152,Control_Actividades!A:C,3,FALSE),"")</f>
        <v>70</v>
      </c>
      <c r="J152" s="3">
        <f t="shared" si="80"/>
        <v>52.5</v>
      </c>
    </row>
    <row r="153" spans="1:10" hidden="1" x14ac:dyDescent="0.3">
      <c r="A153" s="2">
        <v>46073</v>
      </c>
      <c r="B153">
        <f t="shared" si="61"/>
        <v>8</v>
      </c>
      <c r="C153" t="s">
        <v>34</v>
      </c>
      <c r="E153" t="s">
        <v>10</v>
      </c>
      <c r="F153" t="s">
        <v>25</v>
      </c>
      <c r="G153" t="str">
        <f>IFERROR(VLOOKUP(E153,Control_Actividades!A:C,2,FALSE),"")</f>
        <v>Quintal</v>
      </c>
      <c r="H153">
        <v>1.25</v>
      </c>
      <c r="I153">
        <f>IFERROR(VLOOKUP(E153,Control_Actividades!A:C,3,FALSE),"")</f>
        <v>70</v>
      </c>
      <c r="J153" s="3">
        <f t="shared" si="80"/>
        <v>87.5</v>
      </c>
    </row>
    <row r="154" spans="1:10" hidden="1" x14ac:dyDescent="0.3">
      <c r="A154" s="2">
        <v>46073</v>
      </c>
      <c r="B154">
        <f t="shared" si="62"/>
        <v>8</v>
      </c>
      <c r="C154" t="s">
        <v>35</v>
      </c>
      <c r="E154" t="s">
        <v>10</v>
      </c>
      <c r="F154" t="s">
        <v>25</v>
      </c>
      <c r="G154" t="str">
        <f>IFERROR(VLOOKUP(E154,Control_Actividades!A:C,2,FALSE),"")</f>
        <v>Quintal</v>
      </c>
      <c r="H154">
        <v>1.75</v>
      </c>
      <c r="I154">
        <f>IFERROR(VLOOKUP(E154,Control_Actividades!A:C,3,FALSE),"")</f>
        <v>70</v>
      </c>
      <c r="J154" s="3">
        <f t="shared" si="80"/>
        <v>122.5</v>
      </c>
    </row>
    <row r="155" spans="1:10" hidden="1" x14ac:dyDescent="0.3">
      <c r="A155" s="2">
        <v>46073</v>
      </c>
      <c r="B155">
        <f t="shared" si="63"/>
        <v>8</v>
      </c>
      <c r="C155" t="s">
        <v>36</v>
      </c>
      <c r="E155" t="s">
        <v>10</v>
      </c>
      <c r="F155" t="s">
        <v>25</v>
      </c>
      <c r="G155" t="str">
        <f>IFERROR(VLOOKUP(E155,Control_Actividades!A:C,2,FALSE),"")</f>
        <v>Quintal</v>
      </c>
      <c r="H155">
        <v>0.6</v>
      </c>
      <c r="I155">
        <f>IFERROR(VLOOKUP(E155,Control_Actividades!A:C,3,FALSE),"")</f>
        <v>70</v>
      </c>
      <c r="J155" s="3">
        <f t="shared" si="80"/>
        <v>42</v>
      </c>
    </row>
    <row r="156" spans="1:10" hidden="1" x14ac:dyDescent="0.3">
      <c r="A156" s="2">
        <v>46073</v>
      </c>
      <c r="B156">
        <f t="shared" si="64"/>
        <v>8</v>
      </c>
      <c r="C156" t="s">
        <v>37</v>
      </c>
      <c r="E156" t="s">
        <v>10</v>
      </c>
      <c r="F156" t="s">
        <v>25</v>
      </c>
      <c r="G156" t="str">
        <f>IFERROR(VLOOKUP(E156,Control_Actividades!A:C,2,FALSE),"")</f>
        <v>Quintal</v>
      </c>
      <c r="H156">
        <v>0.65</v>
      </c>
      <c r="I156">
        <f>IFERROR(VLOOKUP(E156,Control_Actividades!A:C,3,FALSE),"")</f>
        <v>70</v>
      </c>
      <c r="J156" s="3">
        <f t="shared" si="80"/>
        <v>45.5</v>
      </c>
    </row>
    <row r="157" spans="1:10" hidden="1" x14ac:dyDescent="0.3">
      <c r="A157" s="2">
        <v>46073</v>
      </c>
      <c r="B157">
        <f t="shared" si="65"/>
        <v>8</v>
      </c>
      <c r="C157" t="s">
        <v>38</v>
      </c>
      <c r="E157" t="s">
        <v>10</v>
      </c>
      <c r="F157" t="s">
        <v>25</v>
      </c>
      <c r="G157" t="str">
        <f>IFERROR(VLOOKUP(E157,Control_Actividades!A:C,2,FALSE),"")</f>
        <v>Quintal</v>
      </c>
      <c r="H157">
        <v>1.2</v>
      </c>
      <c r="I157">
        <f>IFERROR(VLOOKUP(E157,Control_Actividades!A:C,3,FALSE),"")</f>
        <v>70</v>
      </c>
      <c r="J157" s="3">
        <f t="shared" si="80"/>
        <v>84</v>
      </c>
    </row>
    <row r="158" spans="1:10" hidden="1" x14ac:dyDescent="0.3">
      <c r="A158" s="2">
        <v>46073</v>
      </c>
      <c r="B158">
        <f t="shared" si="66"/>
        <v>8</v>
      </c>
      <c r="C158" t="s">
        <v>39</v>
      </c>
      <c r="G158" t="str">
        <f>IFERROR(VLOOKUP(E158,Control_Actividades!A:C,2,FALSE),"")</f>
        <v/>
      </c>
      <c r="I158" t="str">
        <f>IFERROR(VLOOKUP(E158,Control_Actividades!A:C,3,FALSE),"")</f>
        <v/>
      </c>
      <c r="J158" s="3" t="e">
        <f t="shared" si="80"/>
        <v>#VALUE!</v>
      </c>
    </row>
    <row r="159" spans="1:10" hidden="1" x14ac:dyDescent="0.3">
      <c r="A159" s="2">
        <v>46073</v>
      </c>
      <c r="B159">
        <f t="shared" si="67"/>
        <v>8</v>
      </c>
      <c r="C159" t="s">
        <v>40</v>
      </c>
      <c r="E159" t="s">
        <v>10</v>
      </c>
      <c r="F159" t="s">
        <v>25</v>
      </c>
      <c r="G159" t="str">
        <f>IFERROR(VLOOKUP(E159,Control_Actividades!A:C,2,FALSE),"")</f>
        <v>Quintal</v>
      </c>
      <c r="H159">
        <v>0.7</v>
      </c>
      <c r="I159">
        <f>IFERROR(VLOOKUP(E159,Control_Actividades!A:C,3,FALSE),"")</f>
        <v>70</v>
      </c>
      <c r="J159" s="3">
        <f t="shared" si="80"/>
        <v>49</v>
      </c>
    </row>
    <row r="160" spans="1:10" hidden="1" x14ac:dyDescent="0.3">
      <c r="A160" s="2">
        <v>46073</v>
      </c>
      <c r="B160">
        <f t="shared" si="68"/>
        <v>8</v>
      </c>
      <c r="C160" t="s">
        <v>41</v>
      </c>
      <c r="E160" t="s">
        <v>48</v>
      </c>
      <c r="F160" t="s">
        <v>49</v>
      </c>
      <c r="G160" t="str">
        <f>IFERROR(VLOOKUP(E160,Control_Actividades!A:C,2,FALSE),"")</f>
        <v>Dia</v>
      </c>
      <c r="H160">
        <v>1</v>
      </c>
      <c r="I160">
        <f>IFERROR(VLOOKUP(E160,Control_Actividades!A:C,3,FALSE),"")</f>
        <v>100</v>
      </c>
      <c r="J160" s="3">
        <f t="shared" si="80"/>
        <v>100</v>
      </c>
    </row>
    <row r="161" spans="1:10" hidden="1" x14ac:dyDescent="0.3">
      <c r="A161" s="2">
        <v>46073</v>
      </c>
      <c r="B161">
        <f t="shared" si="69"/>
        <v>8</v>
      </c>
      <c r="C161" t="s">
        <v>42</v>
      </c>
      <c r="E161" t="s">
        <v>10</v>
      </c>
      <c r="F161" t="s">
        <v>25</v>
      </c>
      <c r="G161" t="str">
        <f>IFERROR(VLOOKUP(E161,Control_Actividades!A:C,2,FALSE),"")</f>
        <v>Quintal</v>
      </c>
      <c r="H161">
        <v>1.85</v>
      </c>
      <c r="I161">
        <f>IFERROR(VLOOKUP(E161,Control_Actividades!A:C,3,FALSE),"")</f>
        <v>70</v>
      </c>
      <c r="J161" s="3">
        <f t="shared" si="80"/>
        <v>129.5</v>
      </c>
    </row>
    <row r="162" spans="1:10" hidden="1" x14ac:dyDescent="0.3">
      <c r="A162" s="2">
        <v>46073</v>
      </c>
      <c r="B162">
        <f t="shared" si="70"/>
        <v>8</v>
      </c>
      <c r="C162" t="s">
        <v>43</v>
      </c>
      <c r="E162" t="s">
        <v>48</v>
      </c>
      <c r="F162" t="s">
        <v>49</v>
      </c>
      <c r="G162" t="str">
        <f>IFERROR(VLOOKUP(E162,Control_Actividades!A:C,2,FALSE),"")</f>
        <v>Dia</v>
      </c>
      <c r="H162">
        <v>1</v>
      </c>
      <c r="I162">
        <f>IFERROR(VLOOKUP(E162,Control_Actividades!A:C,3,FALSE),"")</f>
        <v>100</v>
      </c>
      <c r="J162" s="3">
        <f t="shared" ref="J162:J193" si="83">H162*I162</f>
        <v>100</v>
      </c>
    </row>
    <row r="163" spans="1:10" hidden="1" x14ac:dyDescent="0.3">
      <c r="A163" s="2">
        <v>46073</v>
      </c>
      <c r="B163">
        <f t="shared" si="71"/>
        <v>8</v>
      </c>
      <c r="C163" t="s">
        <v>44</v>
      </c>
      <c r="E163" t="s">
        <v>48</v>
      </c>
      <c r="F163" t="s">
        <v>49</v>
      </c>
      <c r="G163" t="str">
        <f>IFERROR(VLOOKUP(E163,Control_Actividades!A:C,2,FALSE),"")</f>
        <v>Dia</v>
      </c>
      <c r="H163">
        <v>1</v>
      </c>
      <c r="I163">
        <f>IFERROR(VLOOKUP(E163,Control_Actividades!A:C,3,FALSE),"")</f>
        <v>100</v>
      </c>
      <c r="J163" s="3">
        <f t="shared" si="83"/>
        <v>100</v>
      </c>
    </row>
    <row r="164" spans="1:10" hidden="1" x14ac:dyDescent="0.3">
      <c r="A164" s="2">
        <v>46073</v>
      </c>
      <c r="B164">
        <f t="shared" si="72"/>
        <v>8</v>
      </c>
      <c r="C164" t="s">
        <v>45</v>
      </c>
      <c r="E164" t="s">
        <v>10</v>
      </c>
      <c r="F164" t="s">
        <v>25</v>
      </c>
      <c r="G164" t="str">
        <f>IFERROR(VLOOKUP(E164,Control_Actividades!A:C,2,FALSE),"")</f>
        <v>Quintal</v>
      </c>
      <c r="H164">
        <v>0.7</v>
      </c>
      <c r="I164">
        <f>IFERROR(VLOOKUP(E164,Control_Actividades!A:C,3,FALSE),"")</f>
        <v>70</v>
      </c>
      <c r="J164" s="3">
        <f t="shared" si="83"/>
        <v>49</v>
      </c>
    </row>
    <row r="165" spans="1:10" hidden="1" x14ac:dyDescent="0.3">
      <c r="A165" s="2">
        <v>46073</v>
      </c>
      <c r="B165">
        <f t="shared" si="73"/>
        <v>8</v>
      </c>
      <c r="C165" t="s">
        <v>46</v>
      </c>
      <c r="E165" t="s">
        <v>10</v>
      </c>
      <c r="F165" t="s">
        <v>25</v>
      </c>
      <c r="G165" t="str">
        <f>IFERROR(VLOOKUP(E165,Control_Actividades!A:C,2,FALSE),"")</f>
        <v>Quintal</v>
      </c>
      <c r="H165">
        <v>2.0499999999999998</v>
      </c>
      <c r="I165">
        <f>IFERROR(VLOOKUP(E165,Control_Actividades!A:C,3,FALSE),"")</f>
        <v>70</v>
      </c>
      <c r="J165" s="3">
        <v>148.75</v>
      </c>
    </row>
    <row r="166" spans="1:10" hidden="1" x14ac:dyDescent="0.3">
      <c r="A166" s="5">
        <v>46073</v>
      </c>
      <c r="B166" s="6">
        <f t="shared" si="74"/>
        <v>8</v>
      </c>
      <c r="C166" s="6" t="s">
        <v>47</v>
      </c>
      <c r="D166" s="6"/>
      <c r="E166" s="6" t="s">
        <v>10</v>
      </c>
      <c r="F166" s="6" t="s">
        <v>25</v>
      </c>
      <c r="G166" s="6" t="str">
        <f>IFERROR(VLOOKUP(E166,Control_Actividades!A:C,2,FALSE),"")</f>
        <v>Quintal</v>
      </c>
      <c r="H166" s="6">
        <v>1</v>
      </c>
      <c r="I166" s="6">
        <f>IFERROR(VLOOKUP(E166,Control_Actividades!A:C,3,FALSE),"")</f>
        <v>70</v>
      </c>
      <c r="J166" s="10">
        <f t="shared" si="83"/>
        <v>70</v>
      </c>
    </row>
    <row r="167" spans="1:10" hidden="1" x14ac:dyDescent="0.3">
      <c r="A167" s="2">
        <v>46074</v>
      </c>
      <c r="B167">
        <f t="shared" si="75"/>
        <v>8</v>
      </c>
      <c r="C167" t="s">
        <v>22</v>
      </c>
      <c r="E167" t="s">
        <v>23</v>
      </c>
      <c r="F167" t="s">
        <v>52</v>
      </c>
      <c r="G167" t="str">
        <f>IFERROR(VLOOKUP(E167,Control_Actividades!A:C,2,FALSE),"")</f>
        <v>Dia</v>
      </c>
      <c r="H167">
        <v>1</v>
      </c>
      <c r="I167">
        <f>IFERROR(VLOOKUP(E167,Control_Actividades!A:C,3,FALSE),"")</f>
        <v>100</v>
      </c>
      <c r="J167" s="3">
        <f t="shared" si="83"/>
        <v>100</v>
      </c>
    </row>
    <row r="168" spans="1:10" hidden="1" x14ac:dyDescent="0.3">
      <c r="A168" s="2">
        <v>46074</v>
      </c>
      <c r="B168">
        <f t="shared" si="76"/>
        <v>8</v>
      </c>
      <c r="C168" t="s">
        <v>27</v>
      </c>
      <c r="E168" t="s">
        <v>54</v>
      </c>
      <c r="F168" t="s">
        <v>49</v>
      </c>
      <c r="G168" t="str">
        <f>IFERROR(VLOOKUP(E168,Control_Actividades!A:C,2,FALSE),"")</f>
        <v>Dia</v>
      </c>
      <c r="H168">
        <v>1</v>
      </c>
      <c r="I168">
        <f>IFERROR(VLOOKUP(E168,Control_Actividades!A:C,3,FALSE),"")</f>
        <v>130</v>
      </c>
      <c r="J168" s="3">
        <f t="shared" si="83"/>
        <v>130</v>
      </c>
    </row>
    <row r="169" spans="1:10" hidden="1" x14ac:dyDescent="0.3">
      <c r="A169" s="2">
        <v>46074</v>
      </c>
      <c r="B169">
        <f t="shared" si="77"/>
        <v>8</v>
      </c>
      <c r="C169" t="s">
        <v>28</v>
      </c>
      <c r="E169" t="s">
        <v>10</v>
      </c>
      <c r="F169" t="s">
        <v>25</v>
      </c>
      <c r="G169" t="str">
        <f>IFERROR(VLOOKUP(E169,Control_Actividades!A:C,2,FALSE),"")</f>
        <v>Quintal</v>
      </c>
      <c r="H169">
        <v>1.1499999999999999</v>
      </c>
      <c r="I169">
        <f>IFERROR(VLOOKUP(E169,Control_Actividades!A:C,3,FALSE),"")</f>
        <v>70</v>
      </c>
      <c r="J169" s="3">
        <f t="shared" si="83"/>
        <v>80.5</v>
      </c>
    </row>
    <row r="170" spans="1:10" hidden="1" x14ac:dyDescent="0.3">
      <c r="A170" s="2">
        <v>46074</v>
      </c>
      <c r="B170">
        <f t="shared" ref="B170" si="84">_xlfn.SINGLE(WEEKNUM(A170,2))</f>
        <v>8</v>
      </c>
      <c r="C170" t="s">
        <v>29</v>
      </c>
      <c r="E170" t="s">
        <v>10</v>
      </c>
      <c r="F170" t="s">
        <v>25</v>
      </c>
      <c r="G170" t="str">
        <f>IFERROR(VLOOKUP(E170,Control_Actividades!A:C,2,FALSE),"")</f>
        <v>Quintal</v>
      </c>
      <c r="H170">
        <v>1.1499999999999999</v>
      </c>
      <c r="I170">
        <f>IFERROR(VLOOKUP(E170,Control_Actividades!A:C,3,FALSE),"")</f>
        <v>70</v>
      </c>
      <c r="J170" s="3">
        <f t="shared" si="83"/>
        <v>80.5</v>
      </c>
    </row>
    <row r="171" spans="1:10" hidden="1" x14ac:dyDescent="0.3">
      <c r="A171" s="2">
        <v>46074</v>
      </c>
      <c r="B171">
        <f t="shared" ref="B171" si="85">WEEKNUM(A171,2)</f>
        <v>8</v>
      </c>
      <c r="C171" t="s">
        <v>26</v>
      </c>
      <c r="E171" t="s">
        <v>10</v>
      </c>
      <c r="F171" t="s">
        <v>25</v>
      </c>
      <c r="G171" t="str">
        <f>IFERROR(VLOOKUP(E171,Control_Actividades!A:C,2,FALSE),"")</f>
        <v>Quintal</v>
      </c>
      <c r="H171">
        <v>1.25</v>
      </c>
      <c r="I171">
        <f>IFERROR(VLOOKUP(E171,Control_Actividades!A:C,3,FALSE),"")</f>
        <v>70</v>
      </c>
      <c r="J171" s="3">
        <f t="shared" si="83"/>
        <v>87.5</v>
      </c>
    </row>
    <row r="172" spans="1:10" hidden="1" x14ac:dyDescent="0.3">
      <c r="A172" s="2">
        <v>46074</v>
      </c>
      <c r="B172">
        <f t="shared" ref="B172:B196" si="86">_xlfn.SINGLE(WEEKNUM(A172,2))</f>
        <v>8</v>
      </c>
      <c r="C172" t="s">
        <v>30</v>
      </c>
      <c r="G172" t="str">
        <f>IFERROR(VLOOKUP(E172,Control_Actividades!A:C,2,FALSE),"")</f>
        <v/>
      </c>
      <c r="I172" t="str">
        <f>IFERROR(VLOOKUP(E172,Control_Actividades!A:C,3,FALSE),"")</f>
        <v/>
      </c>
      <c r="J172" s="3" t="e">
        <f t="shared" si="83"/>
        <v>#VALUE!</v>
      </c>
    </row>
    <row r="173" spans="1:10" hidden="1" x14ac:dyDescent="0.3">
      <c r="A173" s="2">
        <v>46074</v>
      </c>
      <c r="B173">
        <f t="shared" ref="B173:B197" si="87">WEEKNUM(A173,2)</f>
        <v>8</v>
      </c>
      <c r="C173" t="s">
        <v>31</v>
      </c>
      <c r="G173" t="str">
        <f>IFERROR(VLOOKUP(E173,Control_Actividades!A:C,2,FALSE),"")</f>
        <v/>
      </c>
      <c r="I173" t="str">
        <f>IFERROR(VLOOKUP(E173,Control_Actividades!A:C,3,FALSE),"")</f>
        <v/>
      </c>
      <c r="J173" s="3" t="e">
        <f t="shared" si="83"/>
        <v>#VALUE!</v>
      </c>
    </row>
    <row r="174" spans="1:10" hidden="1" x14ac:dyDescent="0.3">
      <c r="A174" s="2">
        <v>46074</v>
      </c>
      <c r="B174">
        <f t="shared" ref="B174:B198" si="88">_xlfn.SINGLE(WEEKNUM(A174,2))</f>
        <v>8</v>
      </c>
      <c r="C174" t="s">
        <v>32</v>
      </c>
      <c r="E174" t="s">
        <v>48</v>
      </c>
      <c r="F174" t="s">
        <v>49</v>
      </c>
      <c r="G174" t="str">
        <f>IFERROR(VLOOKUP(E174,Control_Actividades!A:C,2,FALSE),"")</f>
        <v>Dia</v>
      </c>
      <c r="H174">
        <v>1</v>
      </c>
      <c r="I174">
        <f>IFERROR(VLOOKUP(E174,Control_Actividades!A:C,3,FALSE),"")</f>
        <v>100</v>
      </c>
      <c r="J174" s="3">
        <f t="shared" si="83"/>
        <v>100</v>
      </c>
    </row>
    <row r="175" spans="1:10" hidden="1" x14ac:dyDescent="0.3">
      <c r="A175" s="2">
        <v>46074</v>
      </c>
      <c r="B175">
        <f t="shared" ref="B175:B199" si="89">WEEKNUM(A175,2)</f>
        <v>8</v>
      </c>
      <c r="C175" t="s">
        <v>33</v>
      </c>
      <c r="G175" t="str">
        <f>IFERROR(VLOOKUP(E175,Control_Actividades!A:C,2,FALSE),"")</f>
        <v/>
      </c>
      <c r="I175" t="str">
        <f>IFERROR(VLOOKUP(E175,Control_Actividades!A:C,3,FALSE),"")</f>
        <v/>
      </c>
      <c r="J175" s="3" t="e">
        <f t="shared" si="83"/>
        <v>#VALUE!</v>
      </c>
    </row>
    <row r="176" spans="1:10" hidden="1" x14ac:dyDescent="0.3">
      <c r="A176" s="2">
        <v>46074</v>
      </c>
      <c r="B176">
        <f t="shared" ref="B176:B200" si="90">_xlfn.SINGLE(WEEKNUM(A176,2))</f>
        <v>8</v>
      </c>
      <c r="C176" t="s">
        <v>34</v>
      </c>
      <c r="G176" t="str">
        <f>IFERROR(VLOOKUP(E176,Control_Actividades!A:C,2,FALSE),"")</f>
        <v/>
      </c>
      <c r="I176" t="str">
        <f>IFERROR(VLOOKUP(E176,Control_Actividades!A:C,3,FALSE),"")</f>
        <v/>
      </c>
      <c r="J176" s="3" t="e">
        <f t="shared" si="83"/>
        <v>#VALUE!</v>
      </c>
    </row>
    <row r="177" spans="1:13" hidden="1" x14ac:dyDescent="0.3">
      <c r="A177" s="2">
        <v>46074</v>
      </c>
      <c r="B177">
        <f t="shared" ref="B177" si="91">WEEKNUM(A177,2)</f>
        <v>8</v>
      </c>
      <c r="C177" t="s">
        <v>35</v>
      </c>
      <c r="G177" t="str">
        <f>IFERROR(VLOOKUP(E177,Control_Actividades!A:C,2,FALSE),"")</f>
        <v/>
      </c>
      <c r="I177" t="str">
        <f>IFERROR(VLOOKUP(E177,Control_Actividades!A:C,3,FALSE),"")</f>
        <v/>
      </c>
      <c r="J177" s="3" t="e">
        <f t="shared" si="83"/>
        <v>#VALUE!</v>
      </c>
    </row>
    <row r="178" spans="1:13" hidden="1" x14ac:dyDescent="0.3">
      <c r="A178" s="2">
        <v>46074</v>
      </c>
      <c r="B178">
        <f t="shared" ref="B178" si="92">_xlfn.SINGLE(WEEKNUM(A178,2))</f>
        <v>8</v>
      </c>
      <c r="C178" t="s">
        <v>36</v>
      </c>
      <c r="G178" t="str">
        <f>IFERROR(VLOOKUP(E178,Control_Actividades!A:C,2,FALSE),"")</f>
        <v/>
      </c>
      <c r="I178" t="str">
        <f>IFERROR(VLOOKUP(E178,Control_Actividades!A:C,3,FALSE),"")</f>
        <v/>
      </c>
      <c r="J178" s="3" t="e">
        <f t="shared" si="83"/>
        <v>#VALUE!</v>
      </c>
    </row>
    <row r="179" spans="1:13" hidden="1" x14ac:dyDescent="0.3">
      <c r="A179" s="2">
        <v>46074</v>
      </c>
      <c r="B179">
        <f t="shared" ref="B179" si="93">WEEKNUM(A179,2)</f>
        <v>8</v>
      </c>
      <c r="C179" t="s">
        <v>37</v>
      </c>
      <c r="G179" t="str">
        <f>IFERROR(VLOOKUP(E179,Control_Actividades!A:C,2,FALSE),"")</f>
        <v/>
      </c>
      <c r="I179" t="str">
        <f>IFERROR(VLOOKUP(E179,Control_Actividades!A:C,3,FALSE),"")</f>
        <v/>
      </c>
      <c r="J179" s="3" t="e">
        <f t="shared" si="83"/>
        <v>#VALUE!</v>
      </c>
    </row>
    <row r="180" spans="1:13" hidden="1" x14ac:dyDescent="0.3">
      <c r="A180" s="2">
        <v>46074</v>
      </c>
      <c r="B180">
        <f t="shared" ref="B180" si="94">_xlfn.SINGLE(WEEKNUM(A180,2))</f>
        <v>8</v>
      </c>
      <c r="C180" t="s">
        <v>38</v>
      </c>
      <c r="E180" t="s">
        <v>10</v>
      </c>
      <c r="F180" t="s">
        <v>25</v>
      </c>
      <c r="G180" t="str">
        <f>IFERROR(VLOOKUP(E180,Control_Actividades!A:C,2,FALSE),"")</f>
        <v>Quintal</v>
      </c>
      <c r="H180">
        <v>1</v>
      </c>
      <c r="I180">
        <f>IFERROR(VLOOKUP(E180,Control_Actividades!A:C,3,FALSE),"")</f>
        <v>70</v>
      </c>
      <c r="J180" s="3">
        <f t="shared" si="83"/>
        <v>70</v>
      </c>
    </row>
    <row r="181" spans="1:13" x14ac:dyDescent="0.3">
      <c r="A181" s="2">
        <v>46074</v>
      </c>
      <c r="B181">
        <f t="shared" ref="B181" si="95">WEEKNUM(A181,2)</f>
        <v>8</v>
      </c>
      <c r="C181" t="s">
        <v>39</v>
      </c>
      <c r="E181" t="s">
        <v>17</v>
      </c>
      <c r="F181" t="s">
        <v>50</v>
      </c>
      <c r="G181" t="str">
        <f>IFERROR(VLOOKUP(E181,Control_Actividades!A:C,2,FALSE),"")</f>
        <v>Manzana</v>
      </c>
      <c r="H181">
        <v>1.33</v>
      </c>
      <c r="I181">
        <f>IFERROR(VLOOKUP(E181,Control_Actividades!A:C,3,FALSE),"")</f>
        <v>110</v>
      </c>
      <c r="J181" s="3">
        <f t="shared" si="83"/>
        <v>146.30000000000001</v>
      </c>
      <c r="M181" s="12"/>
    </row>
    <row r="182" spans="1:13" hidden="1" x14ac:dyDescent="0.3">
      <c r="A182" s="2">
        <v>46074</v>
      </c>
      <c r="B182">
        <f t="shared" ref="B182" si="96">_xlfn.SINGLE(WEEKNUM(A182,2))</f>
        <v>8</v>
      </c>
      <c r="C182" t="s">
        <v>40</v>
      </c>
      <c r="E182" t="s">
        <v>10</v>
      </c>
      <c r="F182" t="s">
        <v>25</v>
      </c>
      <c r="G182" t="str">
        <f>IFERROR(VLOOKUP(E182,Control_Actividades!A:C,2,FALSE),"")</f>
        <v>Quintal</v>
      </c>
      <c r="H182">
        <v>1.1499999999999999</v>
      </c>
      <c r="I182">
        <f>IFERROR(VLOOKUP(E182,Control_Actividades!A:C,3,FALSE),"")</f>
        <v>70</v>
      </c>
      <c r="J182" s="3">
        <f t="shared" si="83"/>
        <v>80.5</v>
      </c>
    </row>
    <row r="183" spans="1:13" hidden="1" x14ac:dyDescent="0.3">
      <c r="A183" s="2">
        <v>46074</v>
      </c>
      <c r="B183">
        <f t="shared" ref="B183" si="97">WEEKNUM(A183,2)</f>
        <v>8</v>
      </c>
      <c r="C183" t="s">
        <v>41</v>
      </c>
      <c r="E183" t="s">
        <v>48</v>
      </c>
      <c r="F183" t="s">
        <v>49</v>
      </c>
      <c r="G183" t="str">
        <f>IFERROR(VLOOKUP(E183,Control_Actividades!A:C,2,FALSE),"")</f>
        <v>Dia</v>
      </c>
      <c r="H183">
        <v>1</v>
      </c>
      <c r="I183">
        <f>IFERROR(VLOOKUP(E183,Control_Actividades!A:C,3,FALSE),"")</f>
        <v>100</v>
      </c>
      <c r="J183" s="3">
        <f t="shared" si="83"/>
        <v>100</v>
      </c>
    </row>
    <row r="184" spans="1:13" hidden="1" x14ac:dyDescent="0.3">
      <c r="A184" s="2">
        <v>46074</v>
      </c>
      <c r="B184">
        <f t="shared" ref="B184" si="98">_xlfn.SINGLE(WEEKNUM(A184,2))</f>
        <v>8</v>
      </c>
      <c r="C184" t="s">
        <v>42</v>
      </c>
      <c r="G184" t="str">
        <f>IFERROR(VLOOKUP(E184,Control_Actividades!A:C,2,FALSE),"")</f>
        <v/>
      </c>
      <c r="I184" t="str">
        <f>IFERROR(VLOOKUP(E184,Control_Actividades!A:C,3,FALSE),"")</f>
        <v/>
      </c>
      <c r="J184" s="3" t="e">
        <f t="shared" si="83"/>
        <v>#VALUE!</v>
      </c>
    </row>
    <row r="185" spans="1:13" hidden="1" x14ac:dyDescent="0.3">
      <c r="A185" s="2">
        <v>46074</v>
      </c>
      <c r="B185">
        <f t="shared" ref="B185" si="99">WEEKNUM(A185,2)</f>
        <v>8</v>
      </c>
      <c r="C185" t="s">
        <v>43</v>
      </c>
      <c r="E185" t="s">
        <v>48</v>
      </c>
      <c r="F185" t="s">
        <v>49</v>
      </c>
      <c r="G185" t="str">
        <f>IFERROR(VLOOKUP(E185,Control_Actividades!A:C,2,FALSE),"")</f>
        <v>Dia</v>
      </c>
      <c r="H185">
        <v>1</v>
      </c>
      <c r="I185">
        <f>IFERROR(VLOOKUP(E185,Control_Actividades!A:C,3,FALSE),"")</f>
        <v>100</v>
      </c>
      <c r="J185" s="3">
        <f t="shared" si="83"/>
        <v>100</v>
      </c>
    </row>
    <row r="186" spans="1:13" hidden="1" x14ac:dyDescent="0.3">
      <c r="A186" s="2">
        <v>46074</v>
      </c>
      <c r="B186">
        <f t="shared" ref="B186" si="100">_xlfn.SINGLE(WEEKNUM(A186,2))</f>
        <v>8</v>
      </c>
      <c r="C186" t="s">
        <v>44</v>
      </c>
      <c r="E186" t="s">
        <v>48</v>
      </c>
      <c r="F186" t="s">
        <v>49</v>
      </c>
      <c r="G186" t="str">
        <f>IFERROR(VLOOKUP(E186,Control_Actividades!A:C,2,FALSE),"")</f>
        <v>Dia</v>
      </c>
      <c r="H186">
        <v>1</v>
      </c>
      <c r="I186">
        <f>IFERROR(VLOOKUP(E186,Control_Actividades!A:C,3,FALSE),"")</f>
        <v>100</v>
      </c>
      <c r="J186" s="3">
        <f t="shared" si="83"/>
        <v>100</v>
      </c>
    </row>
    <row r="187" spans="1:13" x14ac:dyDescent="0.3">
      <c r="A187" s="2">
        <v>46074</v>
      </c>
      <c r="B187">
        <f t="shared" ref="B187" si="101">WEEKNUM(A187,2)</f>
        <v>8</v>
      </c>
      <c r="C187" t="s">
        <v>45</v>
      </c>
      <c r="E187" t="s">
        <v>10</v>
      </c>
      <c r="F187" t="s">
        <v>25</v>
      </c>
      <c r="G187" t="str">
        <f>IFERROR(VLOOKUP(E187,Control_Actividades!A:C,2,FALSE),"")</f>
        <v>Quintal</v>
      </c>
      <c r="H187">
        <v>1.1000000000000001</v>
      </c>
      <c r="I187">
        <f>IFERROR(VLOOKUP(E187,Control_Actividades!A:C,3,FALSE),"")</f>
        <v>70</v>
      </c>
      <c r="J187" s="3">
        <f t="shared" si="83"/>
        <v>77</v>
      </c>
    </row>
    <row r="188" spans="1:13" hidden="1" x14ac:dyDescent="0.3">
      <c r="A188" s="2">
        <v>46074</v>
      </c>
      <c r="B188">
        <f t="shared" ref="B188" si="102">_xlfn.SINGLE(WEEKNUM(A188,2))</f>
        <v>8</v>
      </c>
      <c r="C188" t="s">
        <v>46</v>
      </c>
      <c r="E188" t="s">
        <v>10</v>
      </c>
      <c r="F188" t="s">
        <v>25</v>
      </c>
      <c r="G188" t="str">
        <f>IFERROR(VLOOKUP(E188,Control_Actividades!A:C,2,FALSE),"")</f>
        <v>Quintal</v>
      </c>
      <c r="H188">
        <v>1.4</v>
      </c>
      <c r="I188">
        <f>IFERROR(VLOOKUP(E188,Control_Actividades!A:C,3,FALSE),"")</f>
        <v>70</v>
      </c>
      <c r="J188" s="3">
        <f t="shared" si="83"/>
        <v>98</v>
      </c>
    </row>
    <row r="189" spans="1:13" hidden="1" x14ac:dyDescent="0.3">
      <c r="A189" s="5">
        <v>46074</v>
      </c>
      <c r="B189" s="6">
        <f t="shared" ref="B189" si="103">WEEKNUM(A189,2)</f>
        <v>8</v>
      </c>
      <c r="C189" s="6" t="s">
        <v>47</v>
      </c>
      <c r="D189" s="6"/>
      <c r="E189" s="6" t="s">
        <v>10</v>
      </c>
      <c r="F189" s="6" t="s">
        <v>25</v>
      </c>
      <c r="G189" s="6" t="str">
        <f>IFERROR(VLOOKUP(E189,Control_Actividades!A:C,2,FALSE),"")</f>
        <v>Quintal</v>
      </c>
      <c r="H189" s="6">
        <v>0.8</v>
      </c>
      <c r="I189" s="6">
        <f>IFERROR(VLOOKUP(E189,Control_Actividades!A:C,3,FALSE),"")</f>
        <v>70</v>
      </c>
      <c r="J189" s="10">
        <f t="shared" si="83"/>
        <v>56</v>
      </c>
    </row>
    <row r="190" spans="1:13" hidden="1" x14ac:dyDescent="0.3">
      <c r="A190" s="2">
        <v>46075</v>
      </c>
      <c r="B190">
        <f t="shared" ref="B190" si="104">_xlfn.SINGLE(WEEKNUM(A190,2))</f>
        <v>8</v>
      </c>
      <c r="C190" t="s">
        <v>27</v>
      </c>
      <c r="E190" t="s">
        <v>54</v>
      </c>
      <c r="F190" t="s">
        <v>49</v>
      </c>
      <c r="G190" t="str">
        <f>IFERROR(VLOOKUP(E190,Control_Actividades!A:C,2,FALSE),"")</f>
        <v>Dia</v>
      </c>
      <c r="H190">
        <v>1</v>
      </c>
      <c r="I190">
        <f>IFERROR(VLOOKUP(E190,Control_Actividades!A:C,3,FALSE),"")</f>
        <v>130</v>
      </c>
      <c r="J190" s="3">
        <f t="shared" si="83"/>
        <v>130</v>
      </c>
    </row>
    <row r="191" spans="1:13" hidden="1" x14ac:dyDescent="0.3">
      <c r="A191" s="2">
        <v>46075</v>
      </c>
      <c r="B191">
        <f t="shared" ref="B191" si="105">WEEKNUM(A191,2)</f>
        <v>8</v>
      </c>
      <c r="C191" t="s">
        <v>41</v>
      </c>
      <c r="E191" t="s">
        <v>48</v>
      </c>
      <c r="F191" t="s">
        <v>49</v>
      </c>
      <c r="G191" t="str">
        <f>IFERROR(VLOOKUP(E191,Control_Actividades!A:C,2,FALSE),"")</f>
        <v>Dia</v>
      </c>
      <c r="H191">
        <v>1</v>
      </c>
      <c r="I191">
        <f>IFERROR(VLOOKUP(E191,Control_Actividades!A:C,3,FALSE),"")</f>
        <v>100</v>
      </c>
      <c r="J191" s="3">
        <f t="shared" si="83"/>
        <v>100</v>
      </c>
    </row>
    <row r="192" spans="1:13" hidden="1" x14ac:dyDescent="0.3">
      <c r="A192" s="5">
        <v>46075</v>
      </c>
      <c r="B192" s="6">
        <f t="shared" ref="B192" si="106">_xlfn.SINGLE(WEEKNUM(A192,2))</f>
        <v>8</v>
      </c>
      <c r="C192" s="6" t="s">
        <v>43</v>
      </c>
      <c r="D192" s="6"/>
      <c r="E192" s="6" t="s">
        <v>48</v>
      </c>
      <c r="F192" s="6" t="s">
        <v>49</v>
      </c>
      <c r="G192" s="6" t="str">
        <f>IFERROR(VLOOKUP(E192,Control_Actividades!A:C,2,FALSE),"")</f>
        <v>Dia</v>
      </c>
      <c r="H192" s="6">
        <v>1</v>
      </c>
      <c r="I192" s="6">
        <f>IFERROR(VLOOKUP(E192,Control_Actividades!A:C,3,FALSE),"")</f>
        <v>100</v>
      </c>
      <c r="J192" s="10">
        <f t="shared" si="83"/>
        <v>100</v>
      </c>
    </row>
    <row r="193" spans="1:10" hidden="1" x14ac:dyDescent="0.3">
      <c r="A193" s="2">
        <v>46076</v>
      </c>
      <c r="B193">
        <f t="shared" ref="B193" si="107">WEEKNUM(A193,2)</f>
        <v>9</v>
      </c>
      <c r="C193" t="s">
        <v>22</v>
      </c>
      <c r="E193" t="s">
        <v>23</v>
      </c>
      <c r="F193" t="s">
        <v>25</v>
      </c>
      <c r="G193" t="str">
        <f>IFERROR(VLOOKUP(E193,Control_Actividades!A:C,2,FALSE),"")</f>
        <v>Dia</v>
      </c>
      <c r="H193">
        <v>1</v>
      </c>
      <c r="I193">
        <f>IFERROR(VLOOKUP(E193,Control_Actividades!A:C,3,FALSE),"")</f>
        <v>100</v>
      </c>
      <c r="J193" s="3">
        <f t="shared" si="83"/>
        <v>100</v>
      </c>
    </row>
    <row r="194" spans="1:10" hidden="1" x14ac:dyDescent="0.3">
      <c r="A194" s="2">
        <v>46076</v>
      </c>
      <c r="B194">
        <f t="shared" ref="B194" si="108">_xlfn.SINGLE(WEEKNUM(A194,2))</f>
        <v>9</v>
      </c>
      <c r="C194" t="s">
        <v>27</v>
      </c>
      <c r="E194" t="s">
        <v>54</v>
      </c>
      <c r="F194" t="s">
        <v>49</v>
      </c>
      <c r="G194" t="str">
        <f>IFERROR(VLOOKUP(E194,Control_Actividades!A:C,2,FALSE),"")</f>
        <v>Dia</v>
      </c>
      <c r="H194">
        <v>1</v>
      </c>
      <c r="I194">
        <f>IFERROR(VLOOKUP(E194,Control_Actividades!A:C,3,FALSE),"")</f>
        <v>130</v>
      </c>
      <c r="J194" s="3">
        <f t="shared" ref="J194:J257" si="109">H194*I194</f>
        <v>130</v>
      </c>
    </row>
    <row r="195" spans="1:10" hidden="1" x14ac:dyDescent="0.3">
      <c r="A195" s="2">
        <v>46076</v>
      </c>
      <c r="B195">
        <f t="shared" ref="B195" si="110">WEEKNUM(A195,2)</f>
        <v>9</v>
      </c>
      <c r="C195" t="s">
        <v>28</v>
      </c>
      <c r="E195" t="s">
        <v>10</v>
      </c>
      <c r="F195" t="s">
        <v>25</v>
      </c>
      <c r="G195" t="str">
        <f>IFERROR(VLOOKUP(E195,Control_Actividades!A:C,2,FALSE),"")</f>
        <v>Quintal</v>
      </c>
      <c r="H195">
        <v>2</v>
      </c>
      <c r="I195">
        <f>IFERROR(VLOOKUP(E195,Control_Actividades!A:C,3,FALSE),"")</f>
        <v>70</v>
      </c>
      <c r="J195" s="3">
        <f t="shared" si="109"/>
        <v>140</v>
      </c>
    </row>
    <row r="196" spans="1:10" hidden="1" x14ac:dyDescent="0.3">
      <c r="A196" s="2">
        <v>46076</v>
      </c>
      <c r="B196">
        <f t="shared" si="86"/>
        <v>9</v>
      </c>
      <c r="C196" t="s">
        <v>29</v>
      </c>
      <c r="E196" t="s">
        <v>10</v>
      </c>
      <c r="F196" t="s">
        <v>25</v>
      </c>
      <c r="G196" t="str">
        <f>IFERROR(VLOOKUP(E196,Control_Actividades!A:C,2,FALSE),"")</f>
        <v>Quintal</v>
      </c>
      <c r="H196">
        <v>2</v>
      </c>
      <c r="I196">
        <f>IFERROR(VLOOKUP(E196,Control_Actividades!A:C,3,FALSE),"")</f>
        <v>70</v>
      </c>
      <c r="J196" s="3">
        <f t="shared" si="109"/>
        <v>140</v>
      </c>
    </row>
    <row r="197" spans="1:10" hidden="1" x14ac:dyDescent="0.3">
      <c r="A197" s="2">
        <v>46076</v>
      </c>
      <c r="B197">
        <f t="shared" si="87"/>
        <v>9</v>
      </c>
      <c r="C197" t="s">
        <v>26</v>
      </c>
      <c r="E197" t="s">
        <v>10</v>
      </c>
      <c r="F197" t="s">
        <v>25</v>
      </c>
      <c r="G197" t="str">
        <f>IFERROR(VLOOKUP(E197,Control_Actividades!A:C,2,FALSE),"")</f>
        <v>Quintal</v>
      </c>
      <c r="H197">
        <v>1.55</v>
      </c>
      <c r="I197">
        <f>IFERROR(VLOOKUP(E197,Control_Actividades!A:C,3,FALSE),"")</f>
        <v>70</v>
      </c>
      <c r="J197" s="3">
        <f t="shared" si="109"/>
        <v>108.5</v>
      </c>
    </row>
    <row r="198" spans="1:10" hidden="1" x14ac:dyDescent="0.3">
      <c r="A198" s="2">
        <v>46076</v>
      </c>
      <c r="B198">
        <f t="shared" si="88"/>
        <v>9</v>
      </c>
      <c r="C198" t="s">
        <v>30</v>
      </c>
      <c r="E198" t="s">
        <v>10</v>
      </c>
      <c r="F198" t="s">
        <v>25</v>
      </c>
      <c r="G198" t="str">
        <f>IFERROR(VLOOKUP(E198,Control_Actividades!A:C,2,FALSE),"")</f>
        <v>Quintal</v>
      </c>
      <c r="H198">
        <v>1.3</v>
      </c>
      <c r="I198">
        <f>IFERROR(VLOOKUP(E198,Control_Actividades!A:C,3,FALSE),"")</f>
        <v>70</v>
      </c>
      <c r="J198" s="3">
        <f t="shared" si="109"/>
        <v>91</v>
      </c>
    </row>
    <row r="199" spans="1:10" hidden="1" x14ac:dyDescent="0.3">
      <c r="A199" s="2">
        <v>46076</v>
      </c>
      <c r="B199">
        <f t="shared" si="89"/>
        <v>9</v>
      </c>
      <c r="C199" t="s">
        <v>31</v>
      </c>
      <c r="E199" t="s">
        <v>10</v>
      </c>
      <c r="F199" t="s">
        <v>25</v>
      </c>
      <c r="G199" t="str">
        <f>IFERROR(VLOOKUP(E199,Control_Actividades!A:C,2,FALSE),"")</f>
        <v>Quintal</v>
      </c>
      <c r="H199">
        <v>1.7</v>
      </c>
      <c r="I199">
        <f>IFERROR(VLOOKUP(E199,Control_Actividades!A:C,3,FALSE),"")</f>
        <v>70</v>
      </c>
      <c r="J199" s="3">
        <f t="shared" si="109"/>
        <v>119</v>
      </c>
    </row>
    <row r="200" spans="1:10" hidden="1" x14ac:dyDescent="0.3">
      <c r="A200" s="2">
        <v>46076</v>
      </c>
      <c r="B200">
        <f t="shared" si="90"/>
        <v>9</v>
      </c>
      <c r="C200" t="s">
        <v>32</v>
      </c>
      <c r="E200" t="s">
        <v>48</v>
      </c>
      <c r="F200" t="s">
        <v>49</v>
      </c>
      <c r="G200" t="str">
        <f>IFERROR(VLOOKUP(E200,Control_Actividades!A:C,2,FALSE),"")</f>
        <v>Dia</v>
      </c>
      <c r="H200">
        <v>1</v>
      </c>
      <c r="I200">
        <f>IFERROR(VLOOKUP(E200,Control_Actividades!A:C,3,FALSE),"")</f>
        <v>100</v>
      </c>
      <c r="J200" s="3">
        <f t="shared" si="109"/>
        <v>100</v>
      </c>
    </row>
    <row r="201" spans="1:10" hidden="1" x14ac:dyDescent="0.3">
      <c r="A201" s="2">
        <v>46076</v>
      </c>
      <c r="B201">
        <f t="shared" ref="B201:B209" si="111">WEEKNUM(A201,2)</f>
        <v>9</v>
      </c>
      <c r="C201" t="s">
        <v>33</v>
      </c>
      <c r="E201" t="s">
        <v>10</v>
      </c>
      <c r="F201" t="s">
        <v>25</v>
      </c>
      <c r="G201" t="str">
        <f>IFERROR(VLOOKUP(E201,Control_Actividades!A:C,2,FALSE),"")</f>
        <v>Quintal</v>
      </c>
      <c r="H201">
        <v>1.75</v>
      </c>
      <c r="I201">
        <f>IFERROR(VLOOKUP(E201,Control_Actividades!A:C,3,FALSE),"")</f>
        <v>70</v>
      </c>
      <c r="J201" s="3">
        <f t="shared" si="109"/>
        <v>122.5</v>
      </c>
    </row>
    <row r="202" spans="1:10" hidden="1" x14ac:dyDescent="0.3">
      <c r="A202" s="2">
        <v>46076</v>
      </c>
      <c r="B202">
        <f t="shared" ref="B202:B210" si="112">_xlfn.SINGLE(WEEKNUM(A202,2))</f>
        <v>9</v>
      </c>
      <c r="C202" t="s">
        <v>34</v>
      </c>
      <c r="E202" t="s">
        <v>10</v>
      </c>
      <c r="F202" t="s">
        <v>25</v>
      </c>
      <c r="G202" t="str">
        <f>IFERROR(VLOOKUP(E202,Control_Actividades!A:C,2,FALSE),"")</f>
        <v>Quintal</v>
      </c>
      <c r="H202">
        <v>1.45</v>
      </c>
      <c r="I202">
        <f>IFERROR(VLOOKUP(E202,Control_Actividades!A:C,3,FALSE),"")</f>
        <v>70</v>
      </c>
      <c r="J202" s="3">
        <f t="shared" si="109"/>
        <v>101.5</v>
      </c>
    </row>
    <row r="203" spans="1:10" hidden="1" x14ac:dyDescent="0.3">
      <c r="A203" s="2">
        <v>46076</v>
      </c>
      <c r="B203">
        <f t="shared" ref="B203:B211" si="113">WEEKNUM(A203,2)</f>
        <v>9</v>
      </c>
      <c r="C203" t="s">
        <v>35</v>
      </c>
      <c r="E203" t="s">
        <v>10</v>
      </c>
      <c r="F203" t="s">
        <v>25</v>
      </c>
      <c r="G203" t="str">
        <f>IFERROR(VLOOKUP(E203,Control_Actividades!A:C,2,FALSE),"")</f>
        <v>Quintal</v>
      </c>
      <c r="H203">
        <v>2</v>
      </c>
      <c r="I203">
        <f>IFERROR(VLOOKUP(E203,Control_Actividades!A:C,3,FALSE),"")</f>
        <v>70</v>
      </c>
      <c r="J203" s="3">
        <f t="shared" si="109"/>
        <v>140</v>
      </c>
    </row>
    <row r="204" spans="1:10" hidden="1" x14ac:dyDescent="0.3">
      <c r="A204" s="2">
        <v>46076</v>
      </c>
      <c r="B204">
        <f t="shared" ref="B204:B212" si="114">_xlfn.SINGLE(WEEKNUM(A204,2))</f>
        <v>9</v>
      </c>
      <c r="C204" t="s">
        <v>36</v>
      </c>
      <c r="G204" t="str">
        <f>IFERROR(VLOOKUP(E204,Control_Actividades!A:C,2,FALSE),"")</f>
        <v/>
      </c>
      <c r="I204" t="str">
        <f>IFERROR(VLOOKUP(E204,Control_Actividades!A:C,3,FALSE),"")</f>
        <v/>
      </c>
      <c r="J204" s="3" t="e">
        <f t="shared" si="109"/>
        <v>#VALUE!</v>
      </c>
    </row>
    <row r="205" spans="1:10" hidden="1" x14ac:dyDescent="0.3">
      <c r="A205" s="2">
        <v>46076</v>
      </c>
      <c r="B205">
        <f t="shared" ref="B205:B213" si="115">WEEKNUM(A205,2)</f>
        <v>9</v>
      </c>
      <c r="C205" t="s">
        <v>37</v>
      </c>
      <c r="G205" t="str">
        <f>IFERROR(VLOOKUP(E205,Control_Actividades!A:C,2,FALSE),"")</f>
        <v/>
      </c>
      <c r="I205" t="str">
        <f>IFERROR(VLOOKUP(E205,Control_Actividades!A:C,3,FALSE),"")</f>
        <v/>
      </c>
      <c r="J205" s="3" t="e">
        <f t="shared" si="109"/>
        <v>#VALUE!</v>
      </c>
    </row>
    <row r="206" spans="1:10" hidden="1" x14ac:dyDescent="0.3">
      <c r="A206" s="2">
        <v>46076</v>
      </c>
      <c r="B206">
        <f t="shared" ref="B206:B214" si="116">_xlfn.SINGLE(WEEKNUM(A206,2))</f>
        <v>9</v>
      </c>
      <c r="C206" t="s">
        <v>38</v>
      </c>
      <c r="E206" t="s">
        <v>10</v>
      </c>
      <c r="F206" t="s">
        <v>25</v>
      </c>
      <c r="G206" t="str">
        <f>IFERROR(VLOOKUP(E206,Control_Actividades!A:C,2,FALSE),"")</f>
        <v>Quintal</v>
      </c>
      <c r="H206">
        <v>1.3</v>
      </c>
      <c r="I206">
        <f>IFERROR(VLOOKUP(E206,Control_Actividades!A:C,3,FALSE),"")</f>
        <v>70</v>
      </c>
      <c r="J206" s="3">
        <f t="shared" si="109"/>
        <v>91</v>
      </c>
    </row>
    <row r="207" spans="1:10" x14ac:dyDescent="0.3">
      <c r="A207" s="2">
        <v>46076</v>
      </c>
      <c r="B207">
        <f t="shared" ref="B207:B262" si="117">WEEKNUM(A207,2)</f>
        <v>9</v>
      </c>
      <c r="C207" t="s">
        <v>39</v>
      </c>
      <c r="E207" t="s">
        <v>17</v>
      </c>
      <c r="F207" t="s">
        <v>50</v>
      </c>
      <c r="G207" t="str">
        <f>IFERROR(VLOOKUP(E207,Control_Actividades!A:C,2,FALSE),"")</f>
        <v>Manzana</v>
      </c>
      <c r="H207">
        <v>1.33</v>
      </c>
      <c r="I207">
        <f>IFERROR(VLOOKUP(E207,Control_Actividades!A:C,3,FALSE),"")</f>
        <v>110</v>
      </c>
      <c r="J207" s="3">
        <f t="shared" si="109"/>
        <v>146.30000000000001</v>
      </c>
    </row>
    <row r="208" spans="1:10" hidden="1" x14ac:dyDescent="0.3">
      <c r="A208" s="2">
        <v>46076</v>
      </c>
      <c r="B208">
        <f t="shared" ref="B208" si="118">_xlfn.SINGLE(WEEKNUM(A208,2))</f>
        <v>9</v>
      </c>
      <c r="C208" t="s">
        <v>40</v>
      </c>
      <c r="G208" t="str">
        <f>IFERROR(VLOOKUP(E208,Control_Actividades!A:C,2,FALSE),"")</f>
        <v/>
      </c>
      <c r="I208" t="str">
        <f>IFERROR(VLOOKUP(E208,Control_Actividades!A:C,3,FALSE),"")</f>
        <v/>
      </c>
      <c r="J208" s="3" t="e">
        <f t="shared" si="109"/>
        <v>#VALUE!</v>
      </c>
    </row>
    <row r="209" spans="1:10" hidden="1" x14ac:dyDescent="0.3">
      <c r="A209" s="2">
        <v>46076</v>
      </c>
      <c r="B209">
        <f t="shared" si="111"/>
        <v>9</v>
      </c>
      <c r="C209" t="s">
        <v>41</v>
      </c>
      <c r="E209" t="s">
        <v>48</v>
      </c>
      <c r="F209" t="s">
        <v>49</v>
      </c>
      <c r="G209" t="str">
        <f>IFERROR(VLOOKUP(E209,Control_Actividades!A:C,2,FALSE),"")</f>
        <v>Dia</v>
      </c>
      <c r="H209">
        <v>1</v>
      </c>
      <c r="I209">
        <f>IFERROR(VLOOKUP(E209,Control_Actividades!A:C,3,FALSE),"")</f>
        <v>100</v>
      </c>
      <c r="J209" s="3">
        <f t="shared" si="109"/>
        <v>100</v>
      </c>
    </row>
    <row r="210" spans="1:10" hidden="1" x14ac:dyDescent="0.3">
      <c r="A210" s="2">
        <v>46076</v>
      </c>
      <c r="B210">
        <f t="shared" si="112"/>
        <v>9</v>
      </c>
      <c r="C210" t="s">
        <v>42</v>
      </c>
      <c r="E210" t="s">
        <v>10</v>
      </c>
      <c r="F210" t="s">
        <v>25</v>
      </c>
      <c r="G210" t="str">
        <f>IFERROR(VLOOKUP(E210,Control_Actividades!A:C,2,FALSE),"")</f>
        <v>Quintal</v>
      </c>
      <c r="H210">
        <v>1.55</v>
      </c>
      <c r="I210">
        <f>IFERROR(VLOOKUP(E210,Control_Actividades!A:C,3,FALSE),"")</f>
        <v>70</v>
      </c>
      <c r="J210" s="3">
        <f t="shared" si="109"/>
        <v>108.5</v>
      </c>
    </row>
    <row r="211" spans="1:10" hidden="1" x14ac:dyDescent="0.3">
      <c r="A211" s="2">
        <v>46076</v>
      </c>
      <c r="B211">
        <f t="shared" si="113"/>
        <v>9</v>
      </c>
      <c r="C211" t="s">
        <v>43</v>
      </c>
      <c r="E211" t="s">
        <v>48</v>
      </c>
      <c r="F211" t="s">
        <v>49</v>
      </c>
      <c r="G211" t="str">
        <f>IFERROR(VLOOKUP(E211,Control_Actividades!A:C,2,FALSE),"")</f>
        <v>Dia</v>
      </c>
      <c r="H211">
        <v>1</v>
      </c>
      <c r="I211">
        <f>IFERROR(VLOOKUP(E211,Control_Actividades!A:C,3,FALSE),"")</f>
        <v>100</v>
      </c>
      <c r="J211" s="3">
        <f t="shared" si="109"/>
        <v>100</v>
      </c>
    </row>
    <row r="212" spans="1:10" hidden="1" x14ac:dyDescent="0.3">
      <c r="A212" s="2">
        <v>46076</v>
      </c>
      <c r="B212">
        <f t="shared" si="114"/>
        <v>9</v>
      </c>
      <c r="C212" t="s">
        <v>44</v>
      </c>
      <c r="E212" t="s">
        <v>48</v>
      </c>
      <c r="F212" t="s">
        <v>49</v>
      </c>
      <c r="G212" t="str">
        <f>IFERROR(VLOOKUP(E212,Control_Actividades!A:C,2,FALSE),"")</f>
        <v>Dia</v>
      </c>
      <c r="H212">
        <v>1</v>
      </c>
      <c r="I212">
        <f>IFERROR(VLOOKUP(E212,Control_Actividades!A:C,3,FALSE),"")</f>
        <v>100</v>
      </c>
      <c r="J212" s="3">
        <f t="shared" si="109"/>
        <v>100</v>
      </c>
    </row>
    <row r="213" spans="1:10" hidden="1" x14ac:dyDescent="0.3">
      <c r="A213" s="2">
        <v>46076</v>
      </c>
      <c r="B213">
        <f t="shared" si="115"/>
        <v>9</v>
      </c>
      <c r="C213" t="s">
        <v>45</v>
      </c>
      <c r="E213" t="s">
        <v>10</v>
      </c>
      <c r="F213" t="s">
        <v>25</v>
      </c>
      <c r="G213" t="str">
        <f>IFERROR(VLOOKUP(E213,Control_Actividades!A:C,2,FALSE),"")</f>
        <v>Quintal</v>
      </c>
      <c r="H213">
        <v>0.95</v>
      </c>
      <c r="I213">
        <f>IFERROR(VLOOKUP(E213,Control_Actividades!A:C,3,FALSE),"")</f>
        <v>70</v>
      </c>
      <c r="J213" s="3">
        <f t="shared" si="109"/>
        <v>66.5</v>
      </c>
    </row>
    <row r="214" spans="1:10" hidden="1" x14ac:dyDescent="0.3">
      <c r="A214" s="2">
        <v>46076</v>
      </c>
      <c r="B214">
        <f t="shared" si="116"/>
        <v>9</v>
      </c>
      <c r="C214" t="s">
        <v>46</v>
      </c>
      <c r="E214" t="s">
        <v>10</v>
      </c>
      <c r="F214" t="s">
        <v>25</v>
      </c>
      <c r="G214" t="str">
        <f>IFERROR(VLOOKUP(E214,Control_Actividades!A:C,2,FALSE),"")</f>
        <v>Quintal</v>
      </c>
      <c r="H214">
        <v>3.23</v>
      </c>
      <c r="I214">
        <f>IFERROR(VLOOKUP(E214,Control_Actividades!A:C,3,FALSE),"")</f>
        <v>70</v>
      </c>
      <c r="J214" s="3">
        <v>235</v>
      </c>
    </row>
    <row r="215" spans="1:10" hidden="1" x14ac:dyDescent="0.3">
      <c r="A215" s="5">
        <v>46076</v>
      </c>
      <c r="B215" s="6">
        <f t="shared" si="117"/>
        <v>9</v>
      </c>
      <c r="C215" s="6" t="s">
        <v>47</v>
      </c>
      <c r="D215" s="6"/>
      <c r="E215" s="6" t="s">
        <v>10</v>
      </c>
      <c r="F215" s="6" t="s">
        <v>25</v>
      </c>
      <c r="G215" s="6" t="str">
        <f>IFERROR(VLOOKUP(E215,Control_Actividades!A:C,2,FALSE),"")</f>
        <v>Quintal</v>
      </c>
      <c r="H215" s="6">
        <v>1.25</v>
      </c>
      <c r="I215" s="6">
        <f>IFERROR(VLOOKUP(E215,Control_Actividades!A:C,3,FALSE),"")</f>
        <v>70</v>
      </c>
      <c r="J215" s="10">
        <f t="shared" si="109"/>
        <v>87.5</v>
      </c>
    </row>
    <row r="216" spans="1:10" hidden="1" x14ac:dyDescent="0.3">
      <c r="A216" s="2">
        <v>46077</v>
      </c>
      <c r="B216">
        <f t="shared" si="117"/>
        <v>9</v>
      </c>
      <c r="C216" t="s">
        <v>22</v>
      </c>
      <c r="E216" t="s">
        <v>23</v>
      </c>
      <c r="F216" t="s">
        <v>25</v>
      </c>
      <c r="G216" t="str">
        <f>IFERROR(VLOOKUP(E216,Control_Actividades!A:C,2,FALSE),"")</f>
        <v>Dia</v>
      </c>
      <c r="H216">
        <v>1</v>
      </c>
      <c r="I216">
        <f>IFERROR(VLOOKUP(E216,Control_Actividades!A:C,3,FALSE),"")</f>
        <v>100</v>
      </c>
      <c r="J216" s="3">
        <f t="shared" si="109"/>
        <v>100</v>
      </c>
    </row>
    <row r="217" spans="1:10" hidden="1" x14ac:dyDescent="0.3">
      <c r="A217" s="2">
        <v>46077</v>
      </c>
      <c r="B217">
        <f t="shared" ref="B217:B263" si="119">_xlfn.SINGLE(WEEKNUM(A217,2))</f>
        <v>9</v>
      </c>
      <c r="C217" t="s">
        <v>27</v>
      </c>
      <c r="E217" t="s">
        <v>53</v>
      </c>
      <c r="F217" t="s">
        <v>49</v>
      </c>
      <c r="G217" t="str">
        <f>IFERROR(VLOOKUP(E217,Control_Actividades!A:C,2,FALSE),"")</f>
        <v>Dia</v>
      </c>
      <c r="H217">
        <v>1</v>
      </c>
      <c r="I217">
        <f>IFERROR(VLOOKUP(E217,Control_Actividades!A:C,3,FALSE),"")</f>
        <v>130</v>
      </c>
      <c r="J217" s="3">
        <f t="shared" si="109"/>
        <v>130</v>
      </c>
    </row>
    <row r="218" spans="1:10" hidden="1" x14ac:dyDescent="0.3">
      <c r="A218" s="2">
        <v>46077</v>
      </c>
      <c r="B218">
        <f t="shared" ref="B218:B264" si="120">WEEKNUM(A218,2)</f>
        <v>9</v>
      </c>
      <c r="C218" t="s">
        <v>28</v>
      </c>
      <c r="E218" t="s">
        <v>10</v>
      </c>
      <c r="F218" t="s">
        <v>25</v>
      </c>
      <c r="G218" t="str">
        <f>IFERROR(VLOOKUP(E218,Control_Actividades!A:C,2,FALSE),"")</f>
        <v>Quintal</v>
      </c>
      <c r="H218">
        <v>0.9</v>
      </c>
      <c r="I218">
        <f>IFERROR(VLOOKUP(E218,Control_Actividades!A:C,3,FALSE),"")</f>
        <v>70</v>
      </c>
      <c r="J218" s="3">
        <f t="shared" si="109"/>
        <v>63</v>
      </c>
    </row>
    <row r="219" spans="1:10" hidden="1" x14ac:dyDescent="0.3">
      <c r="A219" s="2">
        <v>46077</v>
      </c>
      <c r="B219">
        <f t="shared" ref="B219:B265" si="121">_xlfn.SINGLE(WEEKNUM(A219,2))</f>
        <v>9</v>
      </c>
      <c r="C219" t="s">
        <v>29</v>
      </c>
      <c r="E219" t="s">
        <v>10</v>
      </c>
      <c r="F219" t="s">
        <v>25</v>
      </c>
      <c r="G219" t="str">
        <f>IFERROR(VLOOKUP(E219,Control_Actividades!A:C,2,FALSE),"")</f>
        <v>Quintal</v>
      </c>
      <c r="H219">
        <v>1</v>
      </c>
      <c r="I219">
        <f>IFERROR(VLOOKUP(E219,Control_Actividades!A:C,3,FALSE),"")</f>
        <v>70</v>
      </c>
      <c r="J219" s="3">
        <f t="shared" si="109"/>
        <v>70</v>
      </c>
    </row>
    <row r="220" spans="1:10" hidden="1" x14ac:dyDescent="0.3">
      <c r="A220" s="2">
        <v>46077</v>
      </c>
      <c r="B220">
        <f t="shared" ref="B220:B266" si="122">WEEKNUM(A220,2)</f>
        <v>9</v>
      </c>
      <c r="C220" t="s">
        <v>26</v>
      </c>
      <c r="E220" t="s">
        <v>10</v>
      </c>
      <c r="F220" t="s">
        <v>25</v>
      </c>
      <c r="G220" t="str">
        <f>IFERROR(VLOOKUP(E220,Control_Actividades!A:C,2,FALSE),"")</f>
        <v>Quintal</v>
      </c>
      <c r="H220">
        <v>1.1499999999999999</v>
      </c>
      <c r="I220">
        <f>IFERROR(VLOOKUP(E220,Control_Actividades!A:C,3,FALSE),"")</f>
        <v>70</v>
      </c>
      <c r="J220" s="3">
        <f t="shared" si="109"/>
        <v>80.5</v>
      </c>
    </row>
    <row r="221" spans="1:10" hidden="1" x14ac:dyDescent="0.3">
      <c r="A221" s="2">
        <v>46077</v>
      </c>
      <c r="B221">
        <f t="shared" ref="B221:B267" si="123">_xlfn.SINGLE(WEEKNUM(A221,2))</f>
        <v>9</v>
      </c>
      <c r="C221" t="s">
        <v>30</v>
      </c>
      <c r="E221" t="s">
        <v>10</v>
      </c>
      <c r="F221" t="s">
        <v>25</v>
      </c>
      <c r="G221" t="str">
        <f>IFERROR(VLOOKUP(E221,Control_Actividades!A:C,2,FALSE),"")</f>
        <v>Quintal</v>
      </c>
      <c r="H221">
        <v>1.25</v>
      </c>
      <c r="I221">
        <f>IFERROR(VLOOKUP(E221,Control_Actividades!A:C,3,FALSE),"")</f>
        <v>70</v>
      </c>
      <c r="J221" s="3">
        <f t="shared" si="109"/>
        <v>87.5</v>
      </c>
    </row>
    <row r="222" spans="1:10" hidden="1" x14ac:dyDescent="0.3">
      <c r="A222" s="2">
        <v>46077</v>
      </c>
      <c r="B222">
        <f t="shared" ref="B222:B268" si="124">WEEKNUM(A222,2)</f>
        <v>9</v>
      </c>
      <c r="C222" t="s">
        <v>31</v>
      </c>
      <c r="E222" t="s">
        <v>10</v>
      </c>
      <c r="F222" t="s">
        <v>25</v>
      </c>
      <c r="G222" t="str">
        <f>IFERROR(VLOOKUP(E222,Control_Actividades!A:C,2,FALSE),"")</f>
        <v>Quintal</v>
      </c>
      <c r="H222">
        <v>1.55</v>
      </c>
      <c r="I222">
        <f>IFERROR(VLOOKUP(E222,Control_Actividades!A:C,3,FALSE),"")</f>
        <v>70</v>
      </c>
      <c r="J222" s="3">
        <f t="shared" si="109"/>
        <v>108.5</v>
      </c>
    </row>
    <row r="223" spans="1:10" hidden="1" x14ac:dyDescent="0.3">
      <c r="A223" s="2">
        <v>46077</v>
      </c>
      <c r="B223">
        <f t="shared" ref="B223:B269" si="125">_xlfn.SINGLE(WEEKNUM(A223,2))</f>
        <v>9</v>
      </c>
      <c r="C223" t="s">
        <v>32</v>
      </c>
      <c r="E223" t="s">
        <v>48</v>
      </c>
      <c r="F223" t="s">
        <v>49</v>
      </c>
      <c r="G223" t="str">
        <f>IFERROR(VLOOKUP(E223,Control_Actividades!A:C,2,FALSE),"")</f>
        <v>Dia</v>
      </c>
      <c r="H223">
        <v>1</v>
      </c>
      <c r="I223">
        <f>IFERROR(VLOOKUP(E223,Control_Actividades!A:C,3,FALSE),"")</f>
        <v>100</v>
      </c>
      <c r="J223" s="3">
        <f t="shared" si="109"/>
        <v>100</v>
      </c>
    </row>
    <row r="224" spans="1:10" hidden="1" x14ac:dyDescent="0.3">
      <c r="A224" s="2">
        <v>46077</v>
      </c>
      <c r="B224">
        <f t="shared" ref="B224:B278" si="126">WEEKNUM(A224,2)</f>
        <v>9</v>
      </c>
      <c r="C224" t="s">
        <v>33</v>
      </c>
      <c r="E224" t="s">
        <v>10</v>
      </c>
      <c r="F224" t="s">
        <v>25</v>
      </c>
      <c r="G224" t="str">
        <f>IFERROR(VLOOKUP(E224,Control_Actividades!A:C,2,FALSE),"")</f>
        <v>Quintal</v>
      </c>
      <c r="H224">
        <v>1.05</v>
      </c>
      <c r="I224">
        <f>IFERROR(VLOOKUP(E224,Control_Actividades!A:C,3,FALSE),"")</f>
        <v>70</v>
      </c>
      <c r="J224" s="3">
        <f t="shared" si="109"/>
        <v>73.5</v>
      </c>
    </row>
    <row r="225" spans="1:10" hidden="1" x14ac:dyDescent="0.3">
      <c r="A225" s="2">
        <v>46077</v>
      </c>
      <c r="B225">
        <f t="shared" ref="B225:B279" si="127">_xlfn.SINGLE(WEEKNUM(A225,2))</f>
        <v>9</v>
      </c>
      <c r="C225" t="s">
        <v>34</v>
      </c>
      <c r="E225" t="s">
        <v>10</v>
      </c>
      <c r="F225" t="s">
        <v>25</v>
      </c>
      <c r="G225" t="str">
        <f>IFERROR(VLOOKUP(E225,Control_Actividades!A:C,2,FALSE),"")</f>
        <v>Quintal</v>
      </c>
      <c r="H225">
        <v>0.7</v>
      </c>
      <c r="I225">
        <f>IFERROR(VLOOKUP(E225,Control_Actividades!A:C,3,FALSE),"")</f>
        <v>70</v>
      </c>
      <c r="J225" s="3">
        <f t="shared" si="109"/>
        <v>49</v>
      </c>
    </row>
    <row r="226" spans="1:10" hidden="1" x14ac:dyDescent="0.3">
      <c r="A226" s="2">
        <v>46077</v>
      </c>
      <c r="B226">
        <f t="shared" ref="B226:B280" si="128">WEEKNUM(A226,2)</f>
        <v>9</v>
      </c>
      <c r="C226" t="s">
        <v>35</v>
      </c>
      <c r="E226" t="s">
        <v>10</v>
      </c>
      <c r="F226" t="s">
        <v>25</v>
      </c>
      <c r="G226" t="str">
        <f>IFERROR(VLOOKUP(E226,Control_Actividades!A:C,2,FALSE),"")</f>
        <v>Quintal</v>
      </c>
      <c r="H226">
        <v>1.2</v>
      </c>
      <c r="I226">
        <f>IFERROR(VLOOKUP(E226,Control_Actividades!A:C,3,FALSE),"")</f>
        <v>70</v>
      </c>
      <c r="J226" s="3">
        <f t="shared" si="109"/>
        <v>84</v>
      </c>
    </row>
    <row r="227" spans="1:10" hidden="1" x14ac:dyDescent="0.3">
      <c r="A227" s="2">
        <v>46077</v>
      </c>
      <c r="B227">
        <f t="shared" ref="B227:B281" si="129">_xlfn.SINGLE(WEEKNUM(A227,2))</f>
        <v>9</v>
      </c>
      <c r="C227" t="s">
        <v>36</v>
      </c>
      <c r="E227" t="s">
        <v>10</v>
      </c>
      <c r="F227" t="s">
        <v>25</v>
      </c>
      <c r="G227" t="str">
        <f>IFERROR(VLOOKUP(E227,Control_Actividades!A:C,2,FALSE),"")</f>
        <v>Quintal</v>
      </c>
      <c r="H227">
        <v>0.7</v>
      </c>
      <c r="I227">
        <f>IFERROR(VLOOKUP(E227,Control_Actividades!A:C,3,FALSE),"")</f>
        <v>70</v>
      </c>
      <c r="J227" s="3">
        <f t="shared" si="109"/>
        <v>49</v>
      </c>
    </row>
    <row r="228" spans="1:10" hidden="1" x14ac:dyDescent="0.3">
      <c r="A228" s="2">
        <v>46077</v>
      </c>
      <c r="B228">
        <f t="shared" ref="B228:B282" si="130">WEEKNUM(A228,2)</f>
        <v>9</v>
      </c>
      <c r="C228" t="s">
        <v>37</v>
      </c>
      <c r="E228" t="s">
        <v>10</v>
      </c>
      <c r="F228" t="s">
        <v>25</v>
      </c>
      <c r="G228" t="str">
        <f>IFERROR(VLOOKUP(E228,Control_Actividades!A:C,2,FALSE),"")</f>
        <v>Quintal</v>
      </c>
      <c r="H228">
        <v>0.7</v>
      </c>
      <c r="I228">
        <f>IFERROR(VLOOKUP(E228,Control_Actividades!A:C,3,FALSE),"")</f>
        <v>70</v>
      </c>
      <c r="J228" s="3">
        <f t="shared" si="109"/>
        <v>49</v>
      </c>
    </row>
    <row r="229" spans="1:10" hidden="1" x14ac:dyDescent="0.3">
      <c r="A229" s="2">
        <v>46077</v>
      </c>
      <c r="B229">
        <f t="shared" ref="B229:B283" si="131">_xlfn.SINGLE(WEEKNUM(A229,2))</f>
        <v>9</v>
      </c>
      <c r="C229" t="s">
        <v>38</v>
      </c>
      <c r="E229" t="s">
        <v>10</v>
      </c>
      <c r="F229" t="s">
        <v>25</v>
      </c>
      <c r="G229" t="str">
        <f>IFERROR(VLOOKUP(E229,Control_Actividades!A:C,2,FALSE),"")</f>
        <v>Quintal</v>
      </c>
      <c r="H229">
        <v>1.3</v>
      </c>
      <c r="I229">
        <f>IFERROR(VLOOKUP(E229,Control_Actividades!A:C,3,FALSE),"")</f>
        <v>70</v>
      </c>
      <c r="J229" s="3">
        <f t="shared" si="109"/>
        <v>91</v>
      </c>
    </row>
    <row r="230" spans="1:10" x14ac:dyDescent="0.3">
      <c r="A230" s="2">
        <v>46077</v>
      </c>
      <c r="B230">
        <f t="shared" ref="B230:B285" si="132">WEEKNUM(A230,2)</f>
        <v>9</v>
      </c>
      <c r="C230" t="s">
        <v>39</v>
      </c>
      <c r="E230" t="s">
        <v>17</v>
      </c>
      <c r="F230" t="s">
        <v>25</v>
      </c>
      <c r="G230" t="str">
        <f>IFERROR(VLOOKUP(E230,Control_Actividades!A:C,2,FALSE),"")</f>
        <v>Manzana</v>
      </c>
      <c r="H230">
        <v>0.7</v>
      </c>
      <c r="I230">
        <f>IFERROR(VLOOKUP(E230,Control_Actividades!A:C,3,FALSE),"")</f>
        <v>110</v>
      </c>
      <c r="J230" s="3">
        <f t="shared" si="109"/>
        <v>77</v>
      </c>
    </row>
    <row r="231" spans="1:10" x14ac:dyDescent="0.3">
      <c r="A231" s="2">
        <v>46077</v>
      </c>
      <c r="B231">
        <f t="shared" ref="B231:B277" si="133">_xlfn.SINGLE(WEEKNUM(A231,2))</f>
        <v>9</v>
      </c>
      <c r="C231" t="s">
        <v>40</v>
      </c>
      <c r="E231" t="s">
        <v>10</v>
      </c>
      <c r="F231" t="s">
        <v>25</v>
      </c>
      <c r="G231" t="str">
        <f>IFERROR(VLOOKUP(E231,Control_Actividades!A:C,2,FALSE),"")</f>
        <v>Quintal</v>
      </c>
      <c r="H231">
        <v>1.1000000000000001</v>
      </c>
      <c r="I231">
        <f>IFERROR(VLOOKUP(E231,Control_Actividades!A:C,3,FALSE),"")</f>
        <v>70</v>
      </c>
      <c r="J231" s="3">
        <f t="shared" si="109"/>
        <v>77</v>
      </c>
    </row>
    <row r="232" spans="1:10" hidden="1" x14ac:dyDescent="0.3">
      <c r="A232" s="2">
        <v>46077</v>
      </c>
      <c r="B232">
        <f t="shared" si="126"/>
        <v>9</v>
      </c>
      <c r="C232" t="s">
        <v>41</v>
      </c>
      <c r="E232" t="s">
        <v>48</v>
      </c>
      <c r="F232" t="s">
        <v>49</v>
      </c>
      <c r="G232" t="str">
        <f>IFERROR(VLOOKUP(E232,Control_Actividades!A:C,2,FALSE),"")</f>
        <v>Dia</v>
      </c>
      <c r="H232">
        <v>1</v>
      </c>
      <c r="I232">
        <f>IFERROR(VLOOKUP(E232,Control_Actividades!A:C,3,FALSE),"")</f>
        <v>100</v>
      </c>
      <c r="J232" s="3">
        <f t="shared" si="109"/>
        <v>100</v>
      </c>
    </row>
    <row r="233" spans="1:10" hidden="1" x14ac:dyDescent="0.3">
      <c r="A233" s="2">
        <v>46077</v>
      </c>
      <c r="B233">
        <f t="shared" si="127"/>
        <v>9</v>
      </c>
      <c r="C233" t="s">
        <v>42</v>
      </c>
      <c r="G233" t="str">
        <f>IFERROR(VLOOKUP(E233,Control_Actividades!A:C,2,FALSE),"")</f>
        <v/>
      </c>
      <c r="I233" t="str">
        <f>IFERROR(VLOOKUP(E233,Control_Actividades!A:C,3,FALSE),"")</f>
        <v/>
      </c>
      <c r="J233" s="3" t="e">
        <f t="shared" si="109"/>
        <v>#VALUE!</v>
      </c>
    </row>
    <row r="234" spans="1:10" hidden="1" x14ac:dyDescent="0.3">
      <c r="A234" s="2">
        <v>46077</v>
      </c>
      <c r="B234">
        <f t="shared" si="128"/>
        <v>9</v>
      </c>
      <c r="C234" t="s">
        <v>43</v>
      </c>
      <c r="E234" t="s">
        <v>48</v>
      </c>
      <c r="F234" t="s">
        <v>49</v>
      </c>
      <c r="G234" t="str">
        <f>IFERROR(VLOOKUP(E234,Control_Actividades!A:C,2,FALSE),"")</f>
        <v>Dia</v>
      </c>
      <c r="H234">
        <v>1</v>
      </c>
      <c r="I234">
        <f>IFERROR(VLOOKUP(E234,Control_Actividades!A:C,3,FALSE),"")</f>
        <v>100</v>
      </c>
      <c r="J234" s="3">
        <f t="shared" si="109"/>
        <v>100</v>
      </c>
    </row>
    <row r="235" spans="1:10" x14ac:dyDescent="0.3">
      <c r="A235" s="2">
        <v>46077</v>
      </c>
      <c r="B235">
        <f t="shared" si="129"/>
        <v>9</v>
      </c>
      <c r="C235" t="s">
        <v>44</v>
      </c>
      <c r="E235" t="s">
        <v>17</v>
      </c>
      <c r="F235" t="s">
        <v>25</v>
      </c>
      <c r="G235" t="str">
        <f>IFERROR(VLOOKUP(E235,Control_Actividades!A:C,2,FALSE),"")</f>
        <v>Manzana</v>
      </c>
      <c r="H235">
        <v>0.7</v>
      </c>
      <c r="I235">
        <f>IFERROR(VLOOKUP(E235,Control_Actividades!A:C,3,FALSE),"")</f>
        <v>110</v>
      </c>
      <c r="J235" s="3">
        <f t="shared" si="109"/>
        <v>77</v>
      </c>
    </row>
    <row r="236" spans="1:10" hidden="1" x14ac:dyDescent="0.3">
      <c r="A236" s="2">
        <v>46077</v>
      </c>
      <c r="B236">
        <f t="shared" si="130"/>
        <v>9</v>
      </c>
      <c r="C236" t="s">
        <v>45</v>
      </c>
      <c r="G236" t="str">
        <f>IFERROR(VLOOKUP(E236,Control_Actividades!A:C,2,FALSE),"")</f>
        <v/>
      </c>
      <c r="I236" t="str">
        <f>IFERROR(VLOOKUP(E236,Control_Actividades!A:C,3,FALSE),"")</f>
        <v/>
      </c>
      <c r="J236" s="3" t="e">
        <f t="shared" si="109"/>
        <v>#VALUE!</v>
      </c>
    </row>
    <row r="237" spans="1:10" hidden="1" x14ac:dyDescent="0.3">
      <c r="A237" s="2">
        <v>46077</v>
      </c>
      <c r="B237">
        <f t="shared" si="131"/>
        <v>9</v>
      </c>
      <c r="C237" t="s">
        <v>46</v>
      </c>
      <c r="E237" t="s">
        <v>10</v>
      </c>
      <c r="F237" t="s">
        <v>25</v>
      </c>
      <c r="G237" t="str">
        <f>IFERROR(VLOOKUP(E237,Control_Actividades!A:C,2,FALSE),"")</f>
        <v>Quintal</v>
      </c>
      <c r="H237">
        <v>1.3</v>
      </c>
      <c r="I237">
        <f>IFERROR(VLOOKUP(E237,Control_Actividades!A:C,3,FALSE),"")</f>
        <v>70</v>
      </c>
      <c r="J237" s="3">
        <f t="shared" si="109"/>
        <v>91</v>
      </c>
    </row>
    <row r="238" spans="1:10" hidden="1" x14ac:dyDescent="0.3">
      <c r="A238" s="5">
        <v>46077</v>
      </c>
      <c r="B238" s="6">
        <f t="shared" si="132"/>
        <v>9</v>
      </c>
      <c r="C238" s="6" t="s">
        <v>47</v>
      </c>
      <c r="D238" s="6"/>
      <c r="E238" s="6" t="s">
        <v>10</v>
      </c>
      <c r="F238" s="6" t="s">
        <v>25</v>
      </c>
      <c r="G238" s="6" t="str">
        <f>IFERROR(VLOOKUP(E238,Control_Actividades!A:C,2,FALSE),"")</f>
        <v>Quintal</v>
      </c>
      <c r="H238" s="6">
        <v>0.7</v>
      </c>
      <c r="I238" s="6">
        <f>IFERROR(VLOOKUP(E238,Control_Actividades!A:C,3,FALSE),"")</f>
        <v>70</v>
      </c>
      <c r="J238" s="10">
        <f t="shared" si="109"/>
        <v>49</v>
      </c>
    </row>
    <row r="239" spans="1:10" hidden="1" x14ac:dyDescent="0.3">
      <c r="A239" s="2">
        <v>46078</v>
      </c>
      <c r="B239">
        <f t="shared" si="117"/>
        <v>9</v>
      </c>
      <c r="C239" t="s">
        <v>22</v>
      </c>
      <c r="E239" t="s">
        <v>23</v>
      </c>
      <c r="F239" t="s">
        <v>25</v>
      </c>
      <c r="G239" t="str">
        <f>IFERROR(VLOOKUP(E239,Control_Actividades!A:C,2,FALSE),"")</f>
        <v>Dia</v>
      </c>
      <c r="H239">
        <v>1</v>
      </c>
      <c r="I239">
        <f>IFERROR(VLOOKUP(E239,Control_Actividades!A:C,3,FALSE),"")</f>
        <v>100</v>
      </c>
      <c r="J239" s="3">
        <f t="shared" si="109"/>
        <v>100</v>
      </c>
    </row>
    <row r="240" spans="1:10" hidden="1" x14ac:dyDescent="0.3">
      <c r="A240" s="2">
        <v>46078</v>
      </c>
      <c r="B240">
        <f t="shared" si="119"/>
        <v>9</v>
      </c>
      <c r="C240" t="s">
        <v>27</v>
      </c>
      <c r="E240" t="s">
        <v>54</v>
      </c>
      <c r="F240" t="s">
        <v>49</v>
      </c>
      <c r="G240" t="str">
        <f>IFERROR(VLOOKUP(E240,Control_Actividades!A:C,2,FALSE),"")</f>
        <v>Dia</v>
      </c>
      <c r="H240">
        <v>1</v>
      </c>
      <c r="I240">
        <f>IFERROR(VLOOKUP(E240,Control_Actividades!A:C,3,FALSE),"")</f>
        <v>130</v>
      </c>
      <c r="J240" s="3">
        <f t="shared" si="109"/>
        <v>130</v>
      </c>
    </row>
    <row r="241" spans="1:10" hidden="1" x14ac:dyDescent="0.3">
      <c r="A241" s="2">
        <v>46078</v>
      </c>
      <c r="B241">
        <f t="shared" si="120"/>
        <v>9</v>
      </c>
      <c r="C241" t="s">
        <v>28</v>
      </c>
      <c r="E241" t="s">
        <v>10</v>
      </c>
      <c r="F241" t="s">
        <v>25</v>
      </c>
      <c r="G241" t="str">
        <f>IFERROR(VLOOKUP(E241,Control_Actividades!A:C,2,FALSE),"")</f>
        <v>Quintal</v>
      </c>
      <c r="H241">
        <v>1.5</v>
      </c>
      <c r="I241">
        <f>IFERROR(VLOOKUP(E241,Control_Actividades!A:C,3,FALSE),"")</f>
        <v>70</v>
      </c>
      <c r="J241" s="3">
        <f t="shared" si="109"/>
        <v>105</v>
      </c>
    </row>
    <row r="242" spans="1:10" hidden="1" x14ac:dyDescent="0.3">
      <c r="A242" s="2">
        <v>46078</v>
      </c>
      <c r="B242">
        <f t="shared" si="121"/>
        <v>9</v>
      </c>
      <c r="C242" t="s">
        <v>29</v>
      </c>
      <c r="E242" t="s">
        <v>10</v>
      </c>
      <c r="F242" t="s">
        <v>25</v>
      </c>
      <c r="G242" t="str">
        <f>IFERROR(VLOOKUP(E242,Control_Actividades!A:C,2,FALSE),"")</f>
        <v>Quintal</v>
      </c>
      <c r="H242">
        <v>1.5</v>
      </c>
      <c r="I242">
        <f>IFERROR(VLOOKUP(E242,Control_Actividades!A:C,3,FALSE),"")</f>
        <v>70</v>
      </c>
      <c r="J242" s="3">
        <f t="shared" si="109"/>
        <v>105</v>
      </c>
    </row>
    <row r="243" spans="1:10" hidden="1" x14ac:dyDescent="0.3">
      <c r="A243" s="2">
        <v>46078</v>
      </c>
      <c r="B243">
        <f t="shared" si="122"/>
        <v>9</v>
      </c>
      <c r="C243" t="s">
        <v>26</v>
      </c>
      <c r="E243" t="s">
        <v>10</v>
      </c>
      <c r="F243" t="s">
        <v>25</v>
      </c>
      <c r="G243" t="str">
        <f>IFERROR(VLOOKUP(E243,Control_Actividades!A:C,2,FALSE),"")</f>
        <v>Quintal</v>
      </c>
      <c r="H243">
        <v>1.2</v>
      </c>
      <c r="I243">
        <f>IFERROR(VLOOKUP(E243,Control_Actividades!A:C,3,FALSE),"")</f>
        <v>70</v>
      </c>
      <c r="J243" s="3">
        <f t="shared" si="109"/>
        <v>84</v>
      </c>
    </row>
    <row r="244" spans="1:10" hidden="1" x14ac:dyDescent="0.3">
      <c r="A244" s="2">
        <v>46078</v>
      </c>
      <c r="B244">
        <f t="shared" si="123"/>
        <v>9</v>
      </c>
      <c r="C244" t="s">
        <v>30</v>
      </c>
      <c r="E244" t="s">
        <v>10</v>
      </c>
      <c r="F244" t="s">
        <v>25</v>
      </c>
      <c r="G244" t="str">
        <f>IFERROR(VLOOKUP(E244,Control_Actividades!A:C,2,FALSE),"")</f>
        <v>Quintal</v>
      </c>
      <c r="H244">
        <v>1.2</v>
      </c>
      <c r="I244">
        <f>IFERROR(VLOOKUP(E244,Control_Actividades!A:C,3,FALSE),"")</f>
        <v>70</v>
      </c>
      <c r="J244" s="3">
        <f t="shared" si="109"/>
        <v>84</v>
      </c>
    </row>
    <row r="245" spans="1:10" hidden="1" x14ac:dyDescent="0.3">
      <c r="A245" s="2">
        <v>46078</v>
      </c>
      <c r="B245">
        <f t="shared" si="124"/>
        <v>9</v>
      </c>
      <c r="C245" t="s">
        <v>31</v>
      </c>
      <c r="E245" t="s">
        <v>10</v>
      </c>
      <c r="F245" t="s">
        <v>25</v>
      </c>
      <c r="G245" t="str">
        <f>IFERROR(VLOOKUP(E245,Control_Actividades!A:C,2,FALSE),"")</f>
        <v>Quintal</v>
      </c>
      <c r="H245">
        <v>2</v>
      </c>
      <c r="I245">
        <f>IFERROR(VLOOKUP(E245,Control_Actividades!A:C,3,FALSE),"")</f>
        <v>70</v>
      </c>
      <c r="J245" s="3">
        <f t="shared" si="109"/>
        <v>140</v>
      </c>
    </row>
    <row r="246" spans="1:10" hidden="1" x14ac:dyDescent="0.3">
      <c r="A246" s="2">
        <v>46078</v>
      </c>
      <c r="B246">
        <f t="shared" si="125"/>
        <v>9</v>
      </c>
      <c r="C246" t="s">
        <v>32</v>
      </c>
      <c r="E246" t="s">
        <v>48</v>
      </c>
      <c r="F246" t="s">
        <v>49</v>
      </c>
      <c r="G246" t="str">
        <f>IFERROR(VLOOKUP(E246,Control_Actividades!A:C,2,FALSE),"")</f>
        <v>Dia</v>
      </c>
      <c r="H246">
        <v>1</v>
      </c>
      <c r="I246">
        <f>IFERROR(VLOOKUP(E246,Control_Actividades!A:C,3,FALSE),"")</f>
        <v>100</v>
      </c>
      <c r="J246" s="3">
        <f t="shared" si="109"/>
        <v>100</v>
      </c>
    </row>
    <row r="247" spans="1:10" hidden="1" x14ac:dyDescent="0.3">
      <c r="A247" s="2">
        <v>46078</v>
      </c>
      <c r="B247">
        <f t="shared" si="126"/>
        <v>9</v>
      </c>
      <c r="C247" t="s">
        <v>33</v>
      </c>
      <c r="E247" t="s">
        <v>10</v>
      </c>
      <c r="F247" t="s">
        <v>25</v>
      </c>
      <c r="G247" t="str">
        <f>IFERROR(VLOOKUP(E247,Control_Actividades!A:C,2,FALSE),"")</f>
        <v>Quintal</v>
      </c>
      <c r="H247">
        <v>1.35</v>
      </c>
      <c r="I247">
        <f>IFERROR(VLOOKUP(E247,Control_Actividades!A:C,3,FALSE),"")</f>
        <v>70</v>
      </c>
      <c r="J247" s="3">
        <f t="shared" si="109"/>
        <v>94.5</v>
      </c>
    </row>
    <row r="248" spans="1:10" hidden="1" x14ac:dyDescent="0.3">
      <c r="A248" s="2">
        <v>46078</v>
      </c>
      <c r="B248">
        <f t="shared" si="127"/>
        <v>9</v>
      </c>
      <c r="C248" t="s">
        <v>34</v>
      </c>
      <c r="E248" t="s">
        <v>10</v>
      </c>
      <c r="F248" t="s">
        <v>25</v>
      </c>
      <c r="G248" t="str">
        <f>IFERROR(VLOOKUP(E248,Control_Actividades!A:C,2,FALSE),"")</f>
        <v>Quintal</v>
      </c>
      <c r="H248">
        <v>1.3</v>
      </c>
      <c r="I248">
        <f>IFERROR(VLOOKUP(E248,Control_Actividades!A:C,3,FALSE),"")</f>
        <v>70</v>
      </c>
      <c r="J248" s="3">
        <f t="shared" si="109"/>
        <v>91</v>
      </c>
    </row>
    <row r="249" spans="1:10" hidden="1" x14ac:dyDescent="0.3">
      <c r="A249" s="2">
        <v>46078</v>
      </c>
      <c r="B249">
        <f t="shared" si="128"/>
        <v>9</v>
      </c>
      <c r="C249" t="s">
        <v>35</v>
      </c>
      <c r="E249" t="s">
        <v>10</v>
      </c>
      <c r="F249" t="s">
        <v>25</v>
      </c>
      <c r="G249" t="str">
        <f>IFERROR(VLOOKUP(E249,Control_Actividades!A:C,2,FALSE),"")</f>
        <v>Quintal</v>
      </c>
      <c r="H249">
        <v>1.8</v>
      </c>
      <c r="I249">
        <f>IFERROR(VLOOKUP(E249,Control_Actividades!A:C,3,FALSE),"")</f>
        <v>70</v>
      </c>
      <c r="J249" s="3">
        <f t="shared" si="109"/>
        <v>126</v>
      </c>
    </row>
    <row r="250" spans="1:10" hidden="1" x14ac:dyDescent="0.3">
      <c r="A250" s="2">
        <v>46078</v>
      </c>
      <c r="B250">
        <f t="shared" si="129"/>
        <v>9</v>
      </c>
      <c r="C250" t="s">
        <v>36</v>
      </c>
      <c r="E250" t="s">
        <v>10</v>
      </c>
      <c r="F250" t="s">
        <v>25</v>
      </c>
      <c r="G250" t="str">
        <f>IFERROR(VLOOKUP(E250,Control_Actividades!A:C,2,FALSE),"")</f>
        <v>Quintal</v>
      </c>
      <c r="H250">
        <v>0.85</v>
      </c>
      <c r="I250">
        <f>IFERROR(VLOOKUP(E250,Control_Actividades!A:C,3,FALSE),"")</f>
        <v>70</v>
      </c>
      <c r="J250" s="3">
        <f t="shared" si="109"/>
        <v>59.5</v>
      </c>
    </row>
    <row r="251" spans="1:10" hidden="1" x14ac:dyDescent="0.3">
      <c r="A251" s="2">
        <v>46078</v>
      </c>
      <c r="B251">
        <f t="shared" si="130"/>
        <v>9</v>
      </c>
      <c r="C251" t="s">
        <v>37</v>
      </c>
      <c r="E251" t="s">
        <v>10</v>
      </c>
      <c r="F251" t="s">
        <v>25</v>
      </c>
      <c r="G251" t="str">
        <f>IFERROR(VLOOKUP(E251,Control_Actividades!A:C,2,FALSE),"")</f>
        <v>Quintal</v>
      </c>
      <c r="H251">
        <v>0.9</v>
      </c>
      <c r="I251">
        <f>IFERROR(VLOOKUP(E251,Control_Actividades!A:C,3,FALSE),"")</f>
        <v>70</v>
      </c>
      <c r="J251" s="3">
        <f t="shared" si="109"/>
        <v>63</v>
      </c>
    </row>
    <row r="252" spans="1:10" hidden="1" x14ac:dyDescent="0.3">
      <c r="A252" s="2">
        <v>46078</v>
      </c>
      <c r="B252">
        <f t="shared" si="131"/>
        <v>9</v>
      </c>
      <c r="C252" t="s">
        <v>38</v>
      </c>
      <c r="E252" t="s">
        <v>10</v>
      </c>
      <c r="F252" t="s">
        <v>25</v>
      </c>
      <c r="G252" t="str">
        <f>IFERROR(VLOOKUP(E252,Control_Actividades!A:C,2,FALSE),"")</f>
        <v>Quintal</v>
      </c>
      <c r="H252">
        <v>1.1499999999999999</v>
      </c>
      <c r="I252">
        <f>IFERROR(VLOOKUP(E252,Control_Actividades!A:C,3,FALSE),"")</f>
        <v>70</v>
      </c>
      <c r="J252" s="3">
        <f t="shared" si="109"/>
        <v>80.5</v>
      </c>
    </row>
    <row r="253" spans="1:10" x14ac:dyDescent="0.3">
      <c r="A253" s="2">
        <v>46078</v>
      </c>
      <c r="B253">
        <f t="shared" si="132"/>
        <v>9</v>
      </c>
      <c r="C253" t="s">
        <v>39</v>
      </c>
      <c r="E253" t="s">
        <v>17</v>
      </c>
      <c r="F253" t="s">
        <v>25</v>
      </c>
      <c r="G253" t="str">
        <f>IFERROR(VLOOKUP(E253,Control_Actividades!A:C,2,FALSE),"")</f>
        <v>Manzana</v>
      </c>
      <c r="H253">
        <v>0.7</v>
      </c>
      <c r="I253">
        <f>IFERROR(VLOOKUP(E253,Control_Actividades!A:C,3,FALSE),"")</f>
        <v>110</v>
      </c>
      <c r="J253" s="3">
        <f t="shared" si="109"/>
        <v>77</v>
      </c>
    </row>
    <row r="254" spans="1:10" hidden="1" x14ac:dyDescent="0.3">
      <c r="A254" s="2">
        <v>46078</v>
      </c>
      <c r="B254">
        <f t="shared" si="133"/>
        <v>9</v>
      </c>
      <c r="C254" t="s">
        <v>40</v>
      </c>
      <c r="E254" t="s">
        <v>10</v>
      </c>
      <c r="F254" t="s">
        <v>25</v>
      </c>
      <c r="G254" t="str">
        <f>IFERROR(VLOOKUP(E254,Control_Actividades!A:C,2,FALSE),"")</f>
        <v>Quintal</v>
      </c>
      <c r="H254">
        <v>1.85</v>
      </c>
      <c r="I254">
        <f>IFERROR(VLOOKUP(E254,Control_Actividades!A:C,3,FALSE),"")</f>
        <v>70</v>
      </c>
      <c r="J254" s="3">
        <f t="shared" si="109"/>
        <v>129.5</v>
      </c>
    </row>
    <row r="255" spans="1:10" hidden="1" x14ac:dyDescent="0.3">
      <c r="A255" s="2">
        <v>46078</v>
      </c>
      <c r="B255">
        <f t="shared" si="126"/>
        <v>9</v>
      </c>
      <c r="C255" t="s">
        <v>41</v>
      </c>
      <c r="E255" t="s">
        <v>48</v>
      </c>
      <c r="F255" t="s">
        <v>49</v>
      </c>
      <c r="G255" t="str">
        <f>IFERROR(VLOOKUP(E255,Control_Actividades!A:C,2,FALSE),"")</f>
        <v>Dia</v>
      </c>
      <c r="H255">
        <v>1</v>
      </c>
      <c r="I255">
        <f>IFERROR(VLOOKUP(E255,Control_Actividades!A:C,3,FALSE),"")</f>
        <v>100</v>
      </c>
      <c r="J255" s="3">
        <f t="shared" si="109"/>
        <v>100</v>
      </c>
    </row>
    <row r="256" spans="1:10" hidden="1" x14ac:dyDescent="0.3">
      <c r="A256" s="2">
        <v>46078</v>
      </c>
      <c r="B256">
        <f t="shared" si="127"/>
        <v>9</v>
      </c>
      <c r="C256" t="s">
        <v>42</v>
      </c>
      <c r="E256" t="s">
        <v>10</v>
      </c>
      <c r="F256" t="s">
        <v>25</v>
      </c>
      <c r="G256" t="str">
        <f>IFERROR(VLOOKUP(E256,Control_Actividades!A:C,2,FALSE),"")</f>
        <v>Quintal</v>
      </c>
      <c r="H256">
        <v>1.6</v>
      </c>
      <c r="I256">
        <f>IFERROR(VLOOKUP(E256,Control_Actividades!A:C,3,FALSE),"")</f>
        <v>70</v>
      </c>
      <c r="J256" s="3">
        <f t="shared" si="109"/>
        <v>112</v>
      </c>
    </row>
    <row r="257" spans="1:10" hidden="1" x14ac:dyDescent="0.3">
      <c r="A257" s="2">
        <v>46078</v>
      </c>
      <c r="B257">
        <f t="shared" si="128"/>
        <v>9</v>
      </c>
      <c r="C257" t="s">
        <v>43</v>
      </c>
      <c r="E257" t="s">
        <v>48</v>
      </c>
      <c r="F257" t="s">
        <v>49</v>
      </c>
      <c r="G257" t="str">
        <f>IFERROR(VLOOKUP(E257,Control_Actividades!A:C,2,FALSE),"")</f>
        <v>Dia</v>
      </c>
      <c r="H257">
        <v>1</v>
      </c>
      <c r="I257">
        <f>IFERROR(VLOOKUP(E257,Control_Actividades!A:C,3,FALSE),"")</f>
        <v>100</v>
      </c>
      <c r="J257" s="3">
        <f t="shared" si="109"/>
        <v>100</v>
      </c>
    </row>
    <row r="258" spans="1:10" x14ac:dyDescent="0.3">
      <c r="A258" s="2">
        <v>46078</v>
      </c>
      <c r="B258">
        <f t="shared" si="129"/>
        <v>9</v>
      </c>
      <c r="C258" t="s">
        <v>44</v>
      </c>
      <c r="E258" t="s">
        <v>17</v>
      </c>
      <c r="F258" t="s">
        <v>25</v>
      </c>
      <c r="G258" t="str">
        <f>IFERROR(VLOOKUP(E258,Control_Actividades!A:C,2,FALSE),"")</f>
        <v>Manzana</v>
      </c>
      <c r="H258">
        <v>0.7</v>
      </c>
      <c r="I258">
        <f>IFERROR(VLOOKUP(E258,Control_Actividades!A:C,3,FALSE),"")</f>
        <v>110</v>
      </c>
      <c r="J258" s="3">
        <f t="shared" ref="J258:J321" si="134">H258*I258</f>
        <v>77</v>
      </c>
    </row>
    <row r="259" spans="1:10" hidden="1" x14ac:dyDescent="0.3">
      <c r="A259" s="2">
        <v>46078</v>
      </c>
      <c r="B259">
        <f t="shared" si="130"/>
        <v>9</v>
      </c>
      <c r="C259" t="s">
        <v>45</v>
      </c>
      <c r="E259" t="s">
        <v>10</v>
      </c>
      <c r="F259" t="s">
        <v>25</v>
      </c>
      <c r="G259" t="str">
        <f>IFERROR(VLOOKUP(E259,Control_Actividades!A:C,2,FALSE),"")</f>
        <v>Quintal</v>
      </c>
      <c r="H259">
        <v>1.05</v>
      </c>
      <c r="I259">
        <f>IFERROR(VLOOKUP(E259,Control_Actividades!A:C,3,FALSE),"")</f>
        <v>70</v>
      </c>
      <c r="J259" s="3">
        <f t="shared" si="134"/>
        <v>73.5</v>
      </c>
    </row>
    <row r="260" spans="1:10" hidden="1" x14ac:dyDescent="0.3">
      <c r="A260" s="2">
        <v>46078</v>
      </c>
      <c r="B260">
        <f t="shared" si="131"/>
        <v>9</v>
      </c>
      <c r="C260" t="s">
        <v>46</v>
      </c>
      <c r="E260" t="s">
        <v>10</v>
      </c>
      <c r="F260" t="s">
        <v>25</v>
      </c>
      <c r="G260" t="str">
        <f>IFERROR(VLOOKUP(E260,Control_Actividades!A:C,2,FALSE),"")</f>
        <v>Quintal</v>
      </c>
      <c r="H260">
        <v>2.95</v>
      </c>
      <c r="I260">
        <f>IFERROR(VLOOKUP(E260,Control_Actividades!A:C,3,FALSE),"")</f>
        <v>70</v>
      </c>
      <c r="J260" s="3">
        <v>216.25</v>
      </c>
    </row>
    <row r="261" spans="1:10" hidden="1" x14ac:dyDescent="0.3">
      <c r="A261" s="5">
        <v>46078</v>
      </c>
      <c r="B261" s="6">
        <f t="shared" si="132"/>
        <v>9</v>
      </c>
      <c r="C261" s="6" t="s">
        <v>47</v>
      </c>
      <c r="D261" s="6"/>
      <c r="E261" s="6" t="s">
        <v>10</v>
      </c>
      <c r="F261" s="6" t="s">
        <v>25</v>
      </c>
      <c r="G261" s="6" t="str">
        <f>IFERROR(VLOOKUP(E261,Control_Actividades!A:C,2,FALSE),"")</f>
        <v>Quintal</v>
      </c>
      <c r="H261" s="6">
        <v>1.3</v>
      </c>
      <c r="I261" s="6">
        <f>IFERROR(VLOOKUP(E261,Control_Actividades!A:C,3,FALSE),"")</f>
        <v>70</v>
      </c>
      <c r="J261" s="10">
        <f t="shared" si="134"/>
        <v>91</v>
      </c>
    </row>
    <row r="262" spans="1:10" hidden="1" x14ac:dyDescent="0.3">
      <c r="A262" s="2">
        <v>46079</v>
      </c>
      <c r="B262">
        <f t="shared" si="117"/>
        <v>9</v>
      </c>
      <c r="C262" t="s">
        <v>22</v>
      </c>
      <c r="E262" t="s">
        <v>23</v>
      </c>
      <c r="F262" t="s">
        <v>59</v>
      </c>
      <c r="G262" t="str">
        <f>IFERROR(VLOOKUP(E262,Control_Actividades!A:C,2,FALSE),"")</f>
        <v>Dia</v>
      </c>
      <c r="H262">
        <v>1</v>
      </c>
      <c r="I262">
        <f>IFERROR(VLOOKUP(E262,Control_Actividades!A:C,3,FALSE),"")</f>
        <v>100</v>
      </c>
      <c r="J262" s="3">
        <f t="shared" si="134"/>
        <v>100</v>
      </c>
    </row>
    <row r="263" spans="1:10" hidden="1" x14ac:dyDescent="0.3">
      <c r="A263" s="2">
        <v>46079</v>
      </c>
      <c r="B263">
        <f t="shared" si="119"/>
        <v>9</v>
      </c>
      <c r="C263" t="s">
        <v>27</v>
      </c>
      <c r="E263" t="s">
        <v>54</v>
      </c>
      <c r="F263" t="s">
        <v>49</v>
      </c>
      <c r="G263" t="str">
        <f>IFERROR(VLOOKUP(E263,Control_Actividades!A:C,2,FALSE),"")</f>
        <v>Dia</v>
      </c>
      <c r="H263">
        <v>1</v>
      </c>
      <c r="I263">
        <f>IFERROR(VLOOKUP(E263,Control_Actividades!A:C,3,FALSE),"")</f>
        <v>130</v>
      </c>
      <c r="J263" s="3">
        <f t="shared" si="134"/>
        <v>130</v>
      </c>
    </row>
    <row r="264" spans="1:10" hidden="1" x14ac:dyDescent="0.3">
      <c r="A264" s="2">
        <v>46079</v>
      </c>
      <c r="B264">
        <f t="shared" si="120"/>
        <v>9</v>
      </c>
      <c r="C264" t="s">
        <v>28</v>
      </c>
      <c r="E264" t="s">
        <v>10</v>
      </c>
      <c r="F264" t="s">
        <v>59</v>
      </c>
      <c r="G264" t="str">
        <f>IFERROR(VLOOKUP(E264,Control_Actividades!A:C,2,FALSE),"")</f>
        <v>Quintal</v>
      </c>
      <c r="H264">
        <v>0.85</v>
      </c>
      <c r="I264">
        <f>IFERROR(VLOOKUP(E264,Control_Actividades!A:C,3,FALSE),"")</f>
        <v>70</v>
      </c>
      <c r="J264" s="3">
        <f t="shared" si="134"/>
        <v>59.5</v>
      </c>
    </row>
    <row r="265" spans="1:10" hidden="1" x14ac:dyDescent="0.3">
      <c r="A265" s="2">
        <v>46079</v>
      </c>
      <c r="B265">
        <f t="shared" si="121"/>
        <v>9</v>
      </c>
      <c r="C265" t="s">
        <v>29</v>
      </c>
      <c r="G265" t="str">
        <f>IFERROR(VLOOKUP(E265,Control_Actividades!A:C,2,FALSE),"")</f>
        <v/>
      </c>
      <c r="I265" t="str">
        <f>IFERROR(VLOOKUP(E265,Control_Actividades!A:C,3,FALSE),"")</f>
        <v/>
      </c>
      <c r="J265" s="3" t="e">
        <f t="shared" si="134"/>
        <v>#VALUE!</v>
      </c>
    </row>
    <row r="266" spans="1:10" hidden="1" x14ac:dyDescent="0.3">
      <c r="A266" s="2">
        <v>46079</v>
      </c>
      <c r="B266">
        <f t="shared" si="122"/>
        <v>9</v>
      </c>
      <c r="C266" t="s">
        <v>26</v>
      </c>
      <c r="E266" t="s">
        <v>10</v>
      </c>
      <c r="F266" t="s">
        <v>59</v>
      </c>
      <c r="G266" t="str">
        <f>IFERROR(VLOOKUP(E266,Control_Actividades!A:C,2,FALSE),"")</f>
        <v>Quintal</v>
      </c>
      <c r="H266">
        <v>0.45</v>
      </c>
      <c r="I266">
        <f>IFERROR(VLOOKUP(E266,Control_Actividades!A:C,3,FALSE),"")</f>
        <v>70</v>
      </c>
      <c r="J266" s="3">
        <f t="shared" si="134"/>
        <v>31.5</v>
      </c>
    </row>
    <row r="267" spans="1:10" hidden="1" x14ac:dyDescent="0.3">
      <c r="A267" s="2">
        <v>46079</v>
      </c>
      <c r="B267">
        <f t="shared" si="123"/>
        <v>9</v>
      </c>
      <c r="C267" t="s">
        <v>30</v>
      </c>
      <c r="E267" t="s">
        <v>10</v>
      </c>
      <c r="F267" t="s">
        <v>59</v>
      </c>
      <c r="G267" t="str">
        <f>IFERROR(VLOOKUP(E267,Control_Actividades!A:C,2,FALSE),"")</f>
        <v>Quintal</v>
      </c>
      <c r="H267">
        <v>0.6</v>
      </c>
      <c r="I267">
        <f>IFERROR(VLOOKUP(E267,Control_Actividades!A:C,3,FALSE),"")</f>
        <v>70</v>
      </c>
      <c r="J267" s="3">
        <f t="shared" si="134"/>
        <v>42</v>
      </c>
    </row>
    <row r="268" spans="1:10" hidden="1" x14ac:dyDescent="0.3">
      <c r="A268" s="2">
        <v>46079</v>
      </c>
      <c r="B268">
        <f t="shared" si="124"/>
        <v>9</v>
      </c>
      <c r="C268" t="s">
        <v>31</v>
      </c>
      <c r="E268" t="s">
        <v>10</v>
      </c>
      <c r="F268" t="s">
        <v>59</v>
      </c>
      <c r="G268" t="str">
        <f>IFERROR(VLOOKUP(E268,Control_Actividades!A:C,2,FALSE),"")</f>
        <v>Quintal</v>
      </c>
      <c r="H268">
        <v>0.95</v>
      </c>
      <c r="I268">
        <f>IFERROR(VLOOKUP(E268,Control_Actividades!A:C,3,FALSE),"")</f>
        <v>70</v>
      </c>
      <c r="J268" s="3">
        <f t="shared" si="134"/>
        <v>66.5</v>
      </c>
    </row>
    <row r="269" spans="1:10" hidden="1" x14ac:dyDescent="0.3">
      <c r="A269" s="2">
        <v>46079</v>
      </c>
      <c r="B269">
        <f t="shared" si="125"/>
        <v>9</v>
      </c>
      <c r="C269" t="s">
        <v>32</v>
      </c>
      <c r="E269" t="s">
        <v>48</v>
      </c>
      <c r="F269" t="s">
        <v>49</v>
      </c>
      <c r="G269" t="str">
        <f>IFERROR(VLOOKUP(E269,Control_Actividades!A:C,2,FALSE),"")</f>
        <v>Dia</v>
      </c>
      <c r="H269">
        <v>1</v>
      </c>
      <c r="I269">
        <f>IFERROR(VLOOKUP(E269,Control_Actividades!A:C,3,FALSE),"")</f>
        <v>100</v>
      </c>
      <c r="J269" s="3">
        <f t="shared" si="134"/>
        <v>100</v>
      </c>
    </row>
    <row r="270" spans="1:10" hidden="1" x14ac:dyDescent="0.3">
      <c r="A270" s="2">
        <v>46079</v>
      </c>
      <c r="B270">
        <f t="shared" si="126"/>
        <v>9</v>
      </c>
      <c r="C270" t="s">
        <v>33</v>
      </c>
      <c r="E270" t="s">
        <v>10</v>
      </c>
      <c r="F270" t="s">
        <v>59</v>
      </c>
      <c r="G270" t="str">
        <f>IFERROR(VLOOKUP(E270,Control_Actividades!A:C,2,FALSE),"")</f>
        <v>Quintal</v>
      </c>
      <c r="H270">
        <v>0.45</v>
      </c>
      <c r="I270">
        <f>IFERROR(VLOOKUP(E270,Control_Actividades!A:C,3,FALSE),"")</f>
        <v>70</v>
      </c>
      <c r="J270" s="3">
        <f t="shared" si="134"/>
        <v>31.5</v>
      </c>
    </row>
    <row r="271" spans="1:10" hidden="1" x14ac:dyDescent="0.3">
      <c r="A271" s="2">
        <v>46079</v>
      </c>
      <c r="B271">
        <f t="shared" si="127"/>
        <v>9</v>
      </c>
      <c r="C271" t="s">
        <v>34</v>
      </c>
      <c r="E271" t="s">
        <v>10</v>
      </c>
      <c r="F271" t="s">
        <v>59</v>
      </c>
      <c r="G271" t="str">
        <f>IFERROR(VLOOKUP(E271,Control_Actividades!A:C,2,FALSE),"")</f>
        <v>Quintal</v>
      </c>
      <c r="H271">
        <v>0.5</v>
      </c>
      <c r="I271">
        <f>IFERROR(VLOOKUP(E271,Control_Actividades!A:C,3,FALSE),"")</f>
        <v>70</v>
      </c>
      <c r="J271" s="3">
        <f t="shared" si="134"/>
        <v>35</v>
      </c>
    </row>
    <row r="272" spans="1:10" hidden="1" x14ac:dyDescent="0.3">
      <c r="A272" s="2">
        <v>46079</v>
      </c>
      <c r="B272">
        <f t="shared" si="128"/>
        <v>9</v>
      </c>
      <c r="C272" t="s">
        <v>35</v>
      </c>
      <c r="E272" t="s">
        <v>10</v>
      </c>
      <c r="F272" t="s">
        <v>59</v>
      </c>
      <c r="G272" t="str">
        <f>IFERROR(VLOOKUP(E272,Control_Actividades!A:C,2,FALSE),"")</f>
        <v>Quintal</v>
      </c>
      <c r="H272">
        <v>0.9</v>
      </c>
      <c r="I272">
        <f>IFERROR(VLOOKUP(E272,Control_Actividades!A:C,3,FALSE),"")</f>
        <v>70</v>
      </c>
      <c r="J272" s="3">
        <f t="shared" si="134"/>
        <v>63</v>
      </c>
    </row>
    <row r="273" spans="1:10" hidden="1" x14ac:dyDescent="0.3">
      <c r="A273" s="2">
        <v>46079</v>
      </c>
      <c r="B273">
        <f t="shared" si="129"/>
        <v>9</v>
      </c>
      <c r="C273" t="s">
        <v>36</v>
      </c>
      <c r="E273" t="s">
        <v>10</v>
      </c>
      <c r="F273" t="s">
        <v>59</v>
      </c>
      <c r="G273" t="str">
        <f>IFERROR(VLOOKUP(E273,Control_Actividades!A:C,2,FALSE),"")</f>
        <v>Quintal</v>
      </c>
      <c r="H273">
        <v>0.55000000000000004</v>
      </c>
      <c r="I273">
        <f>IFERROR(VLOOKUP(E273,Control_Actividades!A:C,3,FALSE),"")</f>
        <v>70</v>
      </c>
      <c r="J273" s="3">
        <f t="shared" si="134"/>
        <v>38.5</v>
      </c>
    </row>
    <row r="274" spans="1:10" hidden="1" x14ac:dyDescent="0.3">
      <c r="A274" s="2">
        <v>46079</v>
      </c>
      <c r="B274">
        <f t="shared" si="130"/>
        <v>9</v>
      </c>
      <c r="C274" t="s">
        <v>37</v>
      </c>
      <c r="E274" t="s">
        <v>10</v>
      </c>
      <c r="F274" t="s">
        <v>59</v>
      </c>
      <c r="G274" t="str">
        <f>IFERROR(VLOOKUP(E274,Control_Actividades!A:C,2,FALSE),"")</f>
        <v>Quintal</v>
      </c>
      <c r="H274">
        <v>0.5</v>
      </c>
      <c r="I274">
        <f>IFERROR(VLOOKUP(E274,Control_Actividades!A:C,3,FALSE),"")</f>
        <v>70</v>
      </c>
      <c r="J274" s="3">
        <f t="shared" si="134"/>
        <v>35</v>
      </c>
    </row>
    <row r="275" spans="1:10" hidden="1" x14ac:dyDescent="0.3">
      <c r="A275" s="2">
        <v>46079</v>
      </c>
      <c r="B275">
        <f t="shared" si="131"/>
        <v>9</v>
      </c>
      <c r="C275" t="s">
        <v>38</v>
      </c>
      <c r="E275" t="s">
        <v>10</v>
      </c>
      <c r="F275" t="s">
        <v>59</v>
      </c>
      <c r="G275" t="str">
        <f>IFERROR(VLOOKUP(E275,Control_Actividades!A:C,2,FALSE),"")</f>
        <v>Quintal</v>
      </c>
      <c r="H275">
        <v>0.65</v>
      </c>
      <c r="I275">
        <f>IFERROR(VLOOKUP(E275,Control_Actividades!A:C,3,FALSE),"")</f>
        <v>70</v>
      </c>
      <c r="J275" s="3">
        <f t="shared" si="134"/>
        <v>45.5</v>
      </c>
    </row>
    <row r="276" spans="1:10" x14ac:dyDescent="0.3">
      <c r="A276" s="2">
        <v>46079</v>
      </c>
      <c r="B276">
        <f t="shared" si="132"/>
        <v>9</v>
      </c>
      <c r="C276" t="s">
        <v>39</v>
      </c>
      <c r="E276" t="s">
        <v>17</v>
      </c>
      <c r="F276" t="s">
        <v>25</v>
      </c>
      <c r="G276" t="str">
        <f>IFERROR(VLOOKUP(E276,Control_Actividades!A:C,2,FALSE),"")</f>
        <v>Manzana</v>
      </c>
      <c r="H276">
        <v>0.7</v>
      </c>
      <c r="I276">
        <f>IFERROR(VLOOKUP(E276,Control_Actividades!A:C,3,FALSE),"")</f>
        <v>110</v>
      </c>
      <c r="J276" s="3">
        <f t="shared" si="134"/>
        <v>77</v>
      </c>
    </row>
    <row r="277" spans="1:10" hidden="1" x14ac:dyDescent="0.3">
      <c r="A277" s="2">
        <v>46079</v>
      </c>
      <c r="B277">
        <f t="shared" si="133"/>
        <v>9</v>
      </c>
      <c r="C277" t="s">
        <v>40</v>
      </c>
      <c r="G277" t="str">
        <f>IFERROR(VLOOKUP(E277,Control_Actividades!A:C,2,FALSE),"")</f>
        <v/>
      </c>
      <c r="I277" t="str">
        <f>IFERROR(VLOOKUP(E277,Control_Actividades!A:C,3,FALSE),"")</f>
        <v/>
      </c>
      <c r="J277" s="3" t="e">
        <f t="shared" si="134"/>
        <v>#VALUE!</v>
      </c>
    </row>
    <row r="278" spans="1:10" hidden="1" x14ac:dyDescent="0.3">
      <c r="A278" s="2">
        <v>46079</v>
      </c>
      <c r="B278">
        <f t="shared" si="126"/>
        <v>9</v>
      </c>
      <c r="C278" t="s">
        <v>41</v>
      </c>
      <c r="E278" t="s">
        <v>48</v>
      </c>
      <c r="F278" t="s">
        <v>49</v>
      </c>
      <c r="G278" t="str">
        <f>IFERROR(VLOOKUP(E278,Control_Actividades!A:C,2,FALSE),"")</f>
        <v>Dia</v>
      </c>
      <c r="H278">
        <v>1</v>
      </c>
      <c r="I278">
        <f>IFERROR(VLOOKUP(E278,Control_Actividades!A:C,3,FALSE),"")</f>
        <v>100</v>
      </c>
      <c r="J278" s="3">
        <f t="shared" si="134"/>
        <v>100</v>
      </c>
    </row>
    <row r="279" spans="1:10" hidden="1" x14ac:dyDescent="0.3">
      <c r="A279" s="2">
        <v>46079</v>
      </c>
      <c r="B279">
        <f t="shared" si="127"/>
        <v>9</v>
      </c>
      <c r="C279" t="s">
        <v>42</v>
      </c>
      <c r="E279" t="s">
        <v>10</v>
      </c>
      <c r="F279" t="s">
        <v>59</v>
      </c>
      <c r="G279" t="str">
        <f>IFERROR(VLOOKUP(E279,Control_Actividades!A:C,2,FALSE),"")</f>
        <v>Quintal</v>
      </c>
      <c r="H279">
        <v>0.8</v>
      </c>
      <c r="I279">
        <f>IFERROR(VLOOKUP(E279,Control_Actividades!A:C,3,FALSE),"")</f>
        <v>70</v>
      </c>
      <c r="J279" s="3">
        <f t="shared" si="134"/>
        <v>56</v>
      </c>
    </row>
    <row r="280" spans="1:10" hidden="1" x14ac:dyDescent="0.3">
      <c r="A280" s="2">
        <v>46079</v>
      </c>
      <c r="B280">
        <f t="shared" si="128"/>
        <v>9</v>
      </c>
      <c r="C280" t="s">
        <v>43</v>
      </c>
      <c r="E280" t="s">
        <v>48</v>
      </c>
      <c r="F280" t="s">
        <v>49</v>
      </c>
      <c r="G280" t="str">
        <f>IFERROR(VLOOKUP(E280,Control_Actividades!A:C,2,FALSE),"")</f>
        <v>Dia</v>
      </c>
      <c r="H280">
        <v>1</v>
      </c>
      <c r="I280">
        <f>IFERROR(VLOOKUP(E280,Control_Actividades!A:C,3,FALSE),"")</f>
        <v>100</v>
      </c>
      <c r="J280" s="3">
        <f t="shared" si="134"/>
        <v>100</v>
      </c>
    </row>
    <row r="281" spans="1:10" x14ac:dyDescent="0.3">
      <c r="A281" s="2">
        <v>46079</v>
      </c>
      <c r="B281">
        <f t="shared" si="129"/>
        <v>9</v>
      </c>
      <c r="C281" t="s">
        <v>44</v>
      </c>
      <c r="E281" t="s">
        <v>17</v>
      </c>
      <c r="F281" t="s">
        <v>25</v>
      </c>
      <c r="G281" t="str">
        <f>IFERROR(VLOOKUP(E281,Control_Actividades!A:C,2,FALSE),"")</f>
        <v>Manzana</v>
      </c>
      <c r="H281">
        <v>0.7</v>
      </c>
      <c r="I281">
        <f>IFERROR(VLOOKUP(E281,Control_Actividades!A:C,3,FALSE),"")</f>
        <v>110</v>
      </c>
      <c r="J281" s="3">
        <f t="shared" si="134"/>
        <v>77</v>
      </c>
    </row>
    <row r="282" spans="1:10" hidden="1" x14ac:dyDescent="0.3">
      <c r="A282" s="2">
        <v>46079</v>
      </c>
      <c r="B282">
        <f t="shared" si="130"/>
        <v>9</v>
      </c>
      <c r="C282" t="s">
        <v>45</v>
      </c>
      <c r="E282" t="s">
        <v>10</v>
      </c>
      <c r="F282" t="s">
        <v>59</v>
      </c>
      <c r="G282" t="str">
        <f>IFERROR(VLOOKUP(E282,Control_Actividades!A:C,2,FALSE),"")</f>
        <v>Quintal</v>
      </c>
      <c r="H282">
        <v>0.45</v>
      </c>
      <c r="I282">
        <f>IFERROR(VLOOKUP(E282,Control_Actividades!A:C,3,FALSE),"")</f>
        <v>70</v>
      </c>
      <c r="J282" s="3">
        <f t="shared" si="134"/>
        <v>31.5</v>
      </c>
    </row>
    <row r="283" spans="1:10" hidden="1" x14ac:dyDescent="0.3">
      <c r="A283" s="2">
        <v>46079</v>
      </c>
      <c r="B283">
        <f t="shared" si="131"/>
        <v>9</v>
      </c>
      <c r="C283" t="s">
        <v>46</v>
      </c>
      <c r="E283" t="s">
        <v>10</v>
      </c>
      <c r="F283" t="s">
        <v>59</v>
      </c>
      <c r="G283" t="str">
        <f>IFERROR(VLOOKUP(E283,Control_Actividades!A:C,2,FALSE),"")</f>
        <v>Quintal</v>
      </c>
      <c r="H283">
        <v>0.85</v>
      </c>
      <c r="I283">
        <f>IFERROR(VLOOKUP(E283,Control_Actividades!A:C,3,FALSE),"")</f>
        <v>70</v>
      </c>
      <c r="J283" s="3">
        <f t="shared" si="134"/>
        <v>59.5</v>
      </c>
    </row>
    <row r="284" spans="1:10" hidden="1" x14ac:dyDescent="0.3">
      <c r="A284" s="5">
        <v>46079</v>
      </c>
      <c r="B284" s="6">
        <f t="shared" si="132"/>
        <v>9</v>
      </c>
      <c r="C284" s="6" t="s">
        <v>47</v>
      </c>
      <c r="D284" s="6"/>
      <c r="E284" s="6" t="s">
        <v>10</v>
      </c>
      <c r="F284" s="6" t="s">
        <v>59</v>
      </c>
      <c r="G284" s="6" t="str">
        <f>IFERROR(VLOOKUP(E284,Control_Actividades!A:C,2,FALSE),"")</f>
        <v>Quintal</v>
      </c>
      <c r="H284" s="6">
        <v>0.5</v>
      </c>
      <c r="I284" s="6">
        <f>IFERROR(VLOOKUP(E284,Control_Actividades!A:C,3,FALSE),"")</f>
        <v>70</v>
      </c>
      <c r="J284" s="10">
        <f t="shared" si="134"/>
        <v>35</v>
      </c>
    </row>
    <row r="285" spans="1:10" hidden="1" x14ac:dyDescent="0.3">
      <c r="A285" s="2">
        <v>46080</v>
      </c>
      <c r="B285">
        <f t="shared" si="132"/>
        <v>9</v>
      </c>
      <c r="C285" t="s">
        <v>22</v>
      </c>
      <c r="E285" t="s">
        <v>23</v>
      </c>
      <c r="F285" t="s">
        <v>59</v>
      </c>
      <c r="G285" t="str">
        <f>IFERROR(VLOOKUP(E285,Control_Actividades!A:C,2,FALSE),"")</f>
        <v>Dia</v>
      </c>
      <c r="H285">
        <v>1</v>
      </c>
      <c r="I285">
        <f>IFERROR(VLOOKUP(E285,Control_Actividades!A:C,3,FALSE),"")</f>
        <v>100</v>
      </c>
      <c r="J285" s="3">
        <f t="shared" si="134"/>
        <v>100</v>
      </c>
    </row>
    <row r="286" spans="1:10" hidden="1" x14ac:dyDescent="0.3">
      <c r="A286" s="2">
        <v>46080</v>
      </c>
      <c r="B286">
        <f t="shared" ref="B286:B332" si="135">_xlfn.SINGLE(WEEKNUM(A286,2))</f>
        <v>9</v>
      </c>
      <c r="C286" t="s">
        <v>27</v>
      </c>
      <c r="E286" t="s">
        <v>53</v>
      </c>
      <c r="F286" t="s">
        <v>49</v>
      </c>
      <c r="G286" t="str">
        <f>IFERROR(VLOOKUP(E286,Control_Actividades!A:C,2,FALSE),"")</f>
        <v>Dia</v>
      </c>
      <c r="H286">
        <v>1</v>
      </c>
      <c r="I286">
        <f>IFERROR(VLOOKUP(E286,Control_Actividades!A:C,3,FALSE),"")</f>
        <v>130</v>
      </c>
      <c r="J286" s="3">
        <f t="shared" si="134"/>
        <v>130</v>
      </c>
    </row>
    <row r="287" spans="1:10" hidden="1" x14ac:dyDescent="0.3">
      <c r="A287" s="2">
        <v>46080</v>
      </c>
      <c r="B287">
        <f t="shared" ref="B287:B349" si="136">WEEKNUM(A287,2)</f>
        <v>9</v>
      </c>
      <c r="C287" t="s">
        <v>28</v>
      </c>
      <c r="E287" t="s">
        <v>10</v>
      </c>
      <c r="F287" t="s">
        <v>59</v>
      </c>
      <c r="G287" t="str">
        <f>IFERROR(VLOOKUP(E287,Control_Actividades!A:C,2,FALSE),"")</f>
        <v>Quintal</v>
      </c>
      <c r="H287">
        <v>0.55000000000000004</v>
      </c>
      <c r="I287">
        <f>IFERROR(VLOOKUP(E287,Control_Actividades!A:C,3,FALSE),"")</f>
        <v>70</v>
      </c>
      <c r="J287" s="3">
        <f t="shared" si="134"/>
        <v>38.5</v>
      </c>
    </row>
    <row r="288" spans="1:10" hidden="1" x14ac:dyDescent="0.3">
      <c r="A288" s="2">
        <v>46080</v>
      </c>
      <c r="B288">
        <f t="shared" ref="B288:B311" si="137">_xlfn.SINGLE(WEEKNUM(A288,2))</f>
        <v>9</v>
      </c>
      <c r="C288" t="s">
        <v>29</v>
      </c>
      <c r="E288" t="s">
        <v>10</v>
      </c>
      <c r="F288" t="s">
        <v>59</v>
      </c>
      <c r="G288" t="str">
        <f>IFERROR(VLOOKUP(E288,Control_Actividades!A:C,2,FALSE),"")</f>
        <v>Quintal</v>
      </c>
      <c r="H288">
        <v>0.6</v>
      </c>
      <c r="I288">
        <f>IFERROR(VLOOKUP(E288,Control_Actividades!A:C,3,FALSE),"")</f>
        <v>70</v>
      </c>
      <c r="J288" s="3">
        <f t="shared" si="134"/>
        <v>42</v>
      </c>
    </row>
    <row r="289" spans="1:10" hidden="1" x14ac:dyDescent="0.3">
      <c r="A289" s="2">
        <v>46080</v>
      </c>
      <c r="B289">
        <f t="shared" ref="B289:B312" si="138">WEEKNUM(A289,2)</f>
        <v>9</v>
      </c>
      <c r="C289" t="s">
        <v>26</v>
      </c>
      <c r="E289" t="s">
        <v>10</v>
      </c>
      <c r="F289" t="s">
        <v>59</v>
      </c>
      <c r="G289" t="str">
        <f>IFERROR(VLOOKUP(E289,Control_Actividades!A:C,2,FALSE),"")</f>
        <v>Quintal</v>
      </c>
      <c r="H289">
        <v>0.35</v>
      </c>
      <c r="I289">
        <f>IFERROR(VLOOKUP(E289,Control_Actividades!A:C,3,FALSE),"")</f>
        <v>70</v>
      </c>
      <c r="J289" s="3">
        <f t="shared" si="134"/>
        <v>24.5</v>
      </c>
    </row>
    <row r="290" spans="1:10" hidden="1" x14ac:dyDescent="0.3">
      <c r="A290" s="2">
        <v>46080</v>
      </c>
      <c r="B290">
        <f t="shared" ref="B290:B313" si="139">_xlfn.SINGLE(WEEKNUM(A290,2))</f>
        <v>9</v>
      </c>
      <c r="C290" t="s">
        <v>30</v>
      </c>
      <c r="E290" t="s">
        <v>10</v>
      </c>
      <c r="F290" t="s">
        <v>59</v>
      </c>
      <c r="G290" t="str">
        <f>IFERROR(VLOOKUP(E290,Control_Actividades!A:C,2,FALSE),"")</f>
        <v>Quintal</v>
      </c>
      <c r="H290">
        <v>0.55000000000000004</v>
      </c>
      <c r="I290">
        <f>IFERROR(VLOOKUP(E290,Control_Actividades!A:C,3,FALSE),"")</f>
        <v>70</v>
      </c>
      <c r="J290" s="3">
        <f t="shared" si="134"/>
        <v>38.5</v>
      </c>
    </row>
    <row r="291" spans="1:10" hidden="1" x14ac:dyDescent="0.3">
      <c r="A291" s="2">
        <v>46080</v>
      </c>
      <c r="B291">
        <f t="shared" ref="B291:B314" si="140">WEEKNUM(A291,2)</f>
        <v>9</v>
      </c>
      <c r="C291" t="s">
        <v>31</v>
      </c>
      <c r="E291" t="s">
        <v>10</v>
      </c>
      <c r="F291" t="s">
        <v>59</v>
      </c>
      <c r="G291" t="str">
        <f>IFERROR(VLOOKUP(E291,Control_Actividades!A:C,2,FALSE),"")</f>
        <v>Quintal</v>
      </c>
      <c r="H291">
        <v>0.95</v>
      </c>
      <c r="I291">
        <f>IFERROR(VLOOKUP(E291,Control_Actividades!A:C,3,FALSE),"")</f>
        <v>70</v>
      </c>
      <c r="J291" s="3">
        <f t="shared" si="134"/>
        <v>66.5</v>
      </c>
    </row>
    <row r="292" spans="1:10" hidden="1" x14ac:dyDescent="0.3">
      <c r="A292" s="2">
        <v>46080</v>
      </c>
      <c r="B292">
        <f t="shared" ref="B292:B315" si="141">_xlfn.SINGLE(WEEKNUM(A292,2))</f>
        <v>9</v>
      </c>
      <c r="C292" t="s">
        <v>32</v>
      </c>
      <c r="E292" t="s">
        <v>48</v>
      </c>
      <c r="F292" t="s">
        <v>49</v>
      </c>
      <c r="G292" t="str">
        <f>IFERROR(VLOOKUP(E292,Control_Actividades!A:C,2,FALSE),"")</f>
        <v>Dia</v>
      </c>
      <c r="H292">
        <v>1</v>
      </c>
      <c r="I292">
        <f>IFERROR(VLOOKUP(E292,Control_Actividades!A:C,3,FALSE),"")</f>
        <v>100</v>
      </c>
      <c r="J292" s="3">
        <f t="shared" si="134"/>
        <v>100</v>
      </c>
    </row>
    <row r="293" spans="1:10" hidden="1" x14ac:dyDescent="0.3">
      <c r="A293" s="2">
        <v>46080</v>
      </c>
      <c r="B293">
        <f t="shared" ref="B293:B324" si="142">WEEKNUM(A293,2)</f>
        <v>9</v>
      </c>
      <c r="C293" t="s">
        <v>33</v>
      </c>
      <c r="E293" t="s">
        <v>10</v>
      </c>
      <c r="F293" t="s">
        <v>59</v>
      </c>
      <c r="G293" t="str">
        <f>IFERROR(VLOOKUP(E293,Control_Actividades!A:C,2,FALSE),"")</f>
        <v>Quintal</v>
      </c>
      <c r="H293">
        <v>0.45</v>
      </c>
      <c r="I293">
        <f>IFERROR(VLOOKUP(E293,Control_Actividades!A:C,3,FALSE),"")</f>
        <v>70</v>
      </c>
      <c r="J293" s="3">
        <f t="shared" si="134"/>
        <v>31.5</v>
      </c>
    </row>
    <row r="294" spans="1:10" hidden="1" x14ac:dyDescent="0.3">
      <c r="A294" s="2">
        <v>46080</v>
      </c>
      <c r="B294">
        <f t="shared" ref="B294:B325" si="143">_xlfn.SINGLE(WEEKNUM(A294,2))</f>
        <v>9</v>
      </c>
      <c r="C294" t="s">
        <v>34</v>
      </c>
      <c r="E294" t="s">
        <v>10</v>
      </c>
      <c r="F294" t="s">
        <v>59</v>
      </c>
      <c r="G294" t="str">
        <f>IFERROR(VLOOKUP(E294,Control_Actividades!A:C,2,FALSE),"")</f>
        <v>Quintal</v>
      </c>
      <c r="H294">
        <v>0.6</v>
      </c>
      <c r="I294">
        <f>IFERROR(VLOOKUP(E294,Control_Actividades!A:C,3,FALSE),"")</f>
        <v>70</v>
      </c>
      <c r="J294" s="3">
        <f t="shared" si="134"/>
        <v>42</v>
      </c>
    </row>
    <row r="295" spans="1:10" hidden="1" x14ac:dyDescent="0.3">
      <c r="A295" s="2">
        <v>46080</v>
      </c>
      <c r="B295">
        <f t="shared" ref="B295:B326" si="144">WEEKNUM(A295,2)</f>
        <v>9</v>
      </c>
      <c r="C295" t="s">
        <v>35</v>
      </c>
      <c r="E295" t="s">
        <v>10</v>
      </c>
      <c r="F295" t="s">
        <v>59</v>
      </c>
      <c r="G295" t="str">
        <f>IFERROR(VLOOKUP(E295,Control_Actividades!A:C,2,FALSE),"")</f>
        <v>Quintal</v>
      </c>
      <c r="H295">
        <v>0.95</v>
      </c>
      <c r="I295">
        <f>IFERROR(VLOOKUP(E295,Control_Actividades!A:C,3,FALSE),"")</f>
        <v>70</v>
      </c>
      <c r="J295" s="3">
        <f t="shared" si="134"/>
        <v>66.5</v>
      </c>
    </row>
    <row r="296" spans="1:10" hidden="1" x14ac:dyDescent="0.3">
      <c r="A296" s="2">
        <v>46080</v>
      </c>
      <c r="B296">
        <f t="shared" ref="B296:B327" si="145">_xlfn.SINGLE(WEEKNUM(A296,2))</f>
        <v>9</v>
      </c>
      <c r="C296" t="s">
        <v>36</v>
      </c>
      <c r="E296" t="s">
        <v>10</v>
      </c>
      <c r="F296" t="s">
        <v>59</v>
      </c>
      <c r="G296" t="str">
        <f>IFERROR(VLOOKUP(E296,Control_Actividades!A:C,2,FALSE),"")</f>
        <v>Quintal</v>
      </c>
      <c r="H296">
        <v>0.45</v>
      </c>
      <c r="I296">
        <f>IFERROR(VLOOKUP(E296,Control_Actividades!A:C,3,FALSE),"")</f>
        <v>70</v>
      </c>
      <c r="J296" s="3">
        <f t="shared" si="134"/>
        <v>31.5</v>
      </c>
    </row>
    <row r="297" spans="1:10" hidden="1" x14ac:dyDescent="0.3">
      <c r="A297" s="2">
        <v>46080</v>
      </c>
      <c r="B297">
        <f t="shared" ref="B297:B328" si="146">WEEKNUM(A297,2)</f>
        <v>9</v>
      </c>
      <c r="C297" t="s">
        <v>37</v>
      </c>
      <c r="E297" t="s">
        <v>10</v>
      </c>
      <c r="F297" t="s">
        <v>59</v>
      </c>
      <c r="G297" t="str">
        <f>IFERROR(VLOOKUP(E297,Control_Actividades!A:C,2,FALSE),"")</f>
        <v>Quintal</v>
      </c>
      <c r="H297">
        <v>0.45</v>
      </c>
      <c r="I297">
        <f>IFERROR(VLOOKUP(E297,Control_Actividades!A:C,3,FALSE),"")</f>
        <v>70</v>
      </c>
      <c r="J297" s="3">
        <f t="shared" si="134"/>
        <v>31.5</v>
      </c>
    </row>
    <row r="298" spans="1:10" hidden="1" x14ac:dyDescent="0.3">
      <c r="A298" s="2">
        <v>46080</v>
      </c>
      <c r="B298">
        <f t="shared" ref="B298:B329" si="147">_xlfn.SINGLE(WEEKNUM(A298,2))</f>
        <v>9</v>
      </c>
      <c r="C298" t="s">
        <v>38</v>
      </c>
      <c r="E298" t="s">
        <v>10</v>
      </c>
      <c r="F298" t="s">
        <v>59</v>
      </c>
      <c r="G298" t="str">
        <f>IFERROR(VLOOKUP(E298,Control_Actividades!A:C,2,FALSE),"")</f>
        <v>Quintal</v>
      </c>
      <c r="H298">
        <v>0.55000000000000004</v>
      </c>
      <c r="I298">
        <f>IFERROR(VLOOKUP(E298,Control_Actividades!A:C,3,FALSE),"")</f>
        <v>70</v>
      </c>
      <c r="J298" s="3">
        <f t="shared" si="134"/>
        <v>38.5</v>
      </c>
    </row>
    <row r="299" spans="1:10" x14ac:dyDescent="0.3">
      <c r="A299" s="2">
        <v>46080</v>
      </c>
      <c r="B299">
        <f t="shared" ref="B299:B331" si="148">WEEKNUM(A299,2)</f>
        <v>9</v>
      </c>
      <c r="C299" t="s">
        <v>39</v>
      </c>
      <c r="E299" t="s">
        <v>17</v>
      </c>
      <c r="F299" t="s">
        <v>25</v>
      </c>
      <c r="G299" t="str">
        <f>IFERROR(VLOOKUP(E299,Control_Actividades!A:C,2,FALSE),"")</f>
        <v>Manzana</v>
      </c>
      <c r="H299">
        <v>0.7</v>
      </c>
      <c r="I299">
        <f>IFERROR(VLOOKUP(E299,Control_Actividades!A:C,3,FALSE),"")</f>
        <v>110</v>
      </c>
      <c r="J299" s="3">
        <f t="shared" si="134"/>
        <v>77</v>
      </c>
    </row>
    <row r="300" spans="1:10" hidden="1" x14ac:dyDescent="0.3">
      <c r="A300" s="2">
        <v>46080</v>
      </c>
      <c r="B300">
        <f t="shared" ref="B300:B323" si="149">_xlfn.SINGLE(WEEKNUM(A300,2))</f>
        <v>9</v>
      </c>
      <c r="C300" t="s">
        <v>40</v>
      </c>
      <c r="E300" t="s">
        <v>10</v>
      </c>
      <c r="F300" t="s">
        <v>59</v>
      </c>
      <c r="G300" t="str">
        <f>IFERROR(VLOOKUP(E300,Control_Actividades!A:C,2,FALSE),"")</f>
        <v>Quintal</v>
      </c>
      <c r="H300">
        <v>0.55000000000000004</v>
      </c>
      <c r="I300">
        <f>IFERROR(VLOOKUP(E300,Control_Actividades!A:C,3,FALSE),"")</f>
        <v>70</v>
      </c>
      <c r="J300" s="3">
        <f t="shared" si="134"/>
        <v>38.5</v>
      </c>
    </row>
    <row r="301" spans="1:10" hidden="1" x14ac:dyDescent="0.3">
      <c r="A301" s="2">
        <v>46080</v>
      </c>
      <c r="B301">
        <f t="shared" si="142"/>
        <v>9</v>
      </c>
      <c r="C301" t="s">
        <v>41</v>
      </c>
      <c r="E301" t="s">
        <v>48</v>
      </c>
      <c r="F301" t="s">
        <v>49</v>
      </c>
      <c r="G301" t="str">
        <f>IFERROR(VLOOKUP(E301,Control_Actividades!A:C,2,FALSE),"")</f>
        <v>Dia</v>
      </c>
      <c r="H301">
        <v>1</v>
      </c>
      <c r="I301">
        <f>IFERROR(VLOOKUP(E301,Control_Actividades!A:C,3,FALSE),"")</f>
        <v>100</v>
      </c>
      <c r="J301" s="3">
        <f t="shared" si="134"/>
        <v>100</v>
      </c>
    </row>
    <row r="302" spans="1:10" hidden="1" x14ac:dyDescent="0.3">
      <c r="A302" s="2">
        <v>46080</v>
      </c>
      <c r="B302">
        <f t="shared" si="143"/>
        <v>9</v>
      </c>
      <c r="C302" t="s">
        <v>42</v>
      </c>
      <c r="E302" t="s">
        <v>10</v>
      </c>
      <c r="F302" t="s">
        <v>59</v>
      </c>
      <c r="G302" t="str">
        <f>IFERROR(VLOOKUP(E302,Control_Actividades!A:C,2,FALSE),"")</f>
        <v>Quintal</v>
      </c>
      <c r="H302">
        <v>0.75</v>
      </c>
      <c r="I302">
        <f>IFERROR(VLOOKUP(E302,Control_Actividades!A:C,3,FALSE),"")</f>
        <v>70</v>
      </c>
      <c r="J302" s="3">
        <f t="shared" si="134"/>
        <v>52.5</v>
      </c>
    </row>
    <row r="303" spans="1:10" hidden="1" x14ac:dyDescent="0.3">
      <c r="A303" s="2">
        <v>46080</v>
      </c>
      <c r="B303">
        <f t="shared" si="144"/>
        <v>9</v>
      </c>
      <c r="C303" t="s">
        <v>43</v>
      </c>
      <c r="E303" t="s">
        <v>48</v>
      </c>
      <c r="F303" t="s">
        <v>49</v>
      </c>
      <c r="G303" t="str">
        <f>IFERROR(VLOOKUP(E303,Control_Actividades!A:C,2,FALSE),"")</f>
        <v>Dia</v>
      </c>
      <c r="H303">
        <v>1</v>
      </c>
      <c r="I303">
        <f>IFERROR(VLOOKUP(E303,Control_Actividades!A:C,3,FALSE),"")</f>
        <v>100</v>
      </c>
      <c r="J303" s="3">
        <f t="shared" si="134"/>
        <v>100</v>
      </c>
    </row>
    <row r="304" spans="1:10" x14ac:dyDescent="0.3">
      <c r="A304" s="2">
        <v>46080</v>
      </c>
      <c r="B304">
        <f t="shared" si="145"/>
        <v>9</v>
      </c>
      <c r="C304" t="s">
        <v>44</v>
      </c>
      <c r="E304" t="s">
        <v>17</v>
      </c>
      <c r="F304" t="s">
        <v>25</v>
      </c>
      <c r="G304" t="str">
        <f>IFERROR(VLOOKUP(E304,Control_Actividades!A:C,2,FALSE),"")</f>
        <v>Manzana</v>
      </c>
      <c r="H304">
        <v>0.7</v>
      </c>
      <c r="I304">
        <f>IFERROR(VLOOKUP(E304,Control_Actividades!A:C,3,FALSE),"")</f>
        <v>110</v>
      </c>
      <c r="J304" s="3">
        <f t="shared" si="134"/>
        <v>77</v>
      </c>
    </row>
    <row r="305" spans="1:10" hidden="1" x14ac:dyDescent="0.3">
      <c r="A305" s="2">
        <v>46080</v>
      </c>
      <c r="B305">
        <f t="shared" si="146"/>
        <v>9</v>
      </c>
      <c r="C305" t="s">
        <v>45</v>
      </c>
      <c r="E305" t="s">
        <v>10</v>
      </c>
      <c r="F305" t="s">
        <v>59</v>
      </c>
      <c r="G305" t="str">
        <f>IFERROR(VLOOKUP(E305,Control_Actividades!A:C,2,FALSE),"")</f>
        <v>Quintal</v>
      </c>
      <c r="H305">
        <v>0.35</v>
      </c>
      <c r="I305">
        <f>IFERROR(VLOOKUP(E305,Control_Actividades!A:C,3,FALSE),"")</f>
        <v>70</v>
      </c>
      <c r="J305" s="3">
        <f t="shared" si="134"/>
        <v>24.5</v>
      </c>
    </row>
    <row r="306" spans="1:10" hidden="1" x14ac:dyDescent="0.3">
      <c r="A306" s="2">
        <v>46080</v>
      </c>
      <c r="B306">
        <f t="shared" si="147"/>
        <v>9</v>
      </c>
      <c r="C306" t="s">
        <v>46</v>
      </c>
      <c r="E306" t="s">
        <v>10</v>
      </c>
      <c r="F306" t="s">
        <v>59</v>
      </c>
      <c r="G306" t="str">
        <f>IFERROR(VLOOKUP(E306,Control_Actividades!A:C,2,FALSE),"")</f>
        <v>Quintal</v>
      </c>
      <c r="H306">
        <v>0.8</v>
      </c>
      <c r="I306">
        <f>IFERROR(VLOOKUP(E306,Control_Actividades!A:C,3,FALSE),"")</f>
        <v>70</v>
      </c>
      <c r="J306" s="3">
        <f t="shared" si="134"/>
        <v>56</v>
      </c>
    </row>
    <row r="307" spans="1:10" hidden="1" x14ac:dyDescent="0.3">
      <c r="A307" s="5">
        <v>46080</v>
      </c>
      <c r="B307" s="6">
        <f t="shared" si="148"/>
        <v>9</v>
      </c>
      <c r="C307" s="6" t="s">
        <v>47</v>
      </c>
      <c r="D307" s="6"/>
      <c r="E307" s="6" t="s">
        <v>10</v>
      </c>
      <c r="F307" s="6" t="s">
        <v>59</v>
      </c>
      <c r="G307" s="6" t="str">
        <f>IFERROR(VLOOKUP(E307,Control_Actividades!A:C,2,FALSE),"")</f>
        <v>Quintal</v>
      </c>
      <c r="H307" s="6">
        <v>0.35</v>
      </c>
      <c r="I307" s="6">
        <f>IFERROR(VLOOKUP(E307,Control_Actividades!A:C,3,FALSE),"")</f>
        <v>70</v>
      </c>
      <c r="J307" s="10">
        <f t="shared" si="134"/>
        <v>24.5</v>
      </c>
    </row>
    <row r="308" spans="1:10" hidden="1" x14ac:dyDescent="0.3">
      <c r="A308" s="2">
        <v>46081</v>
      </c>
      <c r="B308">
        <f t="shared" si="148"/>
        <v>9</v>
      </c>
      <c r="C308" t="s">
        <v>22</v>
      </c>
      <c r="E308" t="s">
        <v>23</v>
      </c>
      <c r="F308" t="s">
        <v>60</v>
      </c>
      <c r="G308" t="str">
        <f>IFERROR(VLOOKUP(E308,Control_Actividades!A:C,2,FALSE),"")</f>
        <v>Dia</v>
      </c>
      <c r="H308">
        <v>1</v>
      </c>
      <c r="I308">
        <f>IFERROR(VLOOKUP(E308,Control_Actividades!A:C,3,FALSE),"")</f>
        <v>100</v>
      </c>
      <c r="J308" s="3">
        <f t="shared" si="134"/>
        <v>100</v>
      </c>
    </row>
    <row r="309" spans="1:10" hidden="1" x14ac:dyDescent="0.3">
      <c r="A309" s="2">
        <v>46081</v>
      </c>
      <c r="B309">
        <f t="shared" si="135"/>
        <v>9</v>
      </c>
      <c r="C309" t="s">
        <v>27</v>
      </c>
      <c r="E309" t="s">
        <v>53</v>
      </c>
      <c r="F309" t="s">
        <v>49</v>
      </c>
      <c r="G309" t="str">
        <f>IFERROR(VLOOKUP(E309,Control_Actividades!A:C,2,FALSE),"")</f>
        <v>Dia</v>
      </c>
      <c r="H309">
        <v>1</v>
      </c>
      <c r="I309">
        <f>IFERROR(VLOOKUP(E309,Control_Actividades!A:C,3,FALSE),"")</f>
        <v>130</v>
      </c>
      <c r="J309" s="3">
        <f t="shared" si="134"/>
        <v>130</v>
      </c>
    </row>
    <row r="310" spans="1:10" hidden="1" x14ac:dyDescent="0.3">
      <c r="A310" s="2">
        <v>46081</v>
      </c>
      <c r="B310">
        <f t="shared" si="136"/>
        <v>9</v>
      </c>
      <c r="C310" t="s">
        <v>28</v>
      </c>
      <c r="G310" t="str">
        <f>IFERROR(VLOOKUP(E310,Control_Actividades!A:C,2,FALSE),"")</f>
        <v/>
      </c>
      <c r="I310" t="str">
        <f>IFERROR(VLOOKUP(E310,Control_Actividades!A:C,3,FALSE),"")</f>
        <v/>
      </c>
      <c r="J310" s="3" t="e">
        <f t="shared" si="134"/>
        <v>#VALUE!</v>
      </c>
    </row>
    <row r="311" spans="1:10" hidden="1" x14ac:dyDescent="0.3">
      <c r="A311" s="2">
        <v>46081</v>
      </c>
      <c r="B311">
        <f t="shared" si="137"/>
        <v>9</v>
      </c>
      <c r="C311" t="s">
        <v>29</v>
      </c>
      <c r="G311" t="str">
        <f>IFERROR(VLOOKUP(E311,Control_Actividades!A:C,2,FALSE),"")</f>
        <v/>
      </c>
      <c r="I311" t="str">
        <f>IFERROR(VLOOKUP(E311,Control_Actividades!A:C,3,FALSE),"")</f>
        <v/>
      </c>
      <c r="J311" s="3" t="e">
        <f t="shared" si="134"/>
        <v>#VALUE!</v>
      </c>
    </row>
    <row r="312" spans="1:10" x14ac:dyDescent="0.3">
      <c r="A312" s="2">
        <v>46081</v>
      </c>
      <c r="B312">
        <f t="shared" si="138"/>
        <v>9</v>
      </c>
      <c r="C312" t="s">
        <v>26</v>
      </c>
      <c r="E312" t="s">
        <v>10</v>
      </c>
      <c r="F312" t="s">
        <v>60</v>
      </c>
      <c r="G312" t="str">
        <f>IFERROR(VLOOKUP(E312,Control_Actividades!A:C,2,FALSE),"")</f>
        <v>Quintal</v>
      </c>
      <c r="H312">
        <v>1.1000000000000001</v>
      </c>
      <c r="I312">
        <f>IFERROR(VLOOKUP(E312,Control_Actividades!A:C,3,FALSE),"")</f>
        <v>70</v>
      </c>
      <c r="J312" s="3">
        <f t="shared" si="134"/>
        <v>77</v>
      </c>
    </row>
    <row r="313" spans="1:10" x14ac:dyDescent="0.3">
      <c r="A313" s="2">
        <v>46081</v>
      </c>
      <c r="B313">
        <f t="shared" si="139"/>
        <v>9</v>
      </c>
      <c r="C313" t="s">
        <v>30</v>
      </c>
      <c r="E313" t="s">
        <v>10</v>
      </c>
      <c r="F313" t="s">
        <v>60</v>
      </c>
      <c r="G313" t="str">
        <f>IFERROR(VLOOKUP(E313,Control_Actividades!A:C,2,FALSE),"")</f>
        <v>Quintal</v>
      </c>
      <c r="H313">
        <v>1.1000000000000001</v>
      </c>
      <c r="I313">
        <f>IFERROR(VLOOKUP(E313,Control_Actividades!A:C,3,FALSE),"")</f>
        <v>70</v>
      </c>
      <c r="J313" s="3">
        <f t="shared" si="134"/>
        <v>77</v>
      </c>
    </row>
    <row r="314" spans="1:10" hidden="1" x14ac:dyDescent="0.3">
      <c r="A314" s="2">
        <v>46081</v>
      </c>
      <c r="B314">
        <f t="shared" si="140"/>
        <v>9</v>
      </c>
      <c r="C314" t="s">
        <v>31</v>
      </c>
      <c r="E314" t="s">
        <v>10</v>
      </c>
      <c r="F314" t="s">
        <v>60</v>
      </c>
      <c r="G314" t="str">
        <f>IFERROR(VLOOKUP(E314,Control_Actividades!A:C,2,FALSE),"")</f>
        <v>Quintal</v>
      </c>
      <c r="H314">
        <v>1.3</v>
      </c>
      <c r="I314">
        <f>IFERROR(VLOOKUP(E314,Control_Actividades!A:C,3,FALSE),"")</f>
        <v>70</v>
      </c>
      <c r="J314" s="3">
        <f t="shared" si="134"/>
        <v>91</v>
      </c>
    </row>
    <row r="315" spans="1:10" hidden="1" x14ac:dyDescent="0.3">
      <c r="A315" s="2">
        <v>46081</v>
      </c>
      <c r="B315">
        <f t="shared" si="141"/>
        <v>9</v>
      </c>
      <c r="C315" t="s">
        <v>32</v>
      </c>
      <c r="E315" t="s">
        <v>48</v>
      </c>
      <c r="F315" t="s">
        <v>49</v>
      </c>
      <c r="G315" t="str">
        <f>IFERROR(VLOOKUP(E315,Control_Actividades!A:C,2,FALSE),"")</f>
        <v>Dia</v>
      </c>
      <c r="H315">
        <v>1</v>
      </c>
      <c r="I315">
        <f>IFERROR(VLOOKUP(E315,Control_Actividades!A:C,3,FALSE),"")</f>
        <v>100</v>
      </c>
      <c r="J315" s="3">
        <f t="shared" si="134"/>
        <v>100</v>
      </c>
    </row>
    <row r="316" spans="1:10" hidden="1" x14ac:dyDescent="0.3">
      <c r="A316" s="2">
        <v>46081</v>
      </c>
      <c r="B316">
        <f t="shared" si="142"/>
        <v>9</v>
      </c>
      <c r="C316" t="s">
        <v>33</v>
      </c>
      <c r="E316" t="s">
        <v>10</v>
      </c>
      <c r="F316" t="s">
        <v>60</v>
      </c>
      <c r="G316" t="str">
        <f>IFERROR(VLOOKUP(E316,Control_Actividades!A:C,2,FALSE),"")</f>
        <v>Quintal</v>
      </c>
      <c r="H316">
        <v>0.9</v>
      </c>
      <c r="I316">
        <f>IFERROR(VLOOKUP(E316,Control_Actividades!A:C,3,FALSE),"")</f>
        <v>70</v>
      </c>
      <c r="J316" s="3">
        <f t="shared" si="134"/>
        <v>63</v>
      </c>
    </row>
    <row r="317" spans="1:10" hidden="1" x14ac:dyDescent="0.3">
      <c r="A317" s="2">
        <v>46081</v>
      </c>
      <c r="B317">
        <f t="shared" si="143"/>
        <v>9</v>
      </c>
      <c r="C317" t="s">
        <v>34</v>
      </c>
      <c r="E317" t="s">
        <v>10</v>
      </c>
      <c r="F317" t="s">
        <v>60</v>
      </c>
      <c r="G317" t="str">
        <f>IFERROR(VLOOKUP(E317,Control_Actividades!A:C,2,FALSE),"")</f>
        <v>Quintal</v>
      </c>
      <c r="H317">
        <v>0.7</v>
      </c>
      <c r="I317">
        <f>IFERROR(VLOOKUP(E317,Control_Actividades!A:C,3,FALSE),"")</f>
        <v>70</v>
      </c>
      <c r="J317" s="3">
        <f t="shared" si="134"/>
        <v>49</v>
      </c>
    </row>
    <row r="318" spans="1:10" hidden="1" x14ac:dyDescent="0.3">
      <c r="A318" s="2">
        <v>46081</v>
      </c>
      <c r="B318">
        <f t="shared" si="144"/>
        <v>9</v>
      </c>
      <c r="C318" t="s">
        <v>35</v>
      </c>
      <c r="E318" t="s">
        <v>10</v>
      </c>
      <c r="F318" t="s">
        <v>60</v>
      </c>
      <c r="G318" t="str">
        <f>IFERROR(VLOOKUP(E318,Control_Actividades!A:C,2,FALSE),"")</f>
        <v>Quintal</v>
      </c>
      <c r="H318">
        <v>1.3</v>
      </c>
      <c r="I318">
        <f>IFERROR(VLOOKUP(E318,Control_Actividades!A:C,3,FALSE),"")</f>
        <v>70</v>
      </c>
      <c r="J318" s="3">
        <f t="shared" si="134"/>
        <v>91</v>
      </c>
    </row>
    <row r="319" spans="1:10" hidden="1" x14ac:dyDescent="0.3">
      <c r="A319" s="2">
        <v>46081</v>
      </c>
      <c r="B319">
        <f t="shared" si="145"/>
        <v>9</v>
      </c>
      <c r="C319" t="s">
        <v>36</v>
      </c>
      <c r="E319" t="s">
        <v>10</v>
      </c>
      <c r="F319" t="s">
        <v>60</v>
      </c>
      <c r="G319" t="str">
        <f>IFERROR(VLOOKUP(E319,Control_Actividades!A:C,2,FALSE),"")</f>
        <v>Quintal</v>
      </c>
      <c r="H319">
        <v>1</v>
      </c>
      <c r="I319">
        <f>IFERROR(VLOOKUP(E319,Control_Actividades!A:C,3,FALSE),"")</f>
        <v>70</v>
      </c>
      <c r="J319" s="3">
        <f t="shared" si="134"/>
        <v>70</v>
      </c>
    </row>
    <row r="320" spans="1:10" hidden="1" x14ac:dyDescent="0.3">
      <c r="A320" s="2">
        <v>46081</v>
      </c>
      <c r="B320">
        <f t="shared" si="146"/>
        <v>9</v>
      </c>
      <c r="C320" t="s">
        <v>37</v>
      </c>
      <c r="E320" t="s">
        <v>10</v>
      </c>
      <c r="F320" t="s">
        <v>60</v>
      </c>
      <c r="G320" t="str">
        <f>IFERROR(VLOOKUP(E320,Control_Actividades!A:C,2,FALSE),"")</f>
        <v>Quintal</v>
      </c>
      <c r="H320">
        <v>1.05</v>
      </c>
      <c r="I320">
        <f>IFERROR(VLOOKUP(E320,Control_Actividades!A:C,3,FALSE),"")</f>
        <v>70</v>
      </c>
      <c r="J320" s="3">
        <f t="shared" si="134"/>
        <v>73.5</v>
      </c>
    </row>
    <row r="321" spans="1:10" x14ac:dyDescent="0.3">
      <c r="A321" s="2">
        <v>46081</v>
      </c>
      <c r="B321">
        <f t="shared" si="147"/>
        <v>9</v>
      </c>
      <c r="C321" t="s">
        <v>38</v>
      </c>
      <c r="E321" t="s">
        <v>10</v>
      </c>
      <c r="F321" t="s">
        <v>60</v>
      </c>
      <c r="G321" t="str">
        <f>IFERROR(VLOOKUP(E321,Control_Actividades!A:C,2,FALSE),"")</f>
        <v>Quintal</v>
      </c>
      <c r="H321">
        <v>1.1000000000000001</v>
      </c>
      <c r="I321">
        <f>IFERROR(VLOOKUP(E321,Control_Actividades!A:C,3,FALSE),"")</f>
        <v>70</v>
      </c>
      <c r="J321" s="3">
        <f t="shared" si="134"/>
        <v>77</v>
      </c>
    </row>
    <row r="322" spans="1:10" x14ac:dyDescent="0.3">
      <c r="A322" s="2">
        <v>46081</v>
      </c>
      <c r="B322">
        <f t="shared" si="148"/>
        <v>9</v>
      </c>
      <c r="C322" t="s">
        <v>39</v>
      </c>
      <c r="E322" t="s">
        <v>17</v>
      </c>
      <c r="F322" t="s">
        <v>25</v>
      </c>
      <c r="G322" t="str">
        <f>IFERROR(VLOOKUP(E322,Control_Actividades!A:C,2,FALSE),"")</f>
        <v>Manzana</v>
      </c>
      <c r="H322">
        <v>0.7</v>
      </c>
      <c r="I322">
        <f>IFERROR(VLOOKUP(E322,Control_Actividades!A:C,3,FALSE),"")</f>
        <v>110</v>
      </c>
      <c r="J322" s="3">
        <f t="shared" ref="J322:J379" si="150">H322*I322</f>
        <v>77</v>
      </c>
    </row>
    <row r="323" spans="1:10" hidden="1" x14ac:dyDescent="0.3">
      <c r="A323" s="2">
        <v>46081</v>
      </c>
      <c r="B323">
        <f t="shared" si="149"/>
        <v>9</v>
      </c>
      <c r="C323" t="s">
        <v>40</v>
      </c>
      <c r="E323" t="s">
        <v>10</v>
      </c>
      <c r="F323" t="s">
        <v>60</v>
      </c>
      <c r="G323" t="str">
        <f>IFERROR(VLOOKUP(E323,Control_Actividades!A:C,2,FALSE),"")</f>
        <v>Quintal</v>
      </c>
      <c r="H323">
        <v>0.9</v>
      </c>
      <c r="I323">
        <f>IFERROR(VLOOKUP(E323,Control_Actividades!A:C,3,FALSE),"")</f>
        <v>70</v>
      </c>
      <c r="J323" s="3">
        <f t="shared" si="150"/>
        <v>63</v>
      </c>
    </row>
    <row r="324" spans="1:10" hidden="1" x14ac:dyDescent="0.3">
      <c r="A324" s="2">
        <v>46081</v>
      </c>
      <c r="B324">
        <f t="shared" si="142"/>
        <v>9</v>
      </c>
      <c r="C324" t="s">
        <v>41</v>
      </c>
      <c r="E324" t="s">
        <v>48</v>
      </c>
      <c r="F324" t="s">
        <v>49</v>
      </c>
      <c r="G324" t="str">
        <f>IFERROR(VLOOKUP(E324,Control_Actividades!A:C,2,FALSE),"")</f>
        <v>Dia</v>
      </c>
      <c r="H324">
        <v>1</v>
      </c>
      <c r="I324">
        <f>IFERROR(VLOOKUP(E324,Control_Actividades!A:C,3,FALSE),"")</f>
        <v>100</v>
      </c>
      <c r="J324" s="3">
        <f t="shared" si="150"/>
        <v>100</v>
      </c>
    </row>
    <row r="325" spans="1:10" hidden="1" x14ac:dyDescent="0.3">
      <c r="A325" s="2">
        <v>46081</v>
      </c>
      <c r="B325">
        <f t="shared" si="143"/>
        <v>9</v>
      </c>
      <c r="C325" t="s">
        <v>42</v>
      </c>
      <c r="E325" t="s">
        <v>10</v>
      </c>
      <c r="F325" t="s">
        <v>60</v>
      </c>
      <c r="G325" t="str">
        <f>IFERROR(VLOOKUP(E325,Control_Actividades!A:C,2,FALSE),"")</f>
        <v>Quintal</v>
      </c>
      <c r="H325">
        <v>2.95</v>
      </c>
      <c r="I325">
        <f>IFERROR(VLOOKUP(E325,Control_Actividades!A:C,3,FALSE),"")</f>
        <v>70</v>
      </c>
      <c r="J325" s="3">
        <v>216.25</v>
      </c>
    </row>
    <row r="326" spans="1:10" hidden="1" x14ac:dyDescent="0.3">
      <c r="A326" s="2">
        <v>46081</v>
      </c>
      <c r="B326">
        <f t="shared" si="144"/>
        <v>9</v>
      </c>
      <c r="C326" t="s">
        <v>43</v>
      </c>
      <c r="E326" t="s">
        <v>48</v>
      </c>
      <c r="F326" t="s">
        <v>49</v>
      </c>
      <c r="G326" t="str">
        <f>IFERROR(VLOOKUP(E326,Control_Actividades!A:C,2,FALSE),"")</f>
        <v>Dia</v>
      </c>
      <c r="H326">
        <v>1</v>
      </c>
      <c r="I326">
        <f>IFERROR(VLOOKUP(E326,Control_Actividades!A:C,3,FALSE),"")</f>
        <v>100</v>
      </c>
      <c r="J326" s="3">
        <f t="shared" si="150"/>
        <v>100</v>
      </c>
    </row>
    <row r="327" spans="1:10" x14ac:dyDescent="0.3">
      <c r="A327" s="2">
        <v>46081</v>
      </c>
      <c r="B327">
        <f t="shared" si="145"/>
        <v>9</v>
      </c>
      <c r="C327" t="s">
        <v>44</v>
      </c>
      <c r="E327" t="s">
        <v>17</v>
      </c>
      <c r="F327" t="s">
        <v>25</v>
      </c>
      <c r="G327" t="str">
        <f>IFERROR(VLOOKUP(E327,Control_Actividades!A:C,2,FALSE),"")</f>
        <v>Manzana</v>
      </c>
      <c r="H327">
        <v>0.7</v>
      </c>
      <c r="I327">
        <f>IFERROR(VLOOKUP(E327,Control_Actividades!A:C,3,FALSE),"")</f>
        <v>110</v>
      </c>
      <c r="J327" s="3">
        <f t="shared" si="150"/>
        <v>77</v>
      </c>
    </row>
    <row r="328" spans="1:10" hidden="1" x14ac:dyDescent="0.3">
      <c r="A328" s="2">
        <v>46081</v>
      </c>
      <c r="B328">
        <f t="shared" si="146"/>
        <v>9</v>
      </c>
      <c r="C328" t="s">
        <v>45</v>
      </c>
      <c r="E328" t="s">
        <v>10</v>
      </c>
      <c r="F328" t="s">
        <v>60</v>
      </c>
      <c r="G328" t="str">
        <f>IFERROR(VLOOKUP(E328,Control_Actividades!A:C,2,FALSE),"")</f>
        <v>Quintal</v>
      </c>
      <c r="H328">
        <v>1</v>
      </c>
      <c r="I328">
        <f>IFERROR(VLOOKUP(E328,Control_Actividades!A:C,3,FALSE),"")</f>
        <v>70</v>
      </c>
      <c r="J328" s="3">
        <f t="shared" si="150"/>
        <v>70</v>
      </c>
    </row>
    <row r="329" spans="1:10" hidden="1" x14ac:dyDescent="0.3">
      <c r="A329" s="2">
        <v>46081</v>
      </c>
      <c r="B329">
        <f t="shared" si="147"/>
        <v>9</v>
      </c>
      <c r="C329" t="s">
        <v>46</v>
      </c>
      <c r="E329" t="s">
        <v>10</v>
      </c>
      <c r="F329" t="s">
        <v>60</v>
      </c>
      <c r="G329" t="str">
        <f>IFERROR(VLOOKUP(E329,Control_Actividades!A:C,2,FALSE),"")</f>
        <v>Quintal</v>
      </c>
      <c r="H329">
        <v>1.05</v>
      </c>
      <c r="I329">
        <f>IFERROR(VLOOKUP(E329,Control_Actividades!A:C,3,FALSE),"")</f>
        <v>70</v>
      </c>
      <c r="J329" s="3">
        <f t="shared" si="150"/>
        <v>73.5</v>
      </c>
    </row>
    <row r="330" spans="1:10" hidden="1" x14ac:dyDescent="0.3">
      <c r="A330" s="5">
        <v>46081</v>
      </c>
      <c r="B330" s="6">
        <f t="shared" si="148"/>
        <v>9</v>
      </c>
      <c r="C330" s="6" t="s">
        <v>47</v>
      </c>
      <c r="D330" s="6"/>
      <c r="E330" s="6" t="s">
        <v>10</v>
      </c>
      <c r="F330" s="6" t="s">
        <v>60</v>
      </c>
      <c r="G330" s="6" t="str">
        <f>IFERROR(VLOOKUP(E330,Control_Actividades!A:C,2,FALSE),"")</f>
        <v>Quintal</v>
      </c>
      <c r="H330" s="6">
        <v>0.7</v>
      </c>
      <c r="I330" s="6">
        <f>IFERROR(VLOOKUP(E330,Control_Actividades!A:C,3,FALSE),"")</f>
        <v>70</v>
      </c>
      <c r="J330" s="10">
        <f t="shared" si="150"/>
        <v>49</v>
      </c>
    </row>
    <row r="331" spans="1:10" hidden="1" x14ac:dyDescent="0.3">
      <c r="A331" s="8">
        <v>46082</v>
      </c>
      <c r="B331">
        <f t="shared" si="148"/>
        <v>9</v>
      </c>
      <c r="C331" t="s">
        <v>27</v>
      </c>
      <c r="E331" t="s">
        <v>54</v>
      </c>
      <c r="F331" t="s">
        <v>49</v>
      </c>
      <c r="G331" t="str">
        <f>IFERROR(VLOOKUP(E331,Control_Actividades!A:C,2,FALSE),"")</f>
        <v>Dia</v>
      </c>
      <c r="H331">
        <v>1</v>
      </c>
      <c r="I331">
        <f>IFERROR(VLOOKUP(E331,Control_Actividades!A:C,3,FALSE),"")</f>
        <v>130</v>
      </c>
      <c r="J331" s="3">
        <f t="shared" si="150"/>
        <v>130</v>
      </c>
    </row>
    <row r="332" spans="1:10" hidden="1" x14ac:dyDescent="0.3">
      <c r="A332" s="8">
        <v>46082</v>
      </c>
      <c r="B332">
        <f t="shared" si="135"/>
        <v>9</v>
      </c>
      <c r="C332" t="s">
        <v>41</v>
      </c>
      <c r="E332" t="s">
        <v>48</v>
      </c>
      <c r="F332" t="s">
        <v>49</v>
      </c>
      <c r="G332" t="str">
        <f>IFERROR(VLOOKUP(E332,Control_Actividades!A:C,2,FALSE),"")</f>
        <v>Dia</v>
      </c>
      <c r="H332">
        <v>1</v>
      </c>
      <c r="I332">
        <f>IFERROR(VLOOKUP(E332,Control_Actividades!A:C,3,FALSE),"")</f>
        <v>100</v>
      </c>
      <c r="J332" s="3">
        <f t="shared" si="150"/>
        <v>100</v>
      </c>
    </row>
    <row r="333" spans="1:10" hidden="1" x14ac:dyDescent="0.3">
      <c r="A333" s="9">
        <v>46082</v>
      </c>
      <c r="B333" s="6">
        <f t="shared" si="136"/>
        <v>9</v>
      </c>
      <c r="C333" s="6" t="s">
        <v>43</v>
      </c>
      <c r="D333" s="6"/>
      <c r="E333" s="6" t="s">
        <v>48</v>
      </c>
      <c r="F333" s="6" t="s">
        <v>49</v>
      </c>
      <c r="G333" s="6" t="str">
        <f>IFERROR(VLOOKUP(E333,Control_Actividades!A:C,2,FALSE),"")</f>
        <v>Dia</v>
      </c>
      <c r="H333" s="6">
        <v>1</v>
      </c>
      <c r="I333" s="6">
        <f>IFERROR(VLOOKUP(E333,Control_Actividades!A:C,3,FALSE),"")</f>
        <v>100</v>
      </c>
      <c r="J333" s="10">
        <f t="shared" si="150"/>
        <v>100</v>
      </c>
    </row>
    <row r="334" spans="1:10" hidden="1" x14ac:dyDescent="0.3">
      <c r="A334" s="2">
        <v>46083</v>
      </c>
      <c r="B334">
        <f t="shared" si="136"/>
        <v>10</v>
      </c>
      <c r="C334" t="s">
        <v>22</v>
      </c>
      <c r="E334" t="s">
        <v>23</v>
      </c>
      <c r="F334" t="s">
        <v>60</v>
      </c>
      <c r="G334" t="str">
        <f>IFERROR(VLOOKUP(E334,Control_Actividades!A:C,2,FALSE),"")</f>
        <v>Dia</v>
      </c>
      <c r="H334">
        <v>1</v>
      </c>
      <c r="I334">
        <f>IFERROR(VLOOKUP(E334,Control_Actividades!A:C,3,FALSE),"")</f>
        <v>100</v>
      </c>
      <c r="J334" s="3">
        <f t="shared" si="150"/>
        <v>100</v>
      </c>
    </row>
    <row r="335" spans="1:10" hidden="1" x14ac:dyDescent="0.3">
      <c r="A335" s="2">
        <v>46083</v>
      </c>
      <c r="B335">
        <f t="shared" ref="B335:B356" si="151">_xlfn.SINGLE(WEEKNUM(A335,2))</f>
        <v>10</v>
      </c>
      <c r="C335" t="s">
        <v>27</v>
      </c>
      <c r="E335" t="s">
        <v>53</v>
      </c>
      <c r="F335" t="s">
        <v>49</v>
      </c>
      <c r="G335" t="str">
        <f>IFERROR(VLOOKUP(E335,Control_Actividades!A:C,2,FALSE),"")</f>
        <v>Dia</v>
      </c>
      <c r="H335">
        <v>1</v>
      </c>
      <c r="I335">
        <f>IFERROR(VLOOKUP(E335,Control_Actividades!A:C,3,FALSE),"")</f>
        <v>130</v>
      </c>
      <c r="J335" s="3">
        <f t="shared" si="150"/>
        <v>130</v>
      </c>
    </row>
    <row r="336" spans="1:10" hidden="1" x14ac:dyDescent="0.3">
      <c r="A336" s="2">
        <v>46083</v>
      </c>
      <c r="B336">
        <f t="shared" si="136"/>
        <v>10</v>
      </c>
      <c r="C336" t="s">
        <v>28</v>
      </c>
      <c r="E336" t="s">
        <v>10</v>
      </c>
      <c r="F336" t="s">
        <v>60</v>
      </c>
      <c r="G336" t="str">
        <f>IFERROR(VLOOKUP(E336,Control_Actividades!A:C,2,FALSE),"")</f>
        <v>Quintal</v>
      </c>
      <c r="H336">
        <v>1.6</v>
      </c>
      <c r="I336">
        <f>IFERROR(VLOOKUP(E336,Control_Actividades!A:C,3,FALSE),"")</f>
        <v>70</v>
      </c>
      <c r="J336" s="3">
        <f t="shared" si="150"/>
        <v>112</v>
      </c>
    </row>
    <row r="337" spans="1:10" hidden="1" x14ac:dyDescent="0.3">
      <c r="A337" s="2">
        <v>46083</v>
      </c>
      <c r="B337">
        <f t="shared" si="136"/>
        <v>10</v>
      </c>
      <c r="C337" t="s">
        <v>29</v>
      </c>
      <c r="E337" t="s">
        <v>10</v>
      </c>
      <c r="F337" t="s">
        <v>60</v>
      </c>
      <c r="G337" t="str">
        <f>IFERROR(VLOOKUP(E337,Control_Actividades!A:C,2,FALSE),"")</f>
        <v>Quintal</v>
      </c>
      <c r="H337">
        <v>1.6</v>
      </c>
      <c r="I337">
        <f>IFERROR(VLOOKUP(E337,Control_Actividades!A:C,3,FALSE),"")</f>
        <v>70</v>
      </c>
      <c r="J337" s="3">
        <f t="shared" si="150"/>
        <v>112</v>
      </c>
    </row>
    <row r="338" spans="1:10" hidden="1" x14ac:dyDescent="0.3">
      <c r="A338" s="2">
        <v>46083</v>
      </c>
      <c r="B338">
        <f t="shared" si="151"/>
        <v>10</v>
      </c>
      <c r="C338" t="s">
        <v>26</v>
      </c>
      <c r="E338" t="s">
        <v>10</v>
      </c>
      <c r="F338" t="s">
        <v>60</v>
      </c>
      <c r="G338" t="str">
        <f>IFERROR(VLOOKUP(E338,Control_Actividades!A:C,2,FALSE),"")</f>
        <v>Quintal</v>
      </c>
      <c r="H338">
        <v>1.7</v>
      </c>
      <c r="I338">
        <f>IFERROR(VLOOKUP(E338,Control_Actividades!A:C,3,FALSE),"")</f>
        <v>70</v>
      </c>
      <c r="J338" s="3">
        <f t="shared" si="150"/>
        <v>119</v>
      </c>
    </row>
    <row r="339" spans="1:10" hidden="1" x14ac:dyDescent="0.3">
      <c r="A339" s="2">
        <v>46083</v>
      </c>
      <c r="B339">
        <f t="shared" si="136"/>
        <v>10</v>
      </c>
      <c r="C339" t="s">
        <v>30</v>
      </c>
      <c r="E339" t="s">
        <v>10</v>
      </c>
      <c r="F339" t="s">
        <v>60</v>
      </c>
      <c r="G339" t="str">
        <f>IFERROR(VLOOKUP(E339,Control_Actividades!A:C,2,FALSE),"")</f>
        <v>Quintal</v>
      </c>
      <c r="H339">
        <v>1.25</v>
      </c>
      <c r="I339">
        <f>IFERROR(VLOOKUP(E339,Control_Actividades!A:C,3,FALSE),"")</f>
        <v>70</v>
      </c>
      <c r="J339" s="3">
        <f t="shared" si="150"/>
        <v>87.5</v>
      </c>
    </row>
    <row r="340" spans="1:10" hidden="1" x14ac:dyDescent="0.3">
      <c r="A340" s="2">
        <v>46083</v>
      </c>
      <c r="B340">
        <f t="shared" si="136"/>
        <v>10</v>
      </c>
      <c r="C340" t="s">
        <v>31</v>
      </c>
      <c r="E340" t="s">
        <v>10</v>
      </c>
      <c r="F340" t="s">
        <v>60</v>
      </c>
      <c r="G340" t="str">
        <f>IFERROR(VLOOKUP(E340,Control_Actividades!A:C,2,FALSE),"")</f>
        <v>Quintal</v>
      </c>
      <c r="H340">
        <v>2</v>
      </c>
      <c r="I340">
        <f>IFERROR(VLOOKUP(E340,Control_Actividades!A:C,3,FALSE),"")</f>
        <v>70</v>
      </c>
      <c r="J340" s="3">
        <f t="shared" si="150"/>
        <v>140</v>
      </c>
    </row>
    <row r="341" spans="1:10" hidden="1" x14ac:dyDescent="0.3">
      <c r="A341" s="2">
        <v>46083</v>
      </c>
      <c r="B341">
        <f t="shared" si="151"/>
        <v>10</v>
      </c>
      <c r="C341" t="s">
        <v>32</v>
      </c>
      <c r="E341" t="s">
        <v>48</v>
      </c>
      <c r="F341" t="s">
        <v>49</v>
      </c>
      <c r="G341" t="str">
        <f>IFERROR(VLOOKUP(E341,Control_Actividades!A:C,2,FALSE),"")</f>
        <v>Dia</v>
      </c>
      <c r="H341">
        <v>1</v>
      </c>
      <c r="I341">
        <f>IFERROR(VLOOKUP(E341,Control_Actividades!A:C,3,FALSE),"")</f>
        <v>100</v>
      </c>
      <c r="J341" s="3">
        <f t="shared" si="150"/>
        <v>100</v>
      </c>
    </row>
    <row r="342" spans="1:10" hidden="1" x14ac:dyDescent="0.3">
      <c r="A342" s="2">
        <v>46083</v>
      </c>
      <c r="B342">
        <f t="shared" si="136"/>
        <v>10</v>
      </c>
      <c r="C342" t="s">
        <v>33</v>
      </c>
      <c r="E342" t="s">
        <v>10</v>
      </c>
      <c r="F342" t="s">
        <v>60</v>
      </c>
      <c r="G342" t="str">
        <f>IFERROR(VLOOKUP(E342,Control_Actividades!A:C,2,FALSE),"")</f>
        <v>Quintal</v>
      </c>
      <c r="H342">
        <v>1.25</v>
      </c>
      <c r="I342">
        <f>IFERROR(VLOOKUP(E342,Control_Actividades!A:C,3,FALSE),"")</f>
        <v>70</v>
      </c>
      <c r="J342" s="3">
        <f t="shared" si="150"/>
        <v>87.5</v>
      </c>
    </row>
    <row r="343" spans="1:10" hidden="1" x14ac:dyDescent="0.3">
      <c r="A343" s="2">
        <v>46083</v>
      </c>
      <c r="B343">
        <f t="shared" si="136"/>
        <v>10</v>
      </c>
      <c r="C343" t="s">
        <v>34</v>
      </c>
      <c r="E343" t="s">
        <v>10</v>
      </c>
      <c r="F343" t="s">
        <v>60</v>
      </c>
      <c r="G343" t="str">
        <f>IFERROR(VLOOKUP(E343,Control_Actividades!A:C,2,FALSE),"")</f>
        <v>Quintal</v>
      </c>
      <c r="H343">
        <v>1.35</v>
      </c>
      <c r="I343">
        <f>IFERROR(VLOOKUP(E343,Control_Actividades!A:C,3,FALSE),"")</f>
        <v>70</v>
      </c>
      <c r="J343" s="3">
        <f t="shared" si="150"/>
        <v>94.5</v>
      </c>
    </row>
    <row r="344" spans="1:10" hidden="1" x14ac:dyDescent="0.3">
      <c r="A344" s="2">
        <v>46083</v>
      </c>
      <c r="B344">
        <f t="shared" si="151"/>
        <v>10</v>
      </c>
      <c r="C344" t="s">
        <v>35</v>
      </c>
      <c r="E344" t="s">
        <v>10</v>
      </c>
      <c r="F344" t="s">
        <v>60</v>
      </c>
      <c r="G344" t="str">
        <f>IFERROR(VLOOKUP(E344,Control_Actividades!A:C,2,FALSE),"")</f>
        <v>Quintal</v>
      </c>
      <c r="H344">
        <v>1.45</v>
      </c>
      <c r="I344">
        <f>IFERROR(VLOOKUP(E344,Control_Actividades!A:C,3,FALSE),"")</f>
        <v>70</v>
      </c>
      <c r="J344" s="3">
        <f t="shared" si="150"/>
        <v>101.5</v>
      </c>
    </row>
    <row r="345" spans="1:10" hidden="1" x14ac:dyDescent="0.3">
      <c r="A345" s="2">
        <v>46083</v>
      </c>
      <c r="B345">
        <f t="shared" si="136"/>
        <v>10</v>
      </c>
      <c r="C345" t="s">
        <v>36</v>
      </c>
      <c r="E345" t="s">
        <v>10</v>
      </c>
      <c r="F345" t="s">
        <v>60</v>
      </c>
      <c r="G345" t="str">
        <f>IFERROR(VLOOKUP(E345,Control_Actividades!A:C,2,FALSE),"")</f>
        <v>Quintal</v>
      </c>
      <c r="H345">
        <v>1.25</v>
      </c>
      <c r="I345">
        <f>IFERROR(VLOOKUP(E345,Control_Actividades!A:C,3,FALSE),"")</f>
        <v>70</v>
      </c>
      <c r="J345" s="3">
        <f t="shared" si="150"/>
        <v>87.5</v>
      </c>
    </row>
    <row r="346" spans="1:10" hidden="1" x14ac:dyDescent="0.3">
      <c r="A346" s="2">
        <v>46083</v>
      </c>
      <c r="B346">
        <f t="shared" si="136"/>
        <v>10</v>
      </c>
      <c r="C346" t="s">
        <v>37</v>
      </c>
      <c r="E346" t="s">
        <v>10</v>
      </c>
      <c r="F346" t="s">
        <v>60</v>
      </c>
      <c r="G346" t="str">
        <f>IFERROR(VLOOKUP(E346,Control_Actividades!A:C,2,FALSE),"")</f>
        <v>Quintal</v>
      </c>
      <c r="H346">
        <v>1.25</v>
      </c>
      <c r="I346">
        <f>IFERROR(VLOOKUP(E346,Control_Actividades!A:C,3,FALSE),"")</f>
        <v>70</v>
      </c>
      <c r="J346" s="3">
        <f t="shared" si="150"/>
        <v>87.5</v>
      </c>
    </row>
    <row r="347" spans="1:10" hidden="1" x14ac:dyDescent="0.3">
      <c r="A347" s="2">
        <v>46083</v>
      </c>
      <c r="B347">
        <f t="shared" si="151"/>
        <v>10</v>
      </c>
      <c r="C347" t="s">
        <v>38</v>
      </c>
      <c r="E347" t="s">
        <v>10</v>
      </c>
      <c r="F347" t="s">
        <v>60</v>
      </c>
      <c r="G347" t="str">
        <f>IFERROR(VLOOKUP(E347,Control_Actividades!A:C,2,FALSE),"")</f>
        <v>Quintal</v>
      </c>
      <c r="H347">
        <v>1.3</v>
      </c>
      <c r="I347">
        <f>IFERROR(VLOOKUP(E347,Control_Actividades!A:C,3,FALSE),"")</f>
        <v>70</v>
      </c>
      <c r="J347" s="3">
        <f t="shared" si="150"/>
        <v>91</v>
      </c>
    </row>
    <row r="348" spans="1:10" x14ac:dyDescent="0.3">
      <c r="A348" s="2">
        <v>46083</v>
      </c>
      <c r="B348">
        <f t="shared" si="136"/>
        <v>10</v>
      </c>
      <c r="C348" t="s">
        <v>39</v>
      </c>
      <c r="E348" t="s">
        <v>63</v>
      </c>
      <c r="F348" t="s">
        <v>61</v>
      </c>
      <c r="G348" t="str">
        <f>IFERROR(VLOOKUP(E348,Control_Actividades!A:C,2,FALSE),"")</f>
        <v>Manzana</v>
      </c>
      <c r="H348">
        <v>1.1599999999999999</v>
      </c>
      <c r="I348">
        <f>IFERROR(VLOOKUP(E348,Control_Actividades!A:C,3,FALSE),"")</f>
        <v>100</v>
      </c>
      <c r="J348" s="3">
        <f t="shared" si="150"/>
        <v>115.99999999999999</v>
      </c>
    </row>
    <row r="349" spans="1:10" hidden="1" x14ac:dyDescent="0.3">
      <c r="A349" s="2">
        <v>46083</v>
      </c>
      <c r="B349">
        <f t="shared" si="136"/>
        <v>10</v>
      </c>
      <c r="C349" t="s">
        <v>40</v>
      </c>
      <c r="G349" t="str">
        <f>IFERROR(VLOOKUP(E349,Control_Actividades!A:C,2,FALSE),"")</f>
        <v/>
      </c>
      <c r="I349" t="str">
        <f>IFERROR(VLOOKUP(E349,Control_Actividades!A:C,3,FALSE),"")</f>
        <v/>
      </c>
      <c r="J349" s="3" t="e">
        <f t="shared" si="150"/>
        <v>#VALUE!</v>
      </c>
    </row>
    <row r="350" spans="1:10" hidden="1" x14ac:dyDescent="0.3">
      <c r="A350" s="2">
        <v>46083</v>
      </c>
      <c r="B350">
        <f t="shared" si="151"/>
        <v>10</v>
      </c>
      <c r="C350" t="s">
        <v>41</v>
      </c>
      <c r="E350" t="s">
        <v>48</v>
      </c>
      <c r="F350" t="s">
        <v>49</v>
      </c>
      <c r="G350" t="str">
        <f>IFERROR(VLOOKUP(E350,Control_Actividades!A:C,2,FALSE),"")</f>
        <v>Dia</v>
      </c>
      <c r="H350">
        <v>1</v>
      </c>
      <c r="I350">
        <f>IFERROR(VLOOKUP(E350,Control_Actividades!A:C,3,FALSE),"")</f>
        <v>100</v>
      </c>
      <c r="J350" s="3">
        <f t="shared" si="150"/>
        <v>100</v>
      </c>
    </row>
    <row r="351" spans="1:10" hidden="1" x14ac:dyDescent="0.3">
      <c r="A351" s="2">
        <v>46083</v>
      </c>
      <c r="B351">
        <f t="shared" ref="B351:B379" si="152">WEEKNUM(A351,2)</f>
        <v>10</v>
      </c>
      <c r="C351" t="s">
        <v>42</v>
      </c>
      <c r="E351" t="s">
        <v>10</v>
      </c>
      <c r="F351" t="s">
        <v>60</v>
      </c>
      <c r="G351" t="str">
        <f>IFERROR(VLOOKUP(E351,Control_Actividades!A:C,2,FALSE),"")</f>
        <v>Quintal</v>
      </c>
      <c r="H351">
        <v>2.0499999999999998</v>
      </c>
      <c r="I351">
        <f>IFERROR(VLOOKUP(E351,Control_Actividades!A:C,3,FALSE),"")</f>
        <v>70</v>
      </c>
      <c r="J351" s="3">
        <v>148.75</v>
      </c>
    </row>
    <row r="352" spans="1:10" hidden="1" x14ac:dyDescent="0.3">
      <c r="A352" s="2">
        <v>46083</v>
      </c>
      <c r="B352">
        <f t="shared" si="152"/>
        <v>10</v>
      </c>
      <c r="C352" t="s">
        <v>43</v>
      </c>
      <c r="E352" t="s">
        <v>48</v>
      </c>
      <c r="F352" t="s">
        <v>49</v>
      </c>
      <c r="G352" t="str">
        <f>IFERROR(VLOOKUP(E352,Control_Actividades!A:C,2,FALSE),"")</f>
        <v>Dia</v>
      </c>
      <c r="H352">
        <v>1</v>
      </c>
      <c r="I352">
        <f>IFERROR(VLOOKUP(E352,Control_Actividades!A:C,3,FALSE),"")</f>
        <v>100</v>
      </c>
      <c r="J352" s="3">
        <f t="shared" si="150"/>
        <v>100</v>
      </c>
    </row>
    <row r="353" spans="1:10" x14ac:dyDescent="0.3">
      <c r="A353" s="2">
        <v>46083</v>
      </c>
      <c r="B353">
        <f t="shared" si="151"/>
        <v>10</v>
      </c>
      <c r="C353" t="s">
        <v>44</v>
      </c>
      <c r="E353" t="s">
        <v>62</v>
      </c>
      <c r="F353" t="s">
        <v>61</v>
      </c>
      <c r="G353" t="str">
        <f>IFERROR(VLOOKUP(E353,Control_Actividades!A:C,2,FALSE),"")</f>
        <v>Manzana</v>
      </c>
      <c r="H353">
        <v>1.1599999999999999</v>
      </c>
      <c r="I353">
        <f>IFERROR(VLOOKUP(E353,Control_Actividades!A:C,3,FALSE),"")</f>
        <v>100</v>
      </c>
      <c r="J353" s="3">
        <f t="shared" si="150"/>
        <v>115.99999999999999</v>
      </c>
    </row>
    <row r="354" spans="1:10" hidden="1" x14ac:dyDescent="0.3">
      <c r="A354" s="2">
        <v>46083</v>
      </c>
      <c r="B354">
        <f t="shared" si="152"/>
        <v>10</v>
      </c>
      <c r="C354" t="s">
        <v>45</v>
      </c>
      <c r="E354" t="s">
        <v>10</v>
      </c>
      <c r="F354" t="s">
        <v>60</v>
      </c>
      <c r="G354" t="str">
        <f>IFERROR(VLOOKUP(E354,Control_Actividades!A:C,2,FALSE),"")</f>
        <v>Quintal</v>
      </c>
      <c r="H354">
        <v>1.4</v>
      </c>
      <c r="I354">
        <f>IFERROR(VLOOKUP(E354,Control_Actividades!A:C,3,FALSE),"")</f>
        <v>70</v>
      </c>
      <c r="J354" s="3">
        <f t="shared" si="150"/>
        <v>98</v>
      </c>
    </row>
    <row r="355" spans="1:10" hidden="1" x14ac:dyDescent="0.3">
      <c r="A355" s="2">
        <v>46083</v>
      </c>
      <c r="B355">
        <f t="shared" si="152"/>
        <v>10</v>
      </c>
      <c r="C355" t="s">
        <v>46</v>
      </c>
      <c r="E355" t="s">
        <v>10</v>
      </c>
      <c r="F355" t="s">
        <v>60</v>
      </c>
      <c r="G355" t="str">
        <f>IFERROR(VLOOKUP(E355,Control_Actividades!A:C,2,FALSE),"")</f>
        <v>Quintal</v>
      </c>
      <c r="H355">
        <v>1</v>
      </c>
      <c r="I355">
        <f>IFERROR(VLOOKUP(E355,Control_Actividades!A:C,3,FALSE),"")</f>
        <v>70</v>
      </c>
      <c r="J355" s="3">
        <f t="shared" si="150"/>
        <v>70</v>
      </c>
    </row>
    <row r="356" spans="1:10" x14ac:dyDescent="0.3">
      <c r="A356" s="5">
        <v>46083</v>
      </c>
      <c r="B356" s="6">
        <f t="shared" si="151"/>
        <v>10</v>
      </c>
      <c r="C356" s="6" t="s">
        <v>47</v>
      </c>
      <c r="D356" s="6"/>
      <c r="E356" s="6" t="s">
        <v>10</v>
      </c>
      <c r="F356" s="6" t="s">
        <v>60</v>
      </c>
      <c r="G356" s="6" t="str">
        <f>IFERROR(VLOOKUP(E356,Control_Actividades!A:C,2,FALSE),"")</f>
        <v>Quintal</v>
      </c>
      <c r="H356" s="6">
        <v>1.1000000000000001</v>
      </c>
      <c r="I356" s="6">
        <f>IFERROR(VLOOKUP(E356,Control_Actividades!A:C,3,FALSE),"")</f>
        <v>70</v>
      </c>
      <c r="J356" s="10">
        <f t="shared" si="150"/>
        <v>77</v>
      </c>
    </row>
    <row r="357" spans="1:10" hidden="1" x14ac:dyDescent="0.3">
      <c r="A357" s="2">
        <v>46084</v>
      </c>
      <c r="B357">
        <f t="shared" si="152"/>
        <v>10</v>
      </c>
      <c r="C357" t="s">
        <v>22</v>
      </c>
      <c r="E357" t="s">
        <v>23</v>
      </c>
      <c r="F357" t="s">
        <v>60</v>
      </c>
      <c r="G357" t="str">
        <f>IFERROR(VLOOKUP(E357,Control_Actividades!A:C,2,FALSE),"")</f>
        <v>Dia</v>
      </c>
      <c r="H357">
        <v>1</v>
      </c>
      <c r="I357">
        <f>IFERROR(VLOOKUP(E357,Control_Actividades!A:C,3,FALSE),"")</f>
        <v>100</v>
      </c>
      <c r="J357" s="3">
        <f t="shared" si="150"/>
        <v>100</v>
      </c>
    </row>
    <row r="358" spans="1:10" hidden="1" x14ac:dyDescent="0.3">
      <c r="A358" s="2">
        <v>46084</v>
      </c>
      <c r="B358">
        <f t="shared" si="152"/>
        <v>10</v>
      </c>
      <c r="C358" t="s">
        <v>27</v>
      </c>
      <c r="E358" t="s">
        <v>53</v>
      </c>
      <c r="F358" t="s">
        <v>49</v>
      </c>
      <c r="G358" t="str">
        <f>IFERROR(VLOOKUP(E358,Control_Actividades!A:C,2,FALSE),"")</f>
        <v>Dia</v>
      </c>
      <c r="H358">
        <v>1</v>
      </c>
      <c r="I358">
        <f>IFERROR(VLOOKUP(E358,Control_Actividades!A:C,3,FALSE),"")</f>
        <v>130</v>
      </c>
      <c r="J358" s="3">
        <f t="shared" si="150"/>
        <v>130</v>
      </c>
    </row>
    <row r="359" spans="1:10" hidden="1" x14ac:dyDescent="0.3">
      <c r="A359" s="2">
        <v>46084</v>
      </c>
      <c r="B359">
        <f t="shared" ref="B359:B377" si="153">_xlfn.SINGLE(WEEKNUM(A359,2))</f>
        <v>10</v>
      </c>
      <c r="C359" t="s">
        <v>28</v>
      </c>
      <c r="E359" t="s">
        <v>10</v>
      </c>
      <c r="F359" t="s">
        <v>60</v>
      </c>
      <c r="G359" t="str">
        <f>IFERROR(VLOOKUP(E359,Control_Actividades!A:C,2,FALSE),"")</f>
        <v>Quintal</v>
      </c>
      <c r="H359">
        <v>1.8</v>
      </c>
      <c r="I359">
        <f>IFERROR(VLOOKUP(E359,Control_Actividades!A:C,3,FALSE),"")</f>
        <v>70</v>
      </c>
      <c r="J359" s="3">
        <f t="shared" si="150"/>
        <v>126</v>
      </c>
    </row>
    <row r="360" spans="1:10" hidden="1" x14ac:dyDescent="0.3">
      <c r="A360" s="2">
        <v>46084</v>
      </c>
      <c r="B360">
        <f t="shared" si="152"/>
        <v>10</v>
      </c>
      <c r="C360" t="s">
        <v>29</v>
      </c>
      <c r="E360" t="s">
        <v>10</v>
      </c>
      <c r="F360" t="s">
        <v>60</v>
      </c>
      <c r="G360" t="str">
        <f>IFERROR(VLOOKUP(E360,Control_Actividades!A:C,2,FALSE),"")</f>
        <v>Quintal</v>
      </c>
      <c r="H360">
        <v>1.8</v>
      </c>
      <c r="I360">
        <f>IFERROR(VLOOKUP(E360,Control_Actividades!A:C,3,FALSE),"")</f>
        <v>70</v>
      </c>
      <c r="J360" s="3">
        <f t="shared" si="150"/>
        <v>126</v>
      </c>
    </row>
    <row r="361" spans="1:10" hidden="1" x14ac:dyDescent="0.3">
      <c r="A361" s="2">
        <v>46084</v>
      </c>
      <c r="B361">
        <f t="shared" si="152"/>
        <v>10</v>
      </c>
      <c r="C361" t="s">
        <v>26</v>
      </c>
      <c r="E361" t="s">
        <v>10</v>
      </c>
      <c r="F361" t="s">
        <v>60</v>
      </c>
      <c r="G361" t="str">
        <f>IFERROR(VLOOKUP(E361,Control_Actividades!A:C,2,FALSE),"")</f>
        <v>Quintal</v>
      </c>
      <c r="H361">
        <v>1.35</v>
      </c>
      <c r="I361">
        <f>IFERROR(VLOOKUP(E361,Control_Actividades!A:C,3,FALSE),"")</f>
        <v>70</v>
      </c>
      <c r="J361" s="3">
        <f t="shared" si="150"/>
        <v>94.5</v>
      </c>
    </row>
    <row r="362" spans="1:10" hidden="1" x14ac:dyDescent="0.3">
      <c r="A362" s="2">
        <v>46084</v>
      </c>
      <c r="B362">
        <f t="shared" si="153"/>
        <v>10</v>
      </c>
      <c r="C362" t="s">
        <v>30</v>
      </c>
      <c r="E362" t="s">
        <v>10</v>
      </c>
      <c r="F362" t="s">
        <v>60</v>
      </c>
      <c r="G362" t="str">
        <f>IFERROR(VLOOKUP(E362,Control_Actividades!A:C,2,FALSE),"")</f>
        <v>Quintal</v>
      </c>
      <c r="H362">
        <v>1.25</v>
      </c>
      <c r="I362">
        <f>IFERROR(VLOOKUP(E362,Control_Actividades!A:C,3,FALSE),"")</f>
        <v>70</v>
      </c>
      <c r="J362" s="3">
        <f t="shared" si="150"/>
        <v>87.5</v>
      </c>
    </row>
    <row r="363" spans="1:10" hidden="1" x14ac:dyDescent="0.3">
      <c r="A363" s="2">
        <v>46084</v>
      </c>
      <c r="B363">
        <f t="shared" si="152"/>
        <v>10</v>
      </c>
      <c r="C363" t="s">
        <v>31</v>
      </c>
      <c r="E363" t="s">
        <v>10</v>
      </c>
      <c r="F363" t="s">
        <v>60</v>
      </c>
      <c r="G363" t="str">
        <f>IFERROR(VLOOKUP(E363,Control_Actividades!A:C,2,FALSE),"")</f>
        <v>Quintal</v>
      </c>
      <c r="H363">
        <v>2</v>
      </c>
      <c r="I363">
        <f>IFERROR(VLOOKUP(E363,Control_Actividades!A:C,3,FALSE),"")</f>
        <v>70</v>
      </c>
      <c r="J363" s="3">
        <f t="shared" si="150"/>
        <v>140</v>
      </c>
    </row>
    <row r="364" spans="1:10" hidden="1" x14ac:dyDescent="0.3">
      <c r="A364" s="2">
        <v>46084</v>
      </c>
      <c r="B364">
        <f t="shared" si="152"/>
        <v>10</v>
      </c>
      <c r="C364" t="s">
        <v>32</v>
      </c>
      <c r="E364" t="s">
        <v>48</v>
      </c>
      <c r="F364" t="s">
        <v>49</v>
      </c>
      <c r="G364" t="str">
        <f>IFERROR(VLOOKUP(E364,Control_Actividades!A:C,2,FALSE),"")</f>
        <v>Dia</v>
      </c>
      <c r="H364">
        <v>1</v>
      </c>
      <c r="I364">
        <f>IFERROR(VLOOKUP(E364,Control_Actividades!A:C,3,FALSE),"")</f>
        <v>100</v>
      </c>
      <c r="J364" s="3">
        <f t="shared" si="150"/>
        <v>100</v>
      </c>
    </row>
    <row r="365" spans="1:10" hidden="1" x14ac:dyDescent="0.3">
      <c r="A365" s="2">
        <v>46084</v>
      </c>
      <c r="B365">
        <f t="shared" si="153"/>
        <v>10</v>
      </c>
      <c r="C365" t="s">
        <v>33</v>
      </c>
      <c r="E365" t="s">
        <v>10</v>
      </c>
      <c r="F365" t="s">
        <v>60</v>
      </c>
      <c r="G365" t="str">
        <f>IFERROR(VLOOKUP(E365,Control_Actividades!A:C,2,FALSE),"")</f>
        <v>Quintal</v>
      </c>
      <c r="H365">
        <v>1.25</v>
      </c>
      <c r="I365">
        <f>IFERROR(VLOOKUP(E365,Control_Actividades!A:C,3,FALSE),"")</f>
        <v>70</v>
      </c>
      <c r="J365" s="3">
        <f t="shared" si="150"/>
        <v>87.5</v>
      </c>
    </row>
    <row r="366" spans="1:10" hidden="1" x14ac:dyDescent="0.3">
      <c r="A366" s="2">
        <v>46084</v>
      </c>
      <c r="B366">
        <f t="shared" si="152"/>
        <v>10</v>
      </c>
      <c r="C366" t="s">
        <v>34</v>
      </c>
      <c r="E366" t="s">
        <v>10</v>
      </c>
      <c r="F366" t="s">
        <v>60</v>
      </c>
      <c r="G366" t="str">
        <f>IFERROR(VLOOKUP(E366,Control_Actividades!A:C,2,FALSE),"")</f>
        <v>Quintal</v>
      </c>
      <c r="H366">
        <v>1.6</v>
      </c>
      <c r="I366">
        <f>IFERROR(VLOOKUP(E366,Control_Actividades!A:C,3,FALSE),"")</f>
        <v>70</v>
      </c>
      <c r="J366" s="3">
        <f t="shared" si="150"/>
        <v>112</v>
      </c>
    </row>
    <row r="367" spans="1:10" hidden="1" x14ac:dyDescent="0.3">
      <c r="A367" s="2">
        <v>46084</v>
      </c>
      <c r="B367">
        <f t="shared" si="152"/>
        <v>10</v>
      </c>
      <c r="C367" t="s">
        <v>35</v>
      </c>
      <c r="E367" t="s">
        <v>10</v>
      </c>
      <c r="F367" t="s">
        <v>60</v>
      </c>
      <c r="G367" t="str">
        <f>IFERROR(VLOOKUP(E367,Control_Actividades!A:C,2,FALSE),"")</f>
        <v>Quintal</v>
      </c>
      <c r="H367">
        <v>1.2</v>
      </c>
      <c r="I367">
        <f>IFERROR(VLOOKUP(E367,Control_Actividades!A:C,3,FALSE),"")</f>
        <v>70</v>
      </c>
      <c r="J367" s="3">
        <f t="shared" si="150"/>
        <v>84</v>
      </c>
    </row>
    <row r="368" spans="1:10" hidden="1" x14ac:dyDescent="0.3">
      <c r="A368" s="2">
        <v>46084</v>
      </c>
      <c r="B368">
        <f t="shared" si="153"/>
        <v>10</v>
      </c>
      <c r="C368" t="s">
        <v>36</v>
      </c>
      <c r="E368" t="s">
        <v>10</v>
      </c>
      <c r="F368" t="s">
        <v>60</v>
      </c>
      <c r="G368" t="str">
        <f>IFERROR(VLOOKUP(E368,Control_Actividades!A:C,2,FALSE),"")</f>
        <v>Quintal</v>
      </c>
      <c r="H368">
        <v>1.25</v>
      </c>
      <c r="I368">
        <f>IFERROR(VLOOKUP(E368,Control_Actividades!A:C,3,FALSE),"")</f>
        <v>70</v>
      </c>
      <c r="J368" s="3">
        <f t="shared" si="150"/>
        <v>87.5</v>
      </c>
    </row>
    <row r="369" spans="1:10" hidden="1" x14ac:dyDescent="0.3">
      <c r="A369" s="2">
        <v>46084</v>
      </c>
      <c r="B369">
        <f t="shared" si="152"/>
        <v>10</v>
      </c>
      <c r="C369" t="s">
        <v>37</v>
      </c>
      <c r="E369" t="s">
        <v>10</v>
      </c>
      <c r="F369" t="s">
        <v>60</v>
      </c>
      <c r="G369" t="str">
        <f>IFERROR(VLOOKUP(E369,Control_Actividades!A:C,2,FALSE),"")</f>
        <v>Quintal</v>
      </c>
      <c r="H369">
        <v>1.25</v>
      </c>
      <c r="I369">
        <f>IFERROR(VLOOKUP(E369,Control_Actividades!A:C,3,FALSE),"")</f>
        <v>70</v>
      </c>
      <c r="J369" s="3">
        <f t="shared" si="150"/>
        <v>87.5</v>
      </c>
    </row>
    <row r="370" spans="1:10" hidden="1" x14ac:dyDescent="0.3">
      <c r="A370" s="2">
        <v>46084</v>
      </c>
      <c r="B370">
        <f t="shared" si="152"/>
        <v>10</v>
      </c>
      <c r="C370" t="s">
        <v>38</v>
      </c>
      <c r="E370" t="s">
        <v>10</v>
      </c>
      <c r="F370" t="s">
        <v>60</v>
      </c>
      <c r="G370" t="str">
        <f>IFERROR(VLOOKUP(E370,Control_Actividades!A:C,2,FALSE),"")</f>
        <v>Quintal</v>
      </c>
      <c r="H370">
        <v>1.25</v>
      </c>
      <c r="I370">
        <f>IFERROR(VLOOKUP(E370,Control_Actividades!A:C,3,FALSE),"")</f>
        <v>70</v>
      </c>
      <c r="J370" s="3">
        <f t="shared" si="150"/>
        <v>87.5</v>
      </c>
    </row>
    <row r="371" spans="1:10" x14ac:dyDescent="0.3">
      <c r="A371" s="2">
        <v>46084</v>
      </c>
      <c r="B371">
        <f t="shared" si="153"/>
        <v>10</v>
      </c>
      <c r="C371" t="s">
        <v>39</v>
      </c>
      <c r="E371" t="s">
        <v>63</v>
      </c>
      <c r="F371" t="s">
        <v>61</v>
      </c>
      <c r="G371" t="str">
        <f>IFERROR(VLOOKUP(E371,Control_Actividades!A:C,2,FALSE),"")</f>
        <v>Manzana</v>
      </c>
      <c r="H371">
        <v>1.1599999999999999</v>
      </c>
      <c r="I371">
        <f>IFERROR(VLOOKUP(E371,Control_Actividades!A:C,3,FALSE),"")</f>
        <v>100</v>
      </c>
      <c r="J371" s="3">
        <f t="shared" si="150"/>
        <v>115.99999999999999</v>
      </c>
    </row>
    <row r="372" spans="1:10" hidden="1" x14ac:dyDescent="0.3">
      <c r="A372" s="2">
        <v>46084</v>
      </c>
      <c r="B372">
        <f t="shared" si="152"/>
        <v>10</v>
      </c>
      <c r="C372" t="s">
        <v>40</v>
      </c>
      <c r="E372" t="s">
        <v>10</v>
      </c>
      <c r="F372" t="s">
        <v>60</v>
      </c>
      <c r="G372" t="str">
        <f>IFERROR(VLOOKUP(E372,Control_Actividades!A:C,2,FALSE),"")</f>
        <v>Quintal</v>
      </c>
      <c r="H372">
        <v>2.7</v>
      </c>
      <c r="I372">
        <f>IFERROR(VLOOKUP(E372,Control_Actividades!A:C,3,FALSE),"")</f>
        <v>70</v>
      </c>
      <c r="J372" s="3">
        <v>197.5</v>
      </c>
    </row>
    <row r="373" spans="1:10" hidden="1" x14ac:dyDescent="0.3">
      <c r="A373" s="2">
        <v>46084</v>
      </c>
      <c r="B373">
        <f t="shared" si="152"/>
        <v>10</v>
      </c>
      <c r="C373" t="s">
        <v>41</v>
      </c>
      <c r="E373" t="s">
        <v>48</v>
      </c>
      <c r="F373" t="s">
        <v>49</v>
      </c>
      <c r="G373" t="str">
        <f>IFERROR(VLOOKUP(E373,Control_Actividades!A:C,2,FALSE),"")</f>
        <v>Dia</v>
      </c>
      <c r="H373">
        <v>1</v>
      </c>
      <c r="I373">
        <f>IFERROR(VLOOKUP(E373,Control_Actividades!A:C,3,FALSE),"")</f>
        <v>100</v>
      </c>
      <c r="J373" s="3">
        <f t="shared" si="150"/>
        <v>100</v>
      </c>
    </row>
    <row r="374" spans="1:10" hidden="1" x14ac:dyDescent="0.3">
      <c r="A374" s="2">
        <v>46084</v>
      </c>
      <c r="B374">
        <f t="shared" si="153"/>
        <v>10</v>
      </c>
      <c r="C374" t="s">
        <v>42</v>
      </c>
      <c r="E374" t="s">
        <v>10</v>
      </c>
      <c r="F374" t="s">
        <v>60</v>
      </c>
      <c r="G374" t="str">
        <f>IFERROR(VLOOKUP(E374,Control_Actividades!A:C,2,FALSE),"")</f>
        <v>Quintal</v>
      </c>
      <c r="H374">
        <v>1.9</v>
      </c>
      <c r="I374">
        <f>IFERROR(VLOOKUP(E374,Control_Actividades!A:C,3,FALSE),"")</f>
        <v>70</v>
      </c>
      <c r="J374" s="3">
        <f t="shared" si="150"/>
        <v>133</v>
      </c>
    </row>
    <row r="375" spans="1:10" hidden="1" x14ac:dyDescent="0.3">
      <c r="A375" s="2">
        <v>46084</v>
      </c>
      <c r="B375">
        <f t="shared" si="152"/>
        <v>10</v>
      </c>
      <c r="C375" t="s">
        <v>43</v>
      </c>
      <c r="E375" t="s">
        <v>48</v>
      </c>
      <c r="F375" t="s">
        <v>49</v>
      </c>
      <c r="G375" t="str">
        <f>IFERROR(VLOOKUP(E375,Control_Actividades!A:C,2,FALSE),"")</f>
        <v>Dia</v>
      </c>
      <c r="H375">
        <v>1</v>
      </c>
      <c r="I375">
        <f>IFERROR(VLOOKUP(E375,Control_Actividades!A:C,3,FALSE),"")</f>
        <v>100</v>
      </c>
      <c r="J375" s="3">
        <f t="shared" si="150"/>
        <v>100</v>
      </c>
    </row>
    <row r="376" spans="1:10" x14ac:dyDescent="0.3">
      <c r="A376" s="2">
        <v>46084</v>
      </c>
      <c r="B376">
        <f t="shared" si="152"/>
        <v>10</v>
      </c>
      <c r="C376" t="s">
        <v>44</v>
      </c>
      <c r="E376" t="s">
        <v>64</v>
      </c>
      <c r="F376" t="s">
        <v>61</v>
      </c>
      <c r="G376" t="str">
        <f>IFERROR(VLOOKUP(E376,Control_Actividades!A:C,2,FALSE),"")</f>
        <v>Manzana</v>
      </c>
      <c r="H376">
        <v>1.1599999999999999</v>
      </c>
      <c r="I376">
        <f>IFERROR(VLOOKUP(E376,Control_Actividades!A:C,3,FALSE),"")</f>
        <v>100</v>
      </c>
      <c r="J376" s="3">
        <f t="shared" si="150"/>
        <v>115.99999999999999</v>
      </c>
    </row>
    <row r="377" spans="1:10" hidden="1" x14ac:dyDescent="0.3">
      <c r="A377" s="2">
        <v>46084</v>
      </c>
      <c r="B377">
        <f t="shared" si="153"/>
        <v>10</v>
      </c>
      <c r="C377" t="s">
        <v>45</v>
      </c>
      <c r="E377" t="s">
        <v>10</v>
      </c>
      <c r="F377" t="s">
        <v>60</v>
      </c>
      <c r="G377" t="str">
        <f>IFERROR(VLOOKUP(E377,Control_Actividades!A:C,2,FALSE),"")</f>
        <v>Quintal</v>
      </c>
      <c r="H377">
        <v>1.25</v>
      </c>
      <c r="I377">
        <f>IFERROR(VLOOKUP(E377,Control_Actividades!A:C,3,FALSE),"")</f>
        <v>70</v>
      </c>
      <c r="J377" s="3">
        <f t="shared" si="150"/>
        <v>87.5</v>
      </c>
    </row>
    <row r="378" spans="1:10" hidden="1" x14ac:dyDescent="0.3">
      <c r="A378" s="2">
        <v>46084</v>
      </c>
      <c r="B378">
        <f t="shared" si="152"/>
        <v>10</v>
      </c>
      <c r="C378" t="s">
        <v>46</v>
      </c>
      <c r="E378" t="s">
        <v>10</v>
      </c>
      <c r="F378" t="s">
        <v>60</v>
      </c>
      <c r="G378" t="str">
        <f>IFERROR(VLOOKUP(E378,Control_Actividades!A:C,2,FALSE),"")</f>
        <v>Quintal</v>
      </c>
      <c r="H378">
        <v>1.55</v>
      </c>
      <c r="I378">
        <f>IFERROR(VLOOKUP(E378,Control_Actividades!A:C,3,FALSE),"")</f>
        <v>70</v>
      </c>
      <c r="J378" s="3">
        <f t="shared" si="150"/>
        <v>108.5</v>
      </c>
    </row>
    <row r="379" spans="1:10" x14ac:dyDescent="0.3">
      <c r="A379" s="5">
        <v>46084</v>
      </c>
      <c r="B379" s="6">
        <f t="shared" si="152"/>
        <v>10</v>
      </c>
      <c r="C379" s="6" t="s">
        <v>47</v>
      </c>
      <c r="D379" s="6"/>
      <c r="E379" s="6" t="s">
        <v>10</v>
      </c>
      <c r="F379" s="6" t="s">
        <v>60</v>
      </c>
      <c r="G379" s="6" t="str">
        <f>IFERROR(VLOOKUP(E379,Control_Actividades!A:C,2,FALSE),"")</f>
        <v>Quintal</v>
      </c>
      <c r="H379" s="6">
        <v>1.1000000000000001</v>
      </c>
      <c r="I379" s="6">
        <f>IFERROR(VLOOKUP(E379,Control_Actividades!A:C,3,FALSE),"")</f>
        <v>70</v>
      </c>
      <c r="J379" s="10">
        <f t="shared" si="150"/>
        <v>77</v>
      </c>
    </row>
    <row r="380" spans="1:10" hidden="1" x14ac:dyDescent="0.3">
      <c r="A380" s="2">
        <v>46085</v>
      </c>
      <c r="B380">
        <f t="shared" ref="B380:B381" si="154">WEEKNUM(A380,2)</f>
        <v>10</v>
      </c>
      <c r="C380" t="s">
        <v>22</v>
      </c>
      <c r="E380" t="s">
        <v>23</v>
      </c>
      <c r="F380" t="s">
        <v>60</v>
      </c>
      <c r="G380" t="str">
        <f>IFERROR(VLOOKUP(E380,Control_Actividades!A:C,2,FALSE),"")</f>
        <v>Dia</v>
      </c>
      <c r="H380">
        <v>1</v>
      </c>
      <c r="I380">
        <f>IFERROR(VLOOKUP(E380,Control_Actividades!A:C,3,FALSE),"")</f>
        <v>100</v>
      </c>
      <c r="J380" s="3">
        <f t="shared" ref="J380:J394" si="155">H380*I380</f>
        <v>100</v>
      </c>
    </row>
    <row r="381" spans="1:10" hidden="1" x14ac:dyDescent="0.3">
      <c r="A381" s="2">
        <v>46085</v>
      </c>
      <c r="B381">
        <f t="shared" si="154"/>
        <v>10</v>
      </c>
      <c r="C381" t="s">
        <v>27</v>
      </c>
      <c r="E381" t="s">
        <v>53</v>
      </c>
      <c r="F381" t="s">
        <v>49</v>
      </c>
      <c r="G381" t="str">
        <f>IFERROR(VLOOKUP(E381,Control_Actividades!A:C,2,FALSE),"")</f>
        <v>Dia</v>
      </c>
      <c r="H381">
        <v>1</v>
      </c>
      <c r="I381">
        <f>IFERROR(VLOOKUP(E381,Control_Actividades!A:C,3,FALSE),"")</f>
        <v>130</v>
      </c>
      <c r="J381" s="3">
        <f t="shared" si="155"/>
        <v>130</v>
      </c>
    </row>
    <row r="382" spans="1:10" hidden="1" x14ac:dyDescent="0.3">
      <c r="A382" s="2">
        <v>46085</v>
      </c>
      <c r="B382">
        <f t="shared" ref="B382" si="156">_xlfn.SINGLE(WEEKNUM(A382,2))</f>
        <v>10</v>
      </c>
      <c r="C382" t="s">
        <v>28</v>
      </c>
      <c r="E382" t="s">
        <v>10</v>
      </c>
      <c r="F382" t="s">
        <v>60</v>
      </c>
      <c r="G382" t="str">
        <f>IFERROR(VLOOKUP(E382,Control_Actividades!A:C,2,FALSE),"")</f>
        <v>Quintal</v>
      </c>
      <c r="H382">
        <v>2.2000000000000002</v>
      </c>
      <c r="I382">
        <f>IFERROR(VLOOKUP(E382,Control_Actividades!A:C,3,FALSE),"")</f>
        <v>70</v>
      </c>
      <c r="J382" s="3">
        <f>1.2*75+70</f>
        <v>160</v>
      </c>
    </row>
    <row r="383" spans="1:10" hidden="1" x14ac:dyDescent="0.3">
      <c r="A383" s="2">
        <v>46085</v>
      </c>
      <c r="B383">
        <f t="shared" ref="B383:B384" si="157">WEEKNUM(A383,2)</f>
        <v>10</v>
      </c>
      <c r="C383" t="s">
        <v>29</v>
      </c>
      <c r="E383" t="s">
        <v>10</v>
      </c>
      <c r="F383" t="s">
        <v>60</v>
      </c>
      <c r="G383" t="str">
        <f>IFERROR(VLOOKUP(E383,Control_Actividades!A:C,2,FALSE),"")</f>
        <v>Quintal</v>
      </c>
      <c r="H383">
        <v>2.25</v>
      </c>
      <c r="I383">
        <f>IFERROR(VLOOKUP(E383,Control_Actividades!A:C,3,FALSE),"")</f>
        <v>70</v>
      </c>
      <c r="J383" s="3">
        <f>1.25*75+70</f>
        <v>163.75</v>
      </c>
    </row>
    <row r="384" spans="1:10" hidden="1" x14ac:dyDescent="0.3">
      <c r="A384" s="2">
        <v>46085</v>
      </c>
      <c r="B384">
        <f t="shared" si="157"/>
        <v>10</v>
      </c>
      <c r="C384" t="s">
        <v>26</v>
      </c>
      <c r="E384" t="s">
        <v>10</v>
      </c>
      <c r="F384" t="s">
        <v>60</v>
      </c>
      <c r="G384" t="str">
        <f>IFERROR(VLOOKUP(E384,Control_Actividades!A:C,2,FALSE),"")</f>
        <v>Quintal</v>
      </c>
      <c r="H384">
        <v>1.9</v>
      </c>
      <c r="I384">
        <f>IFERROR(VLOOKUP(E384,Control_Actividades!A:C,3,FALSE),"")</f>
        <v>70</v>
      </c>
      <c r="J384" s="3">
        <f t="shared" si="155"/>
        <v>133</v>
      </c>
    </row>
    <row r="385" spans="1:10" hidden="1" x14ac:dyDescent="0.3">
      <c r="A385" s="2">
        <v>46085</v>
      </c>
      <c r="B385">
        <f t="shared" ref="B385" si="158">_xlfn.SINGLE(WEEKNUM(A385,2))</f>
        <v>10</v>
      </c>
      <c r="C385" t="s">
        <v>30</v>
      </c>
      <c r="E385" t="s">
        <v>10</v>
      </c>
      <c r="F385" t="s">
        <v>60</v>
      </c>
      <c r="G385" t="str">
        <f>IFERROR(VLOOKUP(E385,Control_Actividades!A:C,2,FALSE),"")</f>
        <v>Quintal</v>
      </c>
      <c r="H385">
        <v>1.4</v>
      </c>
      <c r="I385">
        <f>IFERROR(VLOOKUP(E385,Control_Actividades!A:C,3,FALSE),"")</f>
        <v>70</v>
      </c>
      <c r="J385" s="3">
        <f t="shared" si="155"/>
        <v>98</v>
      </c>
    </row>
    <row r="386" spans="1:10" hidden="1" x14ac:dyDescent="0.3">
      <c r="A386" s="2">
        <v>46085</v>
      </c>
      <c r="B386">
        <f t="shared" ref="B386:B387" si="159">WEEKNUM(A386,2)</f>
        <v>10</v>
      </c>
      <c r="C386" t="s">
        <v>31</v>
      </c>
      <c r="E386" t="s">
        <v>10</v>
      </c>
      <c r="F386" t="s">
        <v>60</v>
      </c>
      <c r="G386" t="str">
        <f>IFERROR(VLOOKUP(E386,Control_Actividades!A:C,2,FALSE),"")</f>
        <v>Quintal</v>
      </c>
      <c r="H386">
        <v>1.55</v>
      </c>
      <c r="I386">
        <f>IFERROR(VLOOKUP(E386,Control_Actividades!A:C,3,FALSE),"")</f>
        <v>70</v>
      </c>
      <c r="J386" s="3">
        <f t="shared" si="155"/>
        <v>108.5</v>
      </c>
    </row>
    <row r="387" spans="1:10" hidden="1" x14ac:dyDescent="0.3">
      <c r="A387" s="2">
        <v>46085</v>
      </c>
      <c r="B387">
        <f t="shared" si="159"/>
        <v>10</v>
      </c>
      <c r="C387" t="s">
        <v>32</v>
      </c>
      <c r="E387" t="s">
        <v>48</v>
      </c>
      <c r="F387" t="s">
        <v>49</v>
      </c>
      <c r="G387" t="str">
        <f>IFERROR(VLOOKUP(E387,Control_Actividades!A:C,2,FALSE),"")</f>
        <v>Dia</v>
      </c>
      <c r="H387">
        <v>1</v>
      </c>
      <c r="I387">
        <f>IFERROR(VLOOKUP(E387,Control_Actividades!A:C,3,FALSE),"")</f>
        <v>100</v>
      </c>
      <c r="J387" s="3">
        <f t="shared" si="155"/>
        <v>100</v>
      </c>
    </row>
    <row r="388" spans="1:10" hidden="1" x14ac:dyDescent="0.3">
      <c r="A388" s="2">
        <v>46085</v>
      </c>
      <c r="B388">
        <f t="shared" ref="B388" si="160">_xlfn.SINGLE(WEEKNUM(A388,2))</f>
        <v>10</v>
      </c>
      <c r="C388" t="s">
        <v>33</v>
      </c>
      <c r="E388" t="s">
        <v>10</v>
      </c>
      <c r="F388" t="s">
        <v>60</v>
      </c>
      <c r="G388" t="str">
        <f>IFERROR(VLOOKUP(E388,Control_Actividades!A:C,2,FALSE),"")</f>
        <v>Quintal</v>
      </c>
      <c r="H388">
        <v>1.55</v>
      </c>
      <c r="I388">
        <f>IFERROR(VLOOKUP(E388,Control_Actividades!A:C,3,FALSE),"")</f>
        <v>70</v>
      </c>
      <c r="J388" s="3">
        <f t="shared" si="155"/>
        <v>108.5</v>
      </c>
    </row>
    <row r="389" spans="1:10" hidden="1" x14ac:dyDescent="0.3">
      <c r="A389" s="2">
        <v>46085</v>
      </c>
      <c r="B389">
        <f t="shared" ref="B389:B390" si="161">WEEKNUM(A389,2)</f>
        <v>10</v>
      </c>
      <c r="C389" t="s">
        <v>34</v>
      </c>
      <c r="E389" t="s">
        <v>10</v>
      </c>
      <c r="F389" t="s">
        <v>60</v>
      </c>
      <c r="G389" t="str">
        <f>IFERROR(VLOOKUP(E389,Control_Actividades!A:C,2,FALSE),"")</f>
        <v>Quintal</v>
      </c>
      <c r="H389">
        <v>1.25</v>
      </c>
      <c r="I389">
        <f>IFERROR(VLOOKUP(E389,Control_Actividades!A:C,3,FALSE),"")</f>
        <v>70</v>
      </c>
      <c r="J389" s="3">
        <f t="shared" si="155"/>
        <v>87.5</v>
      </c>
    </row>
    <row r="390" spans="1:10" hidden="1" x14ac:dyDescent="0.3">
      <c r="A390" s="2">
        <v>46085</v>
      </c>
      <c r="B390">
        <f t="shared" si="161"/>
        <v>10</v>
      </c>
      <c r="C390" t="s">
        <v>35</v>
      </c>
      <c r="E390" t="s">
        <v>10</v>
      </c>
      <c r="F390" t="s">
        <v>60</v>
      </c>
      <c r="G390" t="str">
        <f>IFERROR(VLOOKUP(E390,Control_Actividades!A:C,2,FALSE),"")</f>
        <v>Quintal</v>
      </c>
      <c r="H390">
        <v>1.55</v>
      </c>
      <c r="I390">
        <f>IFERROR(VLOOKUP(E390,Control_Actividades!A:C,3,FALSE),"")</f>
        <v>70</v>
      </c>
      <c r="J390" s="3">
        <f t="shared" si="155"/>
        <v>108.5</v>
      </c>
    </row>
    <row r="391" spans="1:10" hidden="1" x14ac:dyDescent="0.3">
      <c r="A391" s="2">
        <v>46085</v>
      </c>
      <c r="B391">
        <f t="shared" ref="B391" si="162">_xlfn.SINGLE(WEEKNUM(A391,2))</f>
        <v>10</v>
      </c>
      <c r="C391" t="s">
        <v>36</v>
      </c>
      <c r="E391" t="s">
        <v>10</v>
      </c>
      <c r="F391" t="s">
        <v>60</v>
      </c>
      <c r="G391" t="str">
        <f>IFERROR(VLOOKUP(E391,Control_Actividades!A:C,2,FALSE),"")</f>
        <v>Quintal</v>
      </c>
      <c r="H391">
        <v>2</v>
      </c>
      <c r="I391">
        <f>IFERROR(VLOOKUP(E391,Control_Actividades!A:C,3,FALSE),"")</f>
        <v>70</v>
      </c>
      <c r="J391" s="3">
        <f t="shared" si="155"/>
        <v>140</v>
      </c>
    </row>
    <row r="392" spans="1:10" hidden="1" x14ac:dyDescent="0.3">
      <c r="A392" s="2">
        <v>46085</v>
      </c>
      <c r="B392">
        <f t="shared" ref="B392:B393" si="163">WEEKNUM(A392,2)</f>
        <v>10</v>
      </c>
      <c r="C392" t="s">
        <v>37</v>
      </c>
      <c r="E392" t="s">
        <v>10</v>
      </c>
      <c r="F392" t="s">
        <v>60</v>
      </c>
      <c r="G392" t="str">
        <f>IFERROR(VLOOKUP(E392,Control_Actividades!A:C,2,FALSE),"")</f>
        <v>Quintal</v>
      </c>
      <c r="H392">
        <v>2</v>
      </c>
      <c r="I392">
        <f>IFERROR(VLOOKUP(E392,Control_Actividades!A:C,3,FALSE),"")</f>
        <v>70</v>
      </c>
      <c r="J392" s="3">
        <f t="shared" si="155"/>
        <v>140</v>
      </c>
    </row>
    <row r="393" spans="1:10" hidden="1" x14ac:dyDescent="0.3">
      <c r="A393" s="2">
        <v>46085</v>
      </c>
      <c r="B393">
        <f t="shared" si="163"/>
        <v>10</v>
      </c>
      <c r="C393" t="s">
        <v>38</v>
      </c>
      <c r="E393" t="s">
        <v>10</v>
      </c>
      <c r="F393" t="s">
        <v>60</v>
      </c>
      <c r="G393" t="str">
        <f>IFERROR(VLOOKUP(E393,Control_Actividades!A:C,2,FALSE),"")</f>
        <v>Quintal</v>
      </c>
      <c r="H393">
        <v>1.4</v>
      </c>
      <c r="I393">
        <f>IFERROR(VLOOKUP(E393,Control_Actividades!A:C,3,FALSE),"")</f>
        <v>70</v>
      </c>
      <c r="J393" s="3">
        <f t="shared" si="155"/>
        <v>98</v>
      </c>
    </row>
    <row r="394" spans="1:10" x14ac:dyDescent="0.3">
      <c r="A394" s="2">
        <v>46085</v>
      </c>
      <c r="B394">
        <f t="shared" ref="B394" si="164">_xlfn.SINGLE(WEEKNUM(A394,2))</f>
        <v>10</v>
      </c>
      <c r="C394" t="s">
        <v>39</v>
      </c>
      <c r="E394" t="s">
        <v>63</v>
      </c>
      <c r="F394" t="s">
        <v>61</v>
      </c>
      <c r="G394" t="str">
        <f>IFERROR(VLOOKUP(E394,Control_Actividades!A:C,2,FALSE),"")</f>
        <v>Manzana</v>
      </c>
      <c r="H394">
        <v>1.1599999999999999</v>
      </c>
      <c r="I394">
        <f>IFERROR(VLOOKUP(E394,Control_Actividades!A:C,3,FALSE),"")</f>
        <v>100</v>
      </c>
      <c r="J394" s="3">
        <f t="shared" si="155"/>
        <v>115.99999999999999</v>
      </c>
    </row>
    <row r="395" spans="1:10" hidden="1" x14ac:dyDescent="0.3">
      <c r="A395" s="2">
        <v>46085</v>
      </c>
      <c r="B395">
        <f t="shared" ref="B395:B396" si="165">WEEKNUM(A395,2)</f>
        <v>10</v>
      </c>
      <c r="C395" t="s">
        <v>40</v>
      </c>
      <c r="E395" t="s">
        <v>10</v>
      </c>
      <c r="F395" t="s">
        <v>60</v>
      </c>
      <c r="G395" t="str">
        <f>IFERROR(VLOOKUP(E395,Control_Actividades!A:C,2,FALSE),"")</f>
        <v>Quintal</v>
      </c>
      <c r="H395">
        <v>3.3</v>
      </c>
      <c r="I395">
        <f>IFERROR(VLOOKUP(E395,Control_Actividades!A:C,3,FALSE),"")</f>
        <v>70</v>
      </c>
      <c r="J395" s="3">
        <f>2.3*75+70</f>
        <v>242.5</v>
      </c>
    </row>
    <row r="396" spans="1:10" hidden="1" x14ac:dyDescent="0.3">
      <c r="A396" s="2">
        <v>46085</v>
      </c>
      <c r="B396">
        <f t="shared" si="165"/>
        <v>10</v>
      </c>
      <c r="C396" t="s">
        <v>41</v>
      </c>
      <c r="E396" t="s">
        <v>48</v>
      </c>
      <c r="F396" t="s">
        <v>49</v>
      </c>
      <c r="G396" t="str">
        <f>IFERROR(VLOOKUP(E396,Control_Actividades!A:C,2,FALSE),"")</f>
        <v>Dia</v>
      </c>
      <c r="H396">
        <v>1</v>
      </c>
      <c r="I396">
        <f>IFERROR(VLOOKUP(E396,Control_Actividades!A:C,3,FALSE),"")</f>
        <v>100</v>
      </c>
      <c r="J396" s="3">
        <f t="shared" ref="J396:J404" si="166">H396*I396</f>
        <v>100</v>
      </c>
    </row>
    <row r="397" spans="1:10" hidden="1" x14ac:dyDescent="0.3">
      <c r="A397" s="2">
        <v>46085</v>
      </c>
      <c r="B397">
        <f t="shared" ref="B397" si="167">_xlfn.SINGLE(WEEKNUM(A397,2))</f>
        <v>10</v>
      </c>
      <c r="C397" t="s">
        <v>42</v>
      </c>
      <c r="E397" t="s">
        <v>10</v>
      </c>
      <c r="F397" t="s">
        <v>60</v>
      </c>
      <c r="G397" t="str">
        <f>IFERROR(VLOOKUP(E397,Control_Actividades!A:C,2,FALSE),"")</f>
        <v>Quintal</v>
      </c>
      <c r="H397">
        <v>2</v>
      </c>
      <c r="I397">
        <v>70</v>
      </c>
      <c r="J397" s="3">
        <f>2*70</f>
        <v>140</v>
      </c>
    </row>
    <row r="398" spans="1:10" hidden="1" x14ac:dyDescent="0.3">
      <c r="A398" s="2">
        <v>46085</v>
      </c>
      <c r="B398">
        <f t="shared" ref="B398:B399" si="168">WEEKNUM(A398,2)</f>
        <v>10</v>
      </c>
      <c r="C398" t="s">
        <v>43</v>
      </c>
      <c r="E398" t="s">
        <v>48</v>
      </c>
      <c r="F398" t="s">
        <v>49</v>
      </c>
      <c r="G398" t="str">
        <f>IFERROR(VLOOKUP(E398,Control_Actividades!A:C,2,FALSE),"")</f>
        <v>Dia</v>
      </c>
      <c r="H398">
        <v>1</v>
      </c>
      <c r="I398">
        <f>IFERROR(VLOOKUP(E398,Control_Actividades!A:C,3,FALSE),"")</f>
        <v>100</v>
      </c>
      <c r="J398" s="3">
        <f t="shared" si="166"/>
        <v>100</v>
      </c>
    </row>
    <row r="399" spans="1:10" x14ac:dyDescent="0.3">
      <c r="A399" s="2">
        <v>46085</v>
      </c>
      <c r="B399">
        <f t="shared" si="168"/>
        <v>10</v>
      </c>
      <c r="C399" t="s">
        <v>44</v>
      </c>
      <c r="E399" t="s">
        <v>64</v>
      </c>
      <c r="F399" t="s">
        <v>61</v>
      </c>
      <c r="G399" t="str">
        <f>IFERROR(VLOOKUP(E399,Control_Actividades!A:C,2,FALSE),"")</f>
        <v>Manzana</v>
      </c>
      <c r="H399">
        <v>1.1599999999999999</v>
      </c>
      <c r="I399">
        <f>IFERROR(VLOOKUP(E399,Control_Actividades!A:C,3,FALSE),"")</f>
        <v>100</v>
      </c>
      <c r="J399" s="3">
        <f t="shared" si="166"/>
        <v>115.99999999999999</v>
      </c>
    </row>
    <row r="400" spans="1:10" hidden="1" x14ac:dyDescent="0.3">
      <c r="A400" s="2">
        <v>46085</v>
      </c>
      <c r="B400">
        <f t="shared" ref="B400" si="169">_xlfn.SINGLE(WEEKNUM(A400,2))</f>
        <v>10</v>
      </c>
      <c r="C400" t="s">
        <v>45</v>
      </c>
      <c r="E400" t="s">
        <v>10</v>
      </c>
      <c r="F400" t="s">
        <v>60</v>
      </c>
      <c r="G400" t="str">
        <f>IFERROR(VLOOKUP(E400,Control_Actividades!A:C,2,FALSE),"")</f>
        <v>Quintal</v>
      </c>
      <c r="H400">
        <v>1.55</v>
      </c>
      <c r="I400">
        <f>IFERROR(VLOOKUP(E400,Control_Actividades!A:C,3,FALSE),"")</f>
        <v>70</v>
      </c>
      <c r="J400" s="3">
        <f t="shared" si="166"/>
        <v>108.5</v>
      </c>
    </row>
    <row r="401" spans="1:10" hidden="1" x14ac:dyDescent="0.3">
      <c r="A401" s="2">
        <v>46085</v>
      </c>
      <c r="B401">
        <f t="shared" ref="B401:B404" si="170">WEEKNUM(A401,2)</f>
        <v>10</v>
      </c>
      <c r="C401" t="s">
        <v>46</v>
      </c>
      <c r="E401" t="s">
        <v>10</v>
      </c>
      <c r="F401" t="s">
        <v>60</v>
      </c>
      <c r="G401" t="str">
        <f>IFERROR(VLOOKUP(E401,Control_Actividades!A:C,2,FALSE),"")</f>
        <v>Quintal</v>
      </c>
      <c r="H401">
        <v>2.4</v>
      </c>
      <c r="I401">
        <f>IFERROR(VLOOKUP(E401,Control_Actividades!A:C,3,FALSE),"")</f>
        <v>70</v>
      </c>
      <c r="J401" s="3">
        <f t="shared" si="166"/>
        <v>168</v>
      </c>
    </row>
    <row r="402" spans="1:10" hidden="1" x14ac:dyDescent="0.3">
      <c r="A402" s="5">
        <v>46085</v>
      </c>
      <c r="B402" s="6">
        <f t="shared" si="170"/>
        <v>10</v>
      </c>
      <c r="C402" s="6" t="s">
        <v>47</v>
      </c>
      <c r="D402" s="6"/>
      <c r="E402" s="6" t="s">
        <v>10</v>
      </c>
      <c r="F402" s="6" t="s">
        <v>60</v>
      </c>
      <c r="G402" s="6" t="str">
        <f>IFERROR(VLOOKUP(E402,Control_Actividades!A:C,2,FALSE),"")</f>
        <v>Quintal</v>
      </c>
      <c r="H402" s="6">
        <v>1.1499999999999999</v>
      </c>
      <c r="I402" s="6">
        <f>IFERROR(VLOOKUP(E402,Control_Actividades!A:C,3,FALSE),"")</f>
        <v>70</v>
      </c>
      <c r="J402" s="10">
        <f t="shared" si="166"/>
        <v>80.5</v>
      </c>
    </row>
    <row r="403" spans="1:10" hidden="1" x14ac:dyDescent="0.3">
      <c r="A403" s="2">
        <v>46086</v>
      </c>
      <c r="B403">
        <f t="shared" si="170"/>
        <v>10</v>
      </c>
      <c r="C403" t="s">
        <v>22</v>
      </c>
      <c r="E403" t="s">
        <v>23</v>
      </c>
      <c r="F403" t="s">
        <v>60</v>
      </c>
      <c r="G403" t="str">
        <f>IFERROR(VLOOKUP(E403,Control_Actividades!A:C,2,FALSE),"")</f>
        <v>Dia</v>
      </c>
      <c r="H403">
        <v>1</v>
      </c>
      <c r="I403">
        <f>IFERROR(VLOOKUP(E403,Control_Actividades!A:C,3,FALSE),"")</f>
        <v>100</v>
      </c>
      <c r="J403" s="3">
        <f t="shared" si="166"/>
        <v>100</v>
      </c>
    </row>
    <row r="404" spans="1:10" hidden="1" x14ac:dyDescent="0.3">
      <c r="A404" s="2">
        <v>46086</v>
      </c>
      <c r="B404">
        <f t="shared" si="170"/>
        <v>10</v>
      </c>
      <c r="C404" t="s">
        <v>27</v>
      </c>
      <c r="E404" t="s">
        <v>53</v>
      </c>
      <c r="F404" t="s">
        <v>49</v>
      </c>
      <c r="G404" t="str">
        <f>IFERROR(VLOOKUP(E404,Control_Actividades!A:C,2,FALSE),"")</f>
        <v>Dia</v>
      </c>
      <c r="H404">
        <v>1</v>
      </c>
      <c r="I404">
        <f>IFERROR(VLOOKUP(E404,Control_Actividades!A:C,3,FALSE),"")</f>
        <v>130</v>
      </c>
      <c r="J404" s="3">
        <f t="shared" si="166"/>
        <v>130</v>
      </c>
    </row>
    <row r="405" spans="1:10" hidden="1" x14ac:dyDescent="0.3">
      <c r="A405" s="2">
        <v>46086</v>
      </c>
      <c r="B405">
        <f t="shared" ref="B405" si="171">_xlfn.SINGLE(WEEKNUM(A405,2))</f>
        <v>10</v>
      </c>
      <c r="C405" t="s">
        <v>28</v>
      </c>
      <c r="E405" t="s">
        <v>10</v>
      </c>
      <c r="F405" t="s">
        <v>60</v>
      </c>
      <c r="G405" t="str">
        <f>IFERROR(VLOOKUP(E405,Control_Actividades!A:C,2,FALSE),"")</f>
        <v>Quintal</v>
      </c>
      <c r="H405">
        <v>1</v>
      </c>
      <c r="I405">
        <f>IFERROR(VLOOKUP(E405,Control_Actividades!A:C,3,FALSE),"")</f>
        <v>70</v>
      </c>
      <c r="J405" s="3">
        <v>70</v>
      </c>
    </row>
    <row r="406" spans="1:10" hidden="1" x14ac:dyDescent="0.3">
      <c r="A406" s="2">
        <v>46086</v>
      </c>
      <c r="B406">
        <f t="shared" ref="B406:B407" si="172">WEEKNUM(A406,2)</f>
        <v>10</v>
      </c>
      <c r="C406" t="s">
        <v>29</v>
      </c>
      <c r="E406" t="s">
        <v>10</v>
      </c>
      <c r="F406" t="s">
        <v>60</v>
      </c>
      <c r="G406" t="str">
        <f>IFERROR(VLOOKUP(E406,Control_Actividades!A:C,2,FALSE),"")</f>
        <v>Quintal</v>
      </c>
      <c r="H406">
        <v>1</v>
      </c>
      <c r="I406">
        <f>IFERROR(VLOOKUP(E406,Control_Actividades!A:C,3,FALSE),"")</f>
        <v>70</v>
      </c>
      <c r="J406" s="3">
        <v>70</v>
      </c>
    </row>
    <row r="407" spans="1:10" hidden="1" x14ac:dyDescent="0.3">
      <c r="A407" s="2">
        <v>46086</v>
      </c>
      <c r="B407">
        <f t="shared" si="172"/>
        <v>10</v>
      </c>
      <c r="C407" t="s">
        <v>26</v>
      </c>
      <c r="E407" t="s">
        <v>10</v>
      </c>
      <c r="F407" t="s">
        <v>60</v>
      </c>
      <c r="G407" t="str">
        <f>IFERROR(VLOOKUP(E407,Control_Actividades!A:C,2,FALSE),"")</f>
        <v>Quintal</v>
      </c>
      <c r="H407">
        <v>1.5</v>
      </c>
      <c r="I407">
        <f>IFERROR(VLOOKUP(E407,Control_Actividades!A:C,3,FALSE),"")</f>
        <v>70</v>
      </c>
      <c r="J407" s="3">
        <f t="shared" ref="J407:J417" si="173">H407*I407</f>
        <v>105</v>
      </c>
    </row>
    <row r="408" spans="1:10" hidden="1" x14ac:dyDescent="0.3">
      <c r="A408" s="2">
        <v>46086</v>
      </c>
      <c r="B408">
        <f t="shared" ref="B408" si="174">_xlfn.SINGLE(WEEKNUM(A408,2))</f>
        <v>10</v>
      </c>
      <c r="C408" t="s">
        <v>30</v>
      </c>
      <c r="E408" t="s">
        <v>10</v>
      </c>
      <c r="F408" t="s">
        <v>60</v>
      </c>
      <c r="G408" t="str">
        <f>IFERROR(VLOOKUP(E408,Control_Actividades!A:C,2,FALSE),"")</f>
        <v>Quintal</v>
      </c>
      <c r="H408">
        <v>1.4</v>
      </c>
      <c r="I408">
        <f>IFERROR(VLOOKUP(E408,Control_Actividades!A:C,3,FALSE),"")</f>
        <v>70</v>
      </c>
      <c r="J408" s="3">
        <f t="shared" si="173"/>
        <v>98</v>
      </c>
    </row>
    <row r="409" spans="1:10" hidden="1" x14ac:dyDescent="0.3">
      <c r="A409" s="2">
        <v>46086</v>
      </c>
      <c r="B409">
        <f t="shared" ref="B409:B410" si="175">WEEKNUM(A409,2)</f>
        <v>10</v>
      </c>
      <c r="C409" t="s">
        <v>31</v>
      </c>
      <c r="E409" t="s">
        <v>10</v>
      </c>
      <c r="F409" t="s">
        <v>60</v>
      </c>
      <c r="G409" t="str">
        <f>IFERROR(VLOOKUP(E409,Control_Actividades!A:C,2,FALSE),"")</f>
        <v>Quintal</v>
      </c>
      <c r="H409">
        <v>2</v>
      </c>
      <c r="I409">
        <f>IFERROR(VLOOKUP(E409,Control_Actividades!A:C,3,FALSE),"")</f>
        <v>70</v>
      </c>
      <c r="J409" s="3">
        <f t="shared" si="173"/>
        <v>140</v>
      </c>
    </row>
    <row r="410" spans="1:10" hidden="1" x14ac:dyDescent="0.3">
      <c r="A410" s="2">
        <v>46086</v>
      </c>
      <c r="B410">
        <f t="shared" si="175"/>
        <v>10</v>
      </c>
      <c r="C410" t="s">
        <v>32</v>
      </c>
      <c r="E410" t="s">
        <v>48</v>
      </c>
      <c r="F410" t="s">
        <v>49</v>
      </c>
      <c r="G410" t="str">
        <f>IFERROR(VLOOKUP(E410,Control_Actividades!A:C,2,FALSE),"")</f>
        <v>Dia</v>
      </c>
      <c r="H410">
        <v>1</v>
      </c>
      <c r="I410">
        <f>IFERROR(VLOOKUP(E410,Control_Actividades!A:C,3,FALSE),"")</f>
        <v>100</v>
      </c>
      <c r="J410" s="3">
        <f t="shared" si="173"/>
        <v>100</v>
      </c>
    </row>
    <row r="411" spans="1:10" hidden="1" x14ac:dyDescent="0.3">
      <c r="A411" s="2">
        <v>46086</v>
      </c>
      <c r="B411">
        <f t="shared" ref="B411" si="176">_xlfn.SINGLE(WEEKNUM(A411,2))</f>
        <v>10</v>
      </c>
      <c r="C411" t="s">
        <v>33</v>
      </c>
      <c r="E411" t="s">
        <v>10</v>
      </c>
      <c r="F411" t="s">
        <v>60</v>
      </c>
      <c r="G411" t="str">
        <f>IFERROR(VLOOKUP(E411,Control_Actividades!A:C,2,FALSE),"")</f>
        <v>Quintal</v>
      </c>
      <c r="H411">
        <v>1.75</v>
      </c>
      <c r="I411">
        <f>IFERROR(VLOOKUP(E411,Control_Actividades!A:C,3,FALSE),"")</f>
        <v>70</v>
      </c>
      <c r="J411" s="3">
        <f t="shared" si="173"/>
        <v>122.5</v>
      </c>
    </row>
    <row r="412" spans="1:10" hidden="1" x14ac:dyDescent="0.3">
      <c r="A412" s="2">
        <v>46086</v>
      </c>
      <c r="B412">
        <f t="shared" ref="B412:B413" si="177">WEEKNUM(A412,2)</f>
        <v>10</v>
      </c>
      <c r="C412" t="s">
        <v>34</v>
      </c>
      <c r="E412" t="s">
        <v>10</v>
      </c>
      <c r="F412" t="s">
        <v>60</v>
      </c>
      <c r="G412" t="str">
        <f>IFERROR(VLOOKUP(E412,Control_Actividades!A:C,2,FALSE),"")</f>
        <v>Quintal</v>
      </c>
      <c r="H412">
        <v>1.75</v>
      </c>
      <c r="I412">
        <f>IFERROR(VLOOKUP(E412,Control_Actividades!A:C,3,FALSE),"")</f>
        <v>70</v>
      </c>
      <c r="J412" s="3">
        <f t="shared" si="173"/>
        <v>122.5</v>
      </c>
    </row>
    <row r="413" spans="1:10" hidden="1" x14ac:dyDescent="0.3">
      <c r="A413" s="2">
        <v>46086</v>
      </c>
      <c r="B413">
        <f t="shared" si="177"/>
        <v>10</v>
      </c>
      <c r="C413" t="s">
        <v>35</v>
      </c>
      <c r="E413" t="s">
        <v>10</v>
      </c>
      <c r="F413" t="s">
        <v>60</v>
      </c>
      <c r="G413" t="str">
        <f>IFERROR(VLOOKUP(E413,Control_Actividades!A:C,2,FALSE),"")</f>
        <v>Quintal</v>
      </c>
      <c r="H413">
        <v>1.55</v>
      </c>
      <c r="I413">
        <f>IFERROR(VLOOKUP(E413,Control_Actividades!A:C,3,FALSE),"")</f>
        <v>70</v>
      </c>
      <c r="J413" s="3">
        <f t="shared" si="173"/>
        <v>108.5</v>
      </c>
    </row>
    <row r="414" spans="1:10" hidden="1" x14ac:dyDescent="0.3">
      <c r="A414" s="2">
        <v>46086</v>
      </c>
      <c r="B414">
        <f t="shared" ref="B414" si="178">_xlfn.SINGLE(WEEKNUM(A414,2))</f>
        <v>10</v>
      </c>
      <c r="C414" t="s">
        <v>36</v>
      </c>
      <c r="E414" t="s">
        <v>10</v>
      </c>
      <c r="F414" t="s">
        <v>60</v>
      </c>
      <c r="G414" t="str">
        <f>IFERROR(VLOOKUP(E414,Control_Actividades!A:C,2,FALSE),"")</f>
        <v>Quintal</v>
      </c>
      <c r="H414">
        <v>1.45</v>
      </c>
      <c r="I414">
        <f>IFERROR(VLOOKUP(E414,Control_Actividades!A:C,3,FALSE),"")</f>
        <v>70</v>
      </c>
      <c r="J414" s="3">
        <f t="shared" si="173"/>
        <v>101.5</v>
      </c>
    </row>
    <row r="415" spans="1:10" hidden="1" x14ac:dyDescent="0.3">
      <c r="A415" s="2">
        <v>46086</v>
      </c>
      <c r="B415">
        <f t="shared" ref="B415:B416" si="179">WEEKNUM(A415,2)</f>
        <v>10</v>
      </c>
      <c r="C415" t="s">
        <v>37</v>
      </c>
      <c r="E415" t="s">
        <v>10</v>
      </c>
      <c r="F415" t="s">
        <v>60</v>
      </c>
      <c r="G415" t="str">
        <f>IFERROR(VLOOKUP(E415,Control_Actividades!A:C,2,FALSE),"")</f>
        <v>Quintal</v>
      </c>
      <c r="H415">
        <v>1.5</v>
      </c>
      <c r="I415">
        <f>IFERROR(VLOOKUP(E415,Control_Actividades!A:C,3,FALSE),"")</f>
        <v>70</v>
      </c>
      <c r="J415" s="3">
        <f t="shared" si="173"/>
        <v>105</v>
      </c>
    </row>
    <row r="416" spans="1:10" hidden="1" x14ac:dyDescent="0.3">
      <c r="A416" s="2">
        <v>46086</v>
      </c>
      <c r="B416">
        <f t="shared" si="179"/>
        <v>10</v>
      </c>
      <c r="C416" t="s">
        <v>38</v>
      </c>
      <c r="E416" t="s">
        <v>10</v>
      </c>
      <c r="F416" t="s">
        <v>60</v>
      </c>
      <c r="G416" t="str">
        <f>IFERROR(VLOOKUP(E416,Control_Actividades!A:C,2,FALSE),"")</f>
        <v>Quintal</v>
      </c>
      <c r="H416">
        <v>1.4</v>
      </c>
      <c r="I416">
        <f>IFERROR(VLOOKUP(E416,Control_Actividades!A:C,3,FALSE),"")</f>
        <v>70</v>
      </c>
      <c r="J416" s="3">
        <f t="shared" si="173"/>
        <v>98</v>
      </c>
    </row>
    <row r="417" spans="1:10" x14ac:dyDescent="0.3">
      <c r="A417" s="2">
        <v>46086</v>
      </c>
      <c r="B417">
        <f t="shared" ref="B417" si="180">_xlfn.SINGLE(WEEKNUM(A417,2))</f>
        <v>10</v>
      </c>
      <c r="C417" t="s">
        <v>39</v>
      </c>
      <c r="E417" t="s">
        <v>17</v>
      </c>
      <c r="F417" t="s">
        <v>59</v>
      </c>
      <c r="G417" t="str">
        <f>IFERROR(VLOOKUP(E417,Control_Actividades!A:C,2,FALSE),"")</f>
        <v>Manzana</v>
      </c>
      <c r="H417">
        <v>1</v>
      </c>
      <c r="I417">
        <f>IFERROR(VLOOKUP(E417,Control_Actividades!A:C,3,FALSE),"")</f>
        <v>110</v>
      </c>
      <c r="J417" s="3">
        <f t="shared" si="173"/>
        <v>110</v>
      </c>
    </row>
    <row r="418" spans="1:10" hidden="1" x14ac:dyDescent="0.3">
      <c r="A418" s="2">
        <v>46086</v>
      </c>
      <c r="B418">
        <f t="shared" ref="B418:B419" si="181">WEEKNUM(A418,2)</f>
        <v>10</v>
      </c>
      <c r="C418" t="s">
        <v>40</v>
      </c>
      <c r="E418" t="s">
        <v>10</v>
      </c>
      <c r="F418" t="s">
        <v>60</v>
      </c>
      <c r="G418" t="str">
        <f>IFERROR(VLOOKUP(E418,Control_Actividades!A:C,2,FALSE),"")</f>
        <v>Quintal</v>
      </c>
      <c r="H418">
        <v>1.4</v>
      </c>
      <c r="I418">
        <f>IFERROR(VLOOKUP(E418,Control_Actividades!A:C,3,FALSE),"")</f>
        <v>70</v>
      </c>
      <c r="J418" s="3">
        <f>1.4*70</f>
        <v>98</v>
      </c>
    </row>
    <row r="419" spans="1:10" hidden="1" x14ac:dyDescent="0.3">
      <c r="A419" s="2">
        <v>46086</v>
      </c>
      <c r="B419">
        <f t="shared" si="181"/>
        <v>10</v>
      </c>
      <c r="C419" t="s">
        <v>41</v>
      </c>
      <c r="E419" t="s">
        <v>48</v>
      </c>
      <c r="F419" t="s">
        <v>49</v>
      </c>
      <c r="G419" t="str">
        <f>IFERROR(VLOOKUP(E419,Control_Actividades!A:C,2,FALSE),"")</f>
        <v>Dia</v>
      </c>
      <c r="H419">
        <v>1</v>
      </c>
      <c r="I419">
        <f>IFERROR(VLOOKUP(E419,Control_Actividades!A:C,3,FALSE),"")</f>
        <v>100</v>
      </c>
      <c r="J419" s="3">
        <f t="shared" ref="J419" si="182">H419*I419</f>
        <v>100</v>
      </c>
    </row>
    <row r="420" spans="1:10" hidden="1" x14ac:dyDescent="0.3">
      <c r="A420" s="2">
        <v>46086</v>
      </c>
      <c r="B420">
        <f t="shared" ref="B420" si="183">_xlfn.SINGLE(WEEKNUM(A420,2))</f>
        <v>10</v>
      </c>
      <c r="C420" t="s">
        <v>42</v>
      </c>
      <c r="E420" t="s">
        <v>10</v>
      </c>
      <c r="F420" t="s">
        <v>60</v>
      </c>
      <c r="G420" t="str">
        <f>IFERROR(VLOOKUP(E420,Control_Actividades!A:C,2,FALSE),"")</f>
        <v>Quintal</v>
      </c>
      <c r="H420">
        <v>2.25</v>
      </c>
      <c r="I420">
        <v>70</v>
      </c>
      <c r="J420" s="3">
        <f>1.25*75+70</f>
        <v>163.75</v>
      </c>
    </row>
    <row r="421" spans="1:10" hidden="1" x14ac:dyDescent="0.3">
      <c r="A421" s="2">
        <v>46086</v>
      </c>
      <c r="B421">
        <f t="shared" ref="B421:B422" si="184">WEEKNUM(A421,2)</f>
        <v>10</v>
      </c>
      <c r="C421" t="s">
        <v>43</v>
      </c>
      <c r="E421" t="s">
        <v>48</v>
      </c>
      <c r="F421" t="s">
        <v>49</v>
      </c>
      <c r="G421" t="str">
        <f>IFERROR(VLOOKUP(E421,Control_Actividades!A:C,2,FALSE),"")</f>
        <v>Dia</v>
      </c>
      <c r="H421">
        <v>1</v>
      </c>
      <c r="I421">
        <f>IFERROR(VLOOKUP(E421,Control_Actividades!A:C,3,FALSE),"")</f>
        <v>100</v>
      </c>
      <c r="J421" s="3">
        <f t="shared" ref="J421:J425" si="185">H421*I421</f>
        <v>100</v>
      </c>
    </row>
    <row r="422" spans="1:10" hidden="1" x14ac:dyDescent="0.3">
      <c r="A422" s="2">
        <v>46086</v>
      </c>
      <c r="B422">
        <f t="shared" si="184"/>
        <v>10</v>
      </c>
      <c r="C422" t="s">
        <v>44</v>
      </c>
      <c r="G422" t="str">
        <f>IFERROR(VLOOKUP(E422,Control_Actividades!A:C,2,FALSE),"")</f>
        <v/>
      </c>
      <c r="I422" t="str">
        <f>IFERROR(VLOOKUP(E422,Control_Actividades!A:C,3,FALSE),"")</f>
        <v/>
      </c>
      <c r="J422" s="3" t="e">
        <f t="shared" si="185"/>
        <v>#VALUE!</v>
      </c>
    </row>
    <row r="423" spans="1:10" hidden="1" x14ac:dyDescent="0.3">
      <c r="A423" s="2">
        <v>46086</v>
      </c>
      <c r="B423">
        <f t="shared" ref="B423" si="186">_xlfn.SINGLE(WEEKNUM(A423,2))</f>
        <v>10</v>
      </c>
      <c r="C423" t="s">
        <v>45</v>
      </c>
      <c r="E423" t="s">
        <v>10</v>
      </c>
      <c r="F423" t="s">
        <v>60</v>
      </c>
      <c r="G423" t="str">
        <f>IFERROR(VLOOKUP(E423,Control_Actividades!A:C,2,FALSE),"")</f>
        <v>Quintal</v>
      </c>
      <c r="H423">
        <v>1.25</v>
      </c>
      <c r="I423">
        <f>IFERROR(VLOOKUP(E423,Control_Actividades!A:C,3,FALSE),"")</f>
        <v>70</v>
      </c>
      <c r="J423" s="3">
        <f t="shared" si="185"/>
        <v>87.5</v>
      </c>
    </row>
    <row r="424" spans="1:10" hidden="1" x14ac:dyDescent="0.3">
      <c r="A424" s="2">
        <v>46086</v>
      </c>
      <c r="B424">
        <f t="shared" ref="B424:B425" si="187">WEEKNUM(A424,2)</f>
        <v>10</v>
      </c>
      <c r="C424" t="s">
        <v>46</v>
      </c>
      <c r="E424" t="s">
        <v>10</v>
      </c>
      <c r="F424" t="s">
        <v>60</v>
      </c>
      <c r="G424" t="str">
        <f>IFERROR(VLOOKUP(E424,Control_Actividades!A:C,2,FALSE),"")</f>
        <v>Quintal</v>
      </c>
      <c r="H424">
        <v>1.9</v>
      </c>
      <c r="I424">
        <f>IFERROR(VLOOKUP(E424,Control_Actividades!A:C,3,FALSE),"")</f>
        <v>70</v>
      </c>
      <c r="J424" s="3">
        <f t="shared" si="185"/>
        <v>133</v>
      </c>
    </row>
    <row r="425" spans="1:10" hidden="1" x14ac:dyDescent="0.3">
      <c r="A425" s="2">
        <v>46086</v>
      </c>
      <c r="B425">
        <f t="shared" si="187"/>
        <v>10</v>
      </c>
      <c r="C425" t="s">
        <v>47</v>
      </c>
      <c r="E425" t="s">
        <v>10</v>
      </c>
      <c r="F425" t="s">
        <v>60</v>
      </c>
      <c r="G425" t="str">
        <f>IFERROR(VLOOKUP(E425,Control_Actividades!A:C,2,FALSE),"")</f>
        <v>Quintal</v>
      </c>
      <c r="H425">
        <v>1.1499999999999999</v>
      </c>
      <c r="I425">
        <f>IFERROR(VLOOKUP(E425,Control_Actividades!A:C,3,FALSE),"")</f>
        <v>70</v>
      </c>
      <c r="J425" s="11">
        <f t="shared" si="185"/>
        <v>80.5</v>
      </c>
    </row>
    <row r="426" spans="1:10" x14ac:dyDescent="0.3">
      <c r="G426" t="str">
        <f>IFERROR(VLOOKUP(E426,Control_Actividades!A:C,2,FALSE),"")</f>
        <v/>
      </c>
      <c r="I426" t="str">
        <f>IFERROR(VLOOKUP(E426,Control_Actividades!A:C,3,FALSE),"")</f>
        <v/>
      </c>
      <c r="J426" t="e">
        <f t="shared" ref="J426:J449" si="188">H426*I426</f>
        <v>#VALUE!</v>
      </c>
    </row>
    <row r="427" spans="1:10" x14ac:dyDescent="0.3">
      <c r="G427" t="str">
        <f>IFERROR(VLOOKUP(E427,Control_Actividades!A:C,2,FALSE),"")</f>
        <v/>
      </c>
      <c r="I427" t="str">
        <f>IFERROR(VLOOKUP(E427,Control_Actividades!A:C,3,FALSE),"")</f>
        <v/>
      </c>
      <c r="J427" t="e">
        <f t="shared" si="188"/>
        <v>#VALUE!</v>
      </c>
    </row>
    <row r="428" spans="1:10" x14ac:dyDescent="0.3">
      <c r="G428" t="str">
        <f>IFERROR(VLOOKUP(E428,Control_Actividades!A:C,2,FALSE),"")</f>
        <v/>
      </c>
      <c r="I428" t="str">
        <f>IFERROR(VLOOKUP(E428,Control_Actividades!A:C,3,FALSE),"")</f>
        <v/>
      </c>
      <c r="J428" t="e">
        <f t="shared" si="188"/>
        <v>#VALUE!</v>
      </c>
    </row>
    <row r="429" spans="1:10" x14ac:dyDescent="0.3">
      <c r="G429" t="str">
        <f>IFERROR(VLOOKUP(E429,Control_Actividades!A:C,2,FALSE),"")</f>
        <v/>
      </c>
      <c r="I429" t="str">
        <f>IFERROR(VLOOKUP(E429,Control_Actividades!A:C,3,FALSE),"")</f>
        <v/>
      </c>
      <c r="J429" t="e">
        <f t="shared" si="188"/>
        <v>#VALUE!</v>
      </c>
    </row>
    <row r="430" spans="1:10" x14ac:dyDescent="0.3">
      <c r="G430" t="str">
        <f>IFERROR(VLOOKUP(E430,Control_Actividades!A:C,2,FALSE),"")</f>
        <v/>
      </c>
      <c r="I430" t="str">
        <f>IFERROR(VLOOKUP(E430,Control_Actividades!A:C,3,FALSE),"")</f>
        <v/>
      </c>
      <c r="J430" t="e">
        <f t="shared" si="188"/>
        <v>#VALUE!</v>
      </c>
    </row>
    <row r="431" spans="1:10" x14ac:dyDescent="0.3">
      <c r="G431" t="str">
        <f>IFERROR(VLOOKUP(E431,Control_Actividades!A:C,2,FALSE),"")</f>
        <v/>
      </c>
      <c r="I431" t="str">
        <f>IFERROR(VLOOKUP(E431,Control_Actividades!A:C,3,FALSE),"")</f>
        <v/>
      </c>
      <c r="J431" t="e">
        <f t="shared" si="188"/>
        <v>#VALUE!</v>
      </c>
    </row>
    <row r="432" spans="1:10" x14ac:dyDescent="0.3">
      <c r="G432" t="str">
        <f>IFERROR(VLOOKUP(E432,Control_Actividades!A:C,2,FALSE),"")</f>
        <v/>
      </c>
      <c r="I432" t="str">
        <f>IFERROR(VLOOKUP(E432,Control_Actividades!A:C,3,FALSE),"")</f>
        <v/>
      </c>
      <c r="J432" t="e">
        <f t="shared" si="188"/>
        <v>#VALUE!</v>
      </c>
    </row>
    <row r="433" spans="7:10" x14ac:dyDescent="0.3">
      <c r="G433" t="str">
        <f>IFERROR(VLOOKUP(E433,Control_Actividades!A:C,2,FALSE),"")</f>
        <v/>
      </c>
      <c r="I433" t="str">
        <f>IFERROR(VLOOKUP(E433,Control_Actividades!A:C,3,FALSE),"")</f>
        <v/>
      </c>
      <c r="J433" t="e">
        <f t="shared" si="188"/>
        <v>#VALUE!</v>
      </c>
    </row>
    <row r="434" spans="7:10" x14ac:dyDescent="0.3">
      <c r="G434" t="str">
        <f>IFERROR(VLOOKUP(E434,Control_Actividades!A:C,2,FALSE),"")</f>
        <v/>
      </c>
      <c r="I434" t="str">
        <f>IFERROR(VLOOKUP(E434,Control_Actividades!A:C,3,FALSE),"")</f>
        <v/>
      </c>
      <c r="J434" t="e">
        <f t="shared" si="188"/>
        <v>#VALUE!</v>
      </c>
    </row>
    <row r="435" spans="7:10" x14ac:dyDescent="0.3">
      <c r="G435" t="str">
        <f>IFERROR(VLOOKUP(E435,Control_Actividades!A:C,2,FALSE),"")</f>
        <v/>
      </c>
      <c r="I435" t="str">
        <f>IFERROR(VLOOKUP(E435,Control_Actividades!A:C,3,FALSE),"")</f>
        <v/>
      </c>
      <c r="J435" t="e">
        <f t="shared" si="188"/>
        <v>#VALUE!</v>
      </c>
    </row>
    <row r="436" spans="7:10" x14ac:dyDescent="0.3">
      <c r="G436" t="str">
        <f>IFERROR(VLOOKUP(E436,Control_Actividades!A:C,2,FALSE),"")</f>
        <v/>
      </c>
      <c r="I436" t="str">
        <f>IFERROR(VLOOKUP(E436,Control_Actividades!A:C,3,FALSE),"")</f>
        <v/>
      </c>
      <c r="J436" t="e">
        <f t="shared" si="188"/>
        <v>#VALUE!</v>
      </c>
    </row>
    <row r="437" spans="7:10" x14ac:dyDescent="0.3">
      <c r="G437" t="str">
        <f>IFERROR(VLOOKUP(E437,Control_Actividades!A:C,2,FALSE),"")</f>
        <v/>
      </c>
      <c r="I437" t="str">
        <f>IFERROR(VLOOKUP(E437,Control_Actividades!A:C,3,FALSE),"")</f>
        <v/>
      </c>
      <c r="J437" t="e">
        <f t="shared" si="188"/>
        <v>#VALUE!</v>
      </c>
    </row>
    <row r="438" spans="7:10" x14ac:dyDescent="0.3">
      <c r="G438" t="str">
        <f>IFERROR(VLOOKUP(E438,Control_Actividades!A:C,2,FALSE),"")</f>
        <v/>
      </c>
      <c r="I438" t="str">
        <f>IFERROR(VLOOKUP(E438,Control_Actividades!A:C,3,FALSE),"")</f>
        <v/>
      </c>
      <c r="J438" t="e">
        <f t="shared" si="188"/>
        <v>#VALUE!</v>
      </c>
    </row>
    <row r="439" spans="7:10" x14ac:dyDescent="0.3">
      <c r="G439" t="str">
        <f>IFERROR(VLOOKUP(E439,Control_Actividades!A:C,2,FALSE),"")</f>
        <v/>
      </c>
      <c r="I439" t="str">
        <f>IFERROR(VLOOKUP(E439,Control_Actividades!A:C,3,FALSE),"")</f>
        <v/>
      </c>
      <c r="J439" t="e">
        <f t="shared" si="188"/>
        <v>#VALUE!</v>
      </c>
    </row>
    <row r="440" spans="7:10" x14ac:dyDescent="0.3">
      <c r="G440" t="str">
        <f>IFERROR(VLOOKUP(E440,Control_Actividades!A:C,2,FALSE),"")</f>
        <v/>
      </c>
      <c r="I440" t="str">
        <f>IFERROR(VLOOKUP(E440,Control_Actividades!A:C,3,FALSE),"")</f>
        <v/>
      </c>
      <c r="J440" t="e">
        <f t="shared" si="188"/>
        <v>#VALUE!</v>
      </c>
    </row>
    <row r="441" spans="7:10" x14ac:dyDescent="0.3">
      <c r="G441" t="str">
        <f>IFERROR(VLOOKUP(E441,Control_Actividades!A:C,2,FALSE),"")</f>
        <v/>
      </c>
      <c r="I441" t="str">
        <f>IFERROR(VLOOKUP(E441,Control_Actividades!A:C,3,FALSE),"")</f>
        <v/>
      </c>
      <c r="J441" t="e">
        <f t="shared" si="188"/>
        <v>#VALUE!</v>
      </c>
    </row>
    <row r="442" spans="7:10" x14ac:dyDescent="0.3">
      <c r="G442" t="str">
        <f>IFERROR(VLOOKUP(E442,Control_Actividades!A:C,2,FALSE),"")</f>
        <v/>
      </c>
      <c r="I442" t="str">
        <f>IFERROR(VLOOKUP(E442,Control_Actividades!A:C,3,FALSE),"")</f>
        <v/>
      </c>
      <c r="J442" t="e">
        <f t="shared" si="188"/>
        <v>#VALUE!</v>
      </c>
    </row>
    <row r="443" spans="7:10" x14ac:dyDescent="0.3">
      <c r="G443" t="str">
        <f>IFERROR(VLOOKUP(E443,Control_Actividades!A:C,2,FALSE),"")</f>
        <v/>
      </c>
      <c r="I443" t="str">
        <f>IFERROR(VLOOKUP(E443,Control_Actividades!A:C,3,FALSE),"")</f>
        <v/>
      </c>
      <c r="J443" t="e">
        <f t="shared" si="188"/>
        <v>#VALUE!</v>
      </c>
    </row>
    <row r="444" spans="7:10" x14ac:dyDescent="0.3">
      <c r="G444" t="str">
        <f>IFERROR(VLOOKUP(E444,Control_Actividades!A:C,2,FALSE),"")</f>
        <v/>
      </c>
      <c r="I444" t="str">
        <f>IFERROR(VLOOKUP(E444,Control_Actividades!A:C,3,FALSE),"")</f>
        <v/>
      </c>
      <c r="J444" t="e">
        <f t="shared" si="188"/>
        <v>#VALUE!</v>
      </c>
    </row>
    <row r="445" spans="7:10" x14ac:dyDescent="0.3">
      <c r="G445" t="str">
        <f>IFERROR(VLOOKUP(E445,Control_Actividades!A:C,2,FALSE),"")</f>
        <v/>
      </c>
      <c r="I445" t="str">
        <f>IFERROR(VLOOKUP(E445,Control_Actividades!A:C,3,FALSE),"")</f>
        <v/>
      </c>
      <c r="J445" t="e">
        <f t="shared" si="188"/>
        <v>#VALUE!</v>
      </c>
    </row>
    <row r="446" spans="7:10" x14ac:dyDescent="0.3">
      <c r="G446" t="str">
        <f>IFERROR(VLOOKUP(E446,Control_Actividades!A:C,2,FALSE),"")</f>
        <v/>
      </c>
      <c r="I446" t="str">
        <f>IFERROR(VLOOKUP(E446,Control_Actividades!A:C,3,FALSE),"")</f>
        <v/>
      </c>
      <c r="J446" t="e">
        <f t="shared" si="188"/>
        <v>#VALUE!</v>
      </c>
    </row>
    <row r="447" spans="7:10" x14ac:dyDescent="0.3">
      <c r="G447" t="str">
        <f>IFERROR(VLOOKUP(E447,Control_Actividades!A:C,2,FALSE),"")</f>
        <v/>
      </c>
      <c r="I447" t="str">
        <f>IFERROR(VLOOKUP(E447,Control_Actividades!A:C,3,FALSE),"")</f>
        <v/>
      </c>
      <c r="J447" t="e">
        <f t="shared" si="188"/>
        <v>#VALUE!</v>
      </c>
    </row>
    <row r="448" spans="7:10" x14ac:dyDescent="0.3">
      <c r="G448" t="str">
        <f>IFERROR(VLOOKUP(E448,Control_Actividades!A:C,2,FALSE),"")</f>
        <v/>
      </c>
      <c r="I448" t="str">
        <f>IFERROR(VLOOKUP(E448,Control_Actividades!A:C,3,FALSE),"")</f>
        <v/>
      </c>
      <c r="J448" t="e">
        <f t="shared" si="188"/>
        <v>#VALUE!</v>
      </c>
    </row>
    <row r="449" spans="7:10" x14ac:dyDescent="0.3">
      <c r="G449" t="str">
        <f>IFERROR(VLOOKUP(E449,Control_Actividades!A:C,2,FALSE),"")</f>
        <v/>
      </c>
      <c r="I449" t="str">
        <f>IFERROR(VLOOKUP(E449,Control_Actividades!A:C,3,FALSE),"")</f>
        <v/>
      </c>
      <c r="J449" t="e">
        <f t="shared" si="188"/>
        <v>#VALUE!</v>
      </c>
    </row>
    <row r="450" spans="7:10" x14ac:dyDescent="0.3">
      <c r="G450" t="str">
        <f>IFERROR(VLOOKUP(E450,Control_Actividades!A:C,2,FALSE),"")</f>
        <v/>
      </c>
      <c r="I450" t="str">
        <f>IFERROR(VLOOKUP(E450,Control_Actividades!A:C,3,FALSE),"")</f>
        <v/>
      </c>
      <c r="J450" t="e">
        <f t="shared" ref="J450:J513" si="189">H450*I450</f>
        <v>#VALUE!</v>
      </c>
    </row>
    <row r="451" spans="7:10" x14ac:dyDescent="0.3">
      <c r="G451" t="str">
        <f>IFERROR(VLOOKUP(E451,Control_Actividades!A:C,2,FALSE),"")</f>
        <v/>
      </c>
      <c r="I451" t="str">
        <f>IFERROR(VLOOKUP(E451,Control_Actividades!A:C,3,FALSE),"")</f>
        <v/>
      </c>
      <c r="J451" t="e">
        <f t="shared" si="189"/>
        <v>#VALUE!</v>
      </c>
    </row>
    <row r="452" spans="7:10" x14ac:dyDescent="0.3">
      <c r="G452" t="str">
        <f>IFERROR(VLOOKUP(E452,Control_Actividades!A:C,2,FALSE),"")</f>
        <v/>
      </c>
      <c r="I452" t="str">
        <f>IFERROR(VLOOKUP(E452,Control_Actividades!A:C,3,FALSE),"")</f>
        <v/>
      </c>
      <c r="J452" t="e">
        <f t="shared" si="189"/>
        <v>#VALUE!</v>
      </c>
    </row>
    <row r="453" spans="7:10" x14ac:dyDescent="0.3">
      <c r="G453" t="str">
        <f>IFERROR(VLOOKUP(E453,Control_Actividades!A:C,2,FALSE),"")</f>
        <v/>
      </c>
      <c r="I453" t="str">
        <f>IFERROR(VLOOKUP(E453,Control_Actividades!A:C,3,FALSE),"")</f>
        <v/>
      </c>
      <c r="J453" t="e">
        <f t="shared" si="189"/>
        <v>#VALUE!</v>
      </c>
    </row>
    <row r="454" spans="7:10" x14ac:dyDescent="0.3">
      <c r="G454" t="str">
        <f>IFERROR(VLOOKUP(E454,Control_Actividades!A:C,2,FALSE),"")</f>
        <v/>
      </c>
      <c r="I454" t="str">
        <f>IFERROR(VLOOKUP(E454,Control_Actividades!A:C,3,FALSE),"")</f>
        <v/>
      </c>
      <c r="J454" t="e">
        <f t="shared" si="189"/>
        <v>#VALUE!</v>
      </c>
    </row>
    <row r="455" spans="7:10" x14ac:dyDescent="0.3">
      <c r="G455" t="str">
        <f>IFERROR(VLOOKUP(E455,Control_Actividades!A:C,2,FALSE),"")</f>
        <v/>
      </c>
      <c r="I455" t="str">
        <f>IFERROR(VLOOKUP(E455,Control_Actividades!A:C,3,FALSE),"")</f>
        <v/>
      </c>
      <c r="J455" t="e">
        <f t="shared" si="189"/>
        <v>#VALUE!</v>
      </c>
    </row>
    <row r="456" spans="7:10" x14ac:dyDescent="0.3">
      <c r="G456" t="str">
        <f>IFERROR(VLOOKUP(E456,Control_Actividades!A:C,2,FALSE),"")</f>
        <v/>
      </c>
      <c r="I456" t="str">
        <f>IFERROR(VLOOKUP(E456,Control_Actividades!A:C,3,FALSE),"")</f>
        <v/>
      </c>
      <c r="J456" t="e">
        <f t="shared" si="189"/>
        <v>#VALUE!</v>
      </c>
    </row>
    <row r="457" spans="7:10" x14ac:dyDescent="0.3">
      <c r="G457" t="str">
        <f>IFERROR(VLOOKUP(E457,Control_Actividades!A:C,2,FALSE),"")</f>
        <v/>
      </c>
      <c r="I457" t="str">
        <f>IFERROR(VLOOKUP(E457,Control_Actividades!A:C,3,FALSE),"")</f>
        <v/>
      </c>
      <c r="J457" t="e">
        <f t="shared" si="189"/>
        <v>#VALUE!</v>
      </c>
    </row>
    <row r="458" spans="7:10" x14ac:dyDescent="0.3">
      <c r="G458" t="str">
        <f>IFERROR(VLOOKUP(E458,Control_Actividades!A:C,2,FALSE),"")</f>
        <v/>
      </c>
      <c r="I458" t="str">
        <f>IFERROR(VLOOKUP(E458,Control_Actividades!A:C,3,FALSE),"")</f>
        <v/>
      </c>
      <c r="J458" t="e">
        <f t="shared" si="189"/>
        <v>#VALUE!</v>
      </c>
    </row>
    <row r="459" spans="7:10" x14ac:dyDescent="0.3">
      <c r="G459" t="str">
        <f>IFERROR(VLOOKUP(E459,Control_Actividades!A:C,2,FALSE),"")</f>
        <v/>
      </c>
      <c r="I459" t="str">
        <f>IFERROR(VLOOKUP(E459,Control_Actividades!A:C,3,FALSE),"")</f>
        <v/>
      </c>
      <c r="J459" t="e">
        <f t="shared" si="189"/>
        <v>#VALUE!</v>
      </c>
    </row>
    <row r="460" spans="7:10" x14ac:dyDescent="0.3">
      <c r="G460" t="str">
        <f>IFERROR(VLOOKUP(E460,Control_Actividades!A:C,2,FALSE),"")</f>
        <v/>
      </c>
      <c r="I460" t="str">
        <f>IFERROR(VLOOKUP(E460,Control_Actividades!A:C,3,FALSE),"")</f>
        <v/>
      </c>
      <c r="J460" t="e">
        <f t="shared" si="189"/>
        <v>#VALUE!</v>
      </c>
    </row>
    <row r="461" spans="7:10" x14ac:dyDescent="0.3">
      <c r="G461" t="str">
        <f>IFERROR(VLOOKUP(E461,Control_Actividades!A:C,2,FALSE),"")</f>
        <v/>
      </c>
      <c r="I461" t="str">
        <f>IFERROR(VLOOKUP(E461,Control_Actividades!A:C,3,FALSE),"")</f>
        <v/>
      </c>
      <c r="J461" t="e">
        <f t="shared" si="189"/>
        <v>#VALUE!</v>
      </c>
    </row>
    <row r="462" spans="7:10" x14ac:dyDescent="0.3">
      <c r="G462" t="str">
        <f>IFERROR(VLOOKUP(E462,Control_Actividades!A:C,2,FALSE),"")</f>
        <v/>
      </c>
      <c r="I462" t="str">
        <f>IFERROR(VLOOKUP(E462,Control_Actividades!A:C,3,FALSE),"")</f>
        <v/>
      </c>
      <c r="J462" t="e">
        <f t="shared" si="189"/>
        <v>#VALUE!</v>
      </c>
    </row>
    <row r="463" spans="7:10" x14ac:dyDescent="0.3">
      <c r="G463" t="str">
        <f>IFERROR(VLOOKUP(E463,Control_Actividades!A:C,2,FALSE),"")</f>
        <v/>
      </c>
      <c r="I463" t="str">
        <f>IFERROR(VLOOKUP(E463,Control_Actividades!A:C,3,FALSE),"")</f>
        <v/>
      </c>
      <c r="J463" t="e">
        <f t="shared" si="189"/>
        <v>#VALUE!</v>
      </c>
    </row>
    <row r="464" spans="7:10" x14ac:dyDescent="0.3">
      <c r="G464" t="str">
        <f>IFERROR(VLOOKUP(E464,Control_Actividades!A:C,2,FALSE),"")</f>
        <v/>
      </c>
      <c r="I464" t="str">
        <f>IFERROR(VLOOKUP(E464,Control_Actividades!A:C,3,FALSE),"")</f>
        <v/>
      </c>
      <c r="J464" t="e">
        <f t="shared" si="189"/>
        <v>#VALUE!</v>
      </c>
    </row>
    <row r="465" spans="7:10" x14ac:dyDescent="0.3">
      <c r="G465" t="str">
        <f>IFERROR(VLOOKUP(E465,Control_Actividades!A:C,2,FALSE),"")</f>
        <v/>
      </c>
      <c r="I465" t="str">
        <f>IFERROR(VLOOKUP(E465,Control_Actividades!A:C,3,FALSE),"")</f>
        <v/>
      </c>
      <c r="J465" t="e">
        <f t="shared" si="189"/>
        <v>#VALUE!</v>
      </c>
    </row>
    <row r="466" spans="7:10" x14ac:dyDescent="0.3">
      <c r="G466" t="str">
        <f>IFERROR(VLOOKUP(E466,Control_Actividades!A:C,2,FALSE),"")</f>
        <v/>
      </c>
      <c r="I466" t="str">
        <f>IFERROR(VLOOKUP(E466,Control_Actividades!A:C,3,FALSE),"")</f>
        <v/>
      </c>
      <c r="J466" t="e">
        <f t="shared" si="189"/>
        <v>#VALUE!</v>
      </c>
    </row>
    <row r="467" spans="7:10" x14ac:dyDescent="0.3">
      <c r="G467" t="str">
        <f>IFERROR(VLOOKUP(E467,Control_Actividades!A:C,2,FALSE),"")</f>
        <v/>
      </c>
      <c r="I467" t="str">
        <f>IFERROR(VLOOKUP(E467,Control_Actividades!A:C,3,FALSE),"")</f>
        <v/>
      </c>
      <c r="J467" t="e">
        <f t="shared" si="189"/>
        <v>#VALUE!</v>
      </c>
    </row>
    <row r="468" spans="7:10" x14ac:dyDescent="0.3">
      <c r="G468" t="str">
        <f>IFERROR(VLOOKUP(E468,Control_Actividades!A:C,2,FALSE),"")</f>
        <v/>
      </c>
      <c r="I468" t="str">
        <f>IFERROR(VLOOKUP(E468,Control_Actividades!A:C,3,FALSE),"")</f>
        <v/>
      </c>
      <c r="J468" t="e">
        <f t="shared" si="189"/>
        <v>#VALUE!</v>
      </c>
    </row>
    <row r="469" spans="7:10" x14ac:dyDescent="0.3">
      <c r="G469" t="str">
        <f>IFERROR(VLOOKUP(E469,Control_Actividades!A:C,2,FALSE),"")</f>
        <v/>
      </c>
      <c r="I469" t="str">
        <f>IFERROR(VLOOKUP(E469,Control_Actividades!A:C,3,FALSE),"")</f>
        <v/>
      </c>
      <c r="J469" t="e">
        <f t="shared" si="189"/>
        <v>#VALUE!</v>
      </c>
    </row>
    <row r="470" spans="7:10" x14ac:dyDescent="0.3">
      <c r="G470" t="str">
        <f>IFERROR(VLOOKUP(E470,Control_Actividades!A:C,2,FALSE),"")</f>
        <v/>
      </c>
      <c r="I470" t="str">
        <f>IFERROR(VLOOKUP(E470,Control_Actividades!A:C,3,FALSE),"")</f>
        <v/>
      </c>
      <c r="J470" t="e">
        <f t="shared" si="189"/>
        <v>#VALUE!</v>
      </c>
    </row>
    <row r="471" spans="7:10" x14ac:dyDescent="0.3">
      <c r="G471" t="str">
        <f>IFERROR(VLOOKUP(E471,Control_Actividades!A:C,2,FALSE),"")</f>
        <v/>
      </c>
      <c r="I471" t="str">
        <f>IFERROR(VLOOKUP(E471,Control_Actividades!A:C,3,FALSE),"")</f>
        <v/>
      </c>
      <c r="J471" t="e">
        <f t="shared" si="189"/>
        <v>#VALUE!</v>
      </c>
    </row>
    <row r="472" spans="7:10" x14ac:dyDescent="0.3">
      <c r="G472" t="str">
        <f>IFERROR(VLOOKUP(E472,Control_Actividades!A:C,2,FALSE),"")</f>
        <v/>
      </c>
      <c r="I472" t="str">
        <f>IFERROR(VLOOKUP(E472,Control_Actividades!A:C,3,FALSE),"")</f>
        <v/>
      </c>
      <c r="J472" t="e">
        <f t="shared" si="189"/>
        <v>#VALUE!</v>
      </c>
    </row>
    <row r="473" spans="7:10" x14ac:dyDescent="0.3">
      <c r="G473" t="str">
        <f>IFERROR(VLOOKUP(E473,Control_Actividades!A:C,2,FALSE),"")</f>
        <v/>
      </c>
      <c r="I473" t="str">
        <f>IFERROR(VLOOKUP(E473,Control_Actividades!A:C,3,FALSE),"")</f>
        <v/>
      </c>
      <c r="J473" t="e">
        <f t="shared" si="189"/>
        <v>#VALUE!</v>
      </c>
    </row>
    <row r="474" spans="7:10" x14ac:dyDescent="0.3">
      <c r="G474" t="str">
        <f>IFERROR(VLOOKUP(E474,Control_Actividades!A:C,2,FALSE),"")</f>
        <v/>
      </c>
      <c r="I474" t="str">
        <f>IFERROR(VLOOKUP(E474,Control_Actividades!A:C,3,FALSE),"")</f>
        <v/>
      </c>
      <c r="J474" t="e">
        <f t="shared" si="189"/>
        <v>#VALUE!</v>
      </c>
    </row>
    <row r="475" spans="7:10" x14ac:dyDescent="0.3">
      <c r="G475" t="str">
        <f>IFERROR(VLOOKUP(E475,Control_Actividades!A:C,2,FALSE),"")</f>
        <v/>
      </c>
      <c r="I475" t="str">
        <f>IFERROR(VLOOKUP(E475,Control_Actividades!A:C,3,FALSE),"")</f>
        <v/>
      </c>
      <c r="J475" t="e">
        <f t="shared" si="189"/>
        <v>#VALUE!</v>
      </c>
    </row>
    <row r="476" spans="7:10" x14ac:dyDescent="0.3">
      <c r="G476" t="str">
        <f>IFERROR(VLOOKUP(E476,Control_Actividades!A:C,2,FALSE),"")</f>
        <v/>
      </c>
      <c r="I476" t="str">
        <f>IFERROR(VLOOKUP(E476,Control_Actividades!A:C,3,FALSE),"")</f>
        <v/>
      </c>
      <c r="J476" t="e">
        <f t="shared" si="189"/>
        <v>#VALUE!</v>
      </c>
    </row>
    <row r="477" spans="7:10" x14ac:dyDescent="0.3">
      <c r="G477" t="str">
        <f>IFERROR(VLOOKUP(E477,Control_Actividades!A:C,2,FALSE),"")</f>
        <v/>
      </c>
      <c r="I477" t="str">
        <f>IFERROR(VLOOKUP(E477,Control_Actividades!A:C,3,FALSE),"")</f>
        <v/>
      </c>
      <c r="J477" t="e">
        <f t="shared" si="189"/>
        <v>#VALUE!</v>
      </c>
    </row>
    <row r="478" spans="7:10" x14ac:dyDescent="0.3">
      <c r="G478" t="str">
        <f>IFERROR(VLOOKUP(E478,Control_Actividades!A:C,2,FALSE),"")</f>
        <v/>
      </c>
      <c r="I478" t="str">
        <f>IFERROR(VLOOKUP(E478,Control_Actividades!A:C,3,FALSE),"")</f>
        <v/>
      </c>
      <c r="J478" t="e">
        <f t="shared" si="189"/>
        <v>#VALUE!</v>
      </c>
    </row>
    <row r="479" spans="7:10" x14ac:dyDescent="0.3">
      <c r="G479" t="str">
        <f>IFERROR(VLOOKUP(E479,Control_Actividades!A:C,2,FALSE),"")</f>
        <v/>
      </c>
      <c r="I479" t="str">
        <f>IFERROR(VLOOKUP(E479,Control_Actividades!A:C,3,FALSE),"")</f>
        <v/>
      </c>
      <c r="J479" t="e">
        <f t="shared" si="189"/>
        <v>#VALUE!</v>
      </c>
    </row>
    <row r="480" spans="7:10" x14ac:dyDescent="0.3">
      <c r="G480" t="str">
        <f>IFERROR(VLOOKUP(E480,Control_Actividades!A:C,2,FALSE),"")</f>
        <v/>
      </c>
      <c r="I480" t="str">
        <f>IFERROR(VLOOKUP(E480,Control_Actividades!A:C,3,FALSE),"")</f>
        <v/>
      </c>
      <c r="J480" t="e">
        <f t="shared" si="189"/>
        <v>#VALUE!</v>
      </c>
    </row>
    <row r="481" spans="7:10" x14ac:dyDescent="0.3">
      <c r="G481" t="str">
        <f>IFERROR(VLOOKUP(E481,Control_Actividades!A:C,2,FALSE),"")</f>
        <v/>
      </c>
      <c r="I481" t="str">
        <f>IFERROR(VLOOKUP(E481,Control_Actividades!A:C,3,FALSE),"")</f>
        <v/>
      </c>
      <c r="J481" t="e">
        <f t="shared" si="189"/>
        <v>#VALUE!</v>
      </c>
    </row>
    <row r="482" spans="7:10" x14ac:dyDescent="0.3">
      <c r="G482" t="str">
        <f>IFERROR(VLOOKUP(E482,Control_Actividades!A:C,2,FALSE),"")</f>
        <v/>
      </c>
      <c r="I482" t="str">
        <f>IFERROR(VLOOKUP(E482,Control_Actividades!A:C,3,FALSE),"")</f>
        <v/>
      </c>
      <c r="J482" t="e">
        <f t="shared" si="189"/>
        <v>#VALUE!</v>
      </c>
    </row>
    <row r="483" spans="7:10" x14ac:dyDescent="0.3">
      <c r="G483" t="str">
        <f>IFERROR(VLOOKUP(E483,Control_Actividades!A:C,2,FALSE),"")</f>
        <v/>
      </c>
      <c r="I483" t="str">
        <f>IFERROR(VLOOKUP(E483,Control_Actividades!A:C,3,FALSE),"")</f>
        <v/>
      </c>
      <c r="J483" t="e">
        <f t="shared" si="189"/>
        <v>#VALUE!</v>
      </c>
    </row>
    <row r="484" spans="7:10" x14ac:dyDescent="0.3">
      <c r="G484" t="str">
        <f>IFERROR(VLOOKUP(E484,Control_Actividades!A:C,2,FALSE),"")</f>
        <v/>
      </c>
      <c r="I484" t="str">
        <f>IFERROR(VLOOKUP(E484,Control_Actividades!A:C,3,FALSE),"")</f>
        <v/>
      </c>
      <c r="J484" t="e">
        <f t="shared" si="189"/>
        <v>#VALUE!</v>
      </c>
    </row>
    <row r="485" spans="7:10" x14ac:dyDescent="0.3">
      <c r="G485" t="str">
        <f>IFERROR(VLOOKUP(E485,Control_Actividades!A:C,2,FALSE),"")</f>
        <v/>
      </c>
      <c r="I485" t="str">
        <f>IFERROR(VLOOKUP(E485,Control_Actividades!A:C,3,FALSE),"")</f>
        <v/>
      </c>
      <c r="J485" t="e">
        <f t="shared" si="189"/>
        <v>#VALUE!</v>
      </c>
    </row>
    <row r="486" spans="7:10" x14ac:dyDescent="0.3">
      <c r="G486" t="str">
        <f>IFERROR(VLOOKUP(E486,Control_Actividades!A:C,2,FALSE),"")</f>
        <v/>
      </c>
      <c r="I486" t="str">
        <f>IFERROR(VLOOKUP(E486,Control_Actividades!A:C,3,FALSE),"")</f>
        <v/>
      </c>
      <c r="J486" t="e">
        <f t="shared" si="189"/>
        <v>#VALUE!</v>
      </c>
    </row>
    <row r="487" spans="7:10" x14ac:dyDescent="0.3">
      <c r="G487" t="str">
        <f>IFERROR(VLOOKUP(E487,Control_Actividades!A:C,2,FALSE),"")</f>
        <v/>
      </c>
      <c r="I487" t="str">
        <f>IFERROR(VLOOKUP(E487,Control_Actividades!A:C,3,FALSE),"")</f>
        <v/>
      </c>
      <c r="J487" t="e">
        <f t="shared" si="189"/>
        <v>#VALUE!</v>
      </c>
    </row>
    <row r="488" spans="7:10" x14ac:dyDescent="0.3">
      <c r="G488" t="str">
        <f>IFERROR(VLOOKUP(E488,Control_Actividades!A:C,2,FALSE),"")</f>
        <v/>
      </c>
      <c r="I488" t="str">
        <f>IFERROR(VLOOKUP(E488,Control_Actividades!A:C,3,FALSE),"")</f>
        <v/>
      </c>
      <c r="J488" t="e">
        <f t="shared" si="189"/>
        <v>#VALUE!</v>
      </c>
    </row>
    <row r="489" spans="7:10" x14ac:dyDescent="0.3">
      <c r="G489" t="str">
        <f>IFERROR(VLOOKUP(E489,Control_Actividades!A:C,2,FALSE),"")</f>
        <v/>
      </c>
      <c r="I489" t="str">
        <f>IFERROR(VLOOKUP(E489,Control_Actividades!A:C,3,FALSE),"")</f>
        <v/>
      </c>
      <c r="J489" t="e">
        <f t="shared" si="189"/>
        <v>#VALUE!</v>
      </c>
    </row>
    <row r="490" spans="7:10" x14ac:dyDescent="0.3">
      <c r="G490" t="str">
        <f>IFERROR(VLOOKUP(E490,Control_Actividades!A:C,2,FALSE),"")</f>
        <v/>
      </c>
      <c r="I490" t="str">
        <f>IFERROR(VLOOKUP(E490,Control_Actividades!A:C,3,FALSE),"")</f>
        <v/>
      </c>
      <c r="J490" t="e">
        <f t="shared" si="189"/>
        <v>#VALUE!</v>
      </c>
    </row>
    <row r="491" spans="7:10" x14ac:dyDescent="0.3">
      <c r="G491" t="str">
        <f>IFERROR(VLOOKUP(E491,Control_Actividades!A:C,2,FALSE),"")</f>
        <v/>
      </c>
      <c r="I491" t="str">
        <f>IFERROR(VLOOKUP(E491,Control_Actividades!A:C,3,FALSE),"")</f>
        <v/>
      </c>
      <c r="J491" t="e">
        <f t="shared" si="189"/>
        <v>#VALUE!</v>
      </c>
    </row>
    <row r="492" spans="7:10" x14ac:dyDescent="0.3">
      <c r="G492" t="str">
        <f>IFERROR(VLOOKUP(E492,Control_Actividades!A:C,2,FALSE),"")</f>
        <v/>
      </c>
      <c r="I492" t="str">
        <f>IFERROR(VLOOKUP(E492,Control_Actividades!A:C,3,FALSE),"")</f>
        <v/>
      </c>
      <c r="J492" t="e">
        <f t="shared" si="189"/>
        <v>#VALUE!</v>
      </c>
    </row>
    <row r="493" spans="7:10" x14ac:dyDescent="0.3">
      <c r="G493" t="str">
        <f>IFERROR(VLOOKUP(E493,Control_Actividades!A:C,2,FALSE),"")</f>
        <v/>
      </c>
      <c r="I493" t="str">
        <f>IFERROR(VLOOKUP(E493,Control_Actividades!A:C,3,FALSE),"")</f>
        <v/>
      </c>
      <c r="J493" t="e">
        <f t="shared" si="189"/>
        <v>#VALUE!</v>
      </c>
    </row>
    <row r="494" spans="7:10" x14ac:dyDescent="0.3">
      <c r="G494" t="str">
        <f>IFERROR(VLOOKUP(E494,Control_Actividades!A:C,2,FALSE),"")</f>
        <v/>
      </c>
      <c r="I494" t="str">
        <f>IFERROR(VLOOKUP(E494,Control_Actividades!A:C,3,FALSE),"")</f>
        <v/>
      </c>
      <c r="J494" t="e">
        <f t="shared" si="189"/>
        <v>#VALUE!</v>
      </c>
    </row>
    <row r="495" spans="7:10" x14ac:dyDescent="0.3">
      <c r="G495" t="str">
        <f>IFERROR(VLOOKUP(E495,Control_Actividades!A:C,2,FALSE),"")</f>
        <v/>
      </c>
      <c r="I495" t="str">
        <f>IFERROR(VLOOKUP(E495,Control_Actividades!A:C,3,FALSE),"")</f>
        <v/>
      </c>
      <c r="J495" t="e">
        <f t="shared" si="189"/>
        <v>#VALUE!</v>
      </c>
    </row>
    <row r="496" spans="7:10" x14ac:dyDescent="0.3">
      <c r="G496" t="str">
        <f>IFERROR(VLOOKUP(E496,Control_Actividades!A:C,2,FALSE),"")</f>
        <v/>
      </c>
      <c r="I496" t="str">
        <f>IFERROR(VLOOKUP(E496,Control_Actividades!A:C,3,FALSE),"")</f>
        <v/>
      </c>
      <c r="J496" t="e">
        <f t="shared" si="189"/>
        <v>#VALUE!</v>
      </c>
    </row>
    <row r="497" spans="7:10" x14ac:dyDescent="0.3">
      <c r="G497" t="str">
        <f>IFERROR(VLOOKUP(E497,Control_Actividades!A:C,2,FALSE),"")</f>
        <v/>
      </c>
      <c r="I497" t="str">
        <f>IFERROR(VLOOKUP(E497,Control_Actividades!A:C,3,FALSE),"")</f>
        <v/>
      </c>
      <c r="J497" t="e">
        <f t="shared" si="189"/>
        <v>#VALUE!</v>
      </c>
    </row>
    <row r="498" spans="7:10" x14ac:dyDescent="0.3">
      <c r="G498" t="str">
        <f>IFERROR(VLOOKUP(E498,Control_Actividades!A:C,2,FALSE),"")</f>
        <v/>
      </c>
      <c r="I498" t="str">
        <f>IFERROR(VLOOKUP(E498,Control_Actividades!A:C,3,FALSE),"")</f>
        <v/>
      </c>
      <c r="J498" t="e">
        <f t="shared" si="189"/>
        <v>#VALUE!</v>
      </c>
    </row>
    <row r="499" spans="7:10" x14ac:dyDescent="0.3">
      <c r="G499" t="str">
        <f>IFERROR(VLOOKUP(E499,Control_Actividades!A:C,2,FALSE),"")</f>
        <v/>
      </c>
      <c r="I499" t="str">
        <f>IFERROR(VLOOKUP(E499,Control_Actividades!A:C,3,FALSE),"")</f>
        <v/>
      </c>
      <c r="J499" t="e">
        <f t="shared" si="189"/>
        <v>#VALUE!</v>
      </c>
    </row>
    <row r="500" spans="7:10" x14ac:dyDescent="0.3">
      <c r="G500" t="str">
        <f>IFERROR(VLOOKUP(E500,Control_Actividades!A:C,2,FALSE),"")</f>
        <v/>
      </c>
      <c r="I500" t="str">
        <f>IFERROR(VLOOKUP(E500,Control_Actividades!A:C,3,FALSE),"")</f>
        <v/>
      </c>
      <c r="J500" t="e">
        <f t="shared" si="189"/>
        <v>#VALUE!</v>
      </c>
    </row>
    <row r="501" spans="7:10" x14ac:dyDescent="0.3">
      <c r="G501" t="str">
        <f>IFERROR(VLOOKUP(E501,Control_Actividades!A:C,2,FALSE),"")</f>
        <v/>
      </c>
      <c r="I501" t="str">
        <f>IFERROR(VLOOKUP(E501,Control_Actividades!A:C,3,FALSE),"")</f>
        <v/>
      </c>
      <c r="J501" t="e">
        <f t="shared" si="189"/>
        <v>#VALUE!</v>
      </c>
    </row>
    <row r="502" spans="7:10" x14ac:dyDescent="0.3">
      <c r="G502" t="str">
        <f>IFERROR(VLOOKUP(E502,Control_Actividades!A:C,2,FALSE),"")</f>
        <v/>
      </c>
      <c r="I502" t="str">
        <f>IFERROR(VLOOKUP(E502,Control_Actividades!A:C,3,FALSE),"")</f>
        <v/>
      </c>
      <c r="J502" t="e">
        <f t="shared" si="189"/>
        <v>#VALUE!</v>
      </c>
    </row>
    <row r="503" spans="7:10" x14ac:dyDescent="0.3">
      <c r="G503" t="str">
        <f>IFERROR(VLOOKUP(E503,Control_Actividades!A:C,2,FALSE),"")</f>
        <v/>
      </c>
      <c r="I503" t="str">
        <f>IFERROR(VLOOKUP(E503,Control_Actividades!A:C,3,FALSE),"")</f>
        <v/>
      </c>
      <c r="J503" t="e">
        <f t="shared" si="189"/>
        <v>#VALUE!</v>
      </c>
    </row>
    <row r="504" spans="7:10" x14ac:dyDescent="0.3">
      <c r="G504" t="str">
        <f>IFERROR(VLOOKUP(E504,Control_Actividades!A:C,2,FALSE),"")</f>
        <v/>
      </c>
      <c r="I504" t="str">
        <f>IFERROR(VLOOKUP(E504,Control_Actividades!A:C,3,FALSE),"")</f>
        <v/>
      </c>
      <c r="J504" t="e">
        <f t="shared" si="189"/>
        <v>#VALUE!</v>
      </c>
    </row>
    <row r="505" spans="7:10" x14ac:dyDescent="0.3">
      <c r="G505" t="str">
        <f>IFERROR(VLOOKUP(E505,Control_Actividades!A:C,2,FALSE),"")</f>
        <v/>
      </c>
      <c r="I505" t="str">
        <f>IFERROR(VLOOKUP(E505,Control_Actividades!A:C,3,FALSE),"")</f>
        <v/>
      </c>
      <c r="J505" t="e">
        <f t="shared" si="189"/>
        <v>#VALUE!</v>
      </c>
    </row>
    <row r="506" spans="7:10" x14ac:dyDescent="0.3">
      <c r="G506" t="str">
        <f>IFERROR(VLOOKUP(E506,Control_Actividades!A:C,2,FALSE),"")</f>
        <v/>
      </c>
      <c r="I506" t="str">
        <f>IFERROR(VLOOKUP(E506,Control_Actividades!A:C,3,FALSE),"")</f>
        <v/>
      </c>
      <c r="J506" t="e">
        <f t="shared" si="189"/>
        <v>#VALUE!</v>
      </c>
    </row>
    <row r="507" spans="7:10" x14ac:dyDescent="0.3">
      <c r="G507" t="str">
        <f>IFERROR(VLOOKUP(E507,Control_Actividades!A:C,2,FALSE),"")</f>
        <v/>
      </c>
      <c r="I507" t="str">
        <f>IFERROR(VLOOKUP(E507,Control_Actividades!A:C,3,FALSE),"")</f>
        <v/>
      </c>
      <c r="J507" t="e">
        <f t="shared" si="189"/>
        <v>#VALUE!</v>
      </c>
    </row>
    <row r="508" spans="7:10" x14ac:dyDescent="0.3">
      <c r="G508" t="str">
        <f>IFERROR(VLOOKUP(E508,Control_Actividades!A:C,2,FALSE),"")</f>
        <v/>
      </c>
      <c r="I508" t="str">
        <f>IFERROR(VLOOKUP(E508,Control_Actividades!A:C,3,FALSE),"")</f>
        <v/>
      </c>
      <c r="J508" t="e">
        <f t="shared" si="189"/>
        <v>#VALUE!</v>
      </c>
    </row>
    <row r="509" spans="7:10" x14ac:dyDescent="0.3">
      <c r="G509" t="str">
        <f>IFERROR(VLOOKUP(E509,Control_Actividades!A:C,2,FALSE),"")</f>
        <v/>
      </c>
      <c r="I509" t="str">
        <f>IFERROR(VLOOKUP(E509,Control_Actividades!A:C,3,FALSE),"")</f>
        <v/>
      </c>
      <c r="J509" t="e">
        <f t="shared" si="189"/>
        <v>#VALUE!</v>
      </c>
    </row>
    <row r="510" spans="7:10" x14ac:dyDescent="0.3">
      <c r="G510" t="str">
        <f>IFERROR(VLOOKUP(E510,Control_Actividades!A:C,2,FALSE),"")</f>
        <v/>
      </c>
      <c r="I510" t="str">
        <f>IFERROR(VLOOKUP(E510,Control_Actividades!A:C,3,FALSE),"")</f>
        <v/>
      </c>
      <c r="J510" t="e">
        <f t="shared" si="189"/>
        <v>#VALUE!</v>
      </c>
    </row>
    <row r="511" spans="7:10" x14ac:dyDescent="0.3">
      <c r="G511" t="str">
        <f>IFERROR(VLOOKUP(E511,Control_Actividades!A:C,2,FALSE),"")</f>
        <v/>
      </c>
      <c r="I511" t="str">
        <f>IFERROR(VLOOKUP(E511,Control_Actividades!A:C,3,FALSE),"")</f>
        <v/>
      </c>
      <c r="J511" t="e">
        <f t="shared" si="189"/>
        <v>#VALUE!</v>
      </c>
    </row>
    <row r="512" spans="7:10" x14ac:dyDescent="0.3">
      <c r="G512" t="str">
        <f>IFERROR(VLOOKUP(E512,Control_Actividades!A:C,2,FALSE),"")</f>
        <v/>
      </c>
      <c r="I512" t="str">
        <f>IFERROR(VLOOKUP(E512,Control_Actividades!A:C,3,FALSE),"")</f>
        <v/>
      </c>
      <c r="J512" t="e">
        <f t="shared" si="189"/>
        <v>#VALUE!</v>
      </c>
    </row>
    <row r="513" spans="7:10" x14ac:dyDescent="0.3">
      <c r="G513" t="str">
        <f>IFERROR(VLOOKUP(E513,Control_Actividades!A:C,2,FALSE),"")</f>
        <v/>
      </c>
      <c r="I513" t="str">
        <f>IFERROR(VLOOKUP(E513,Control_Actividades!A:C,3,FALSE),"")</f>
        <v/>
      </c>
      <c r="J513" t="e">
        <f t="shared" si="189"/>
        <v>#VALUE!</v>
      </c>
    </row>
    <row r="514" spans="7:10" x14ac:dyDescent="0.3">
      <c r="G514" t="str">
        <f>IFERROR(VLOOKUP(E514,Control_Actividades!A:C,2,FALSE),"")</f>
        <v/>
      </c>
      <c r="I514" t="str">
        <f>IFERROR(VLOOKUP(E514,Control_Actividades!A:C,3,FALSE),"")</f>
        <v/>
      </c>
      <c r="J514" t="e">
        <f t="shared" ref="J514:J577" si="190">H514*I514</f>
        <v>#VALUE!</v>
      </c>
    </row>
    <row r="515" spans="7:10" x14ac:dyDescent="0.3">
      <c r="G515" t="str">
        <f>IFERROR(VLOOKUP(E515,Control_Actividades!A:C,2,FALSE),"")</f>
        <v/>
      </c>
      <c r="I515" t="str">
        <f>IFERROR(VLOOKUP(E515,Control_Actividades!A:C,3,FALSE),"")</f>
        <v/>
      </c>
      <c r="J515" t="e">
        <f t="shared" si="190"/>
        <v>#VALUE!</v>
      </c>
    </row>
    <row r="516" spans="7:10" x14ac:dyDescent="0.3">
      <c r="G516" t="str">
        <f>IFERROR(VLOOKUP(E516,Control_Actividades!A:C,2,FALSE),"")</f>
        <v/>
      </c>
      <c r="I516" t="str">
        <f>IFERROR(VLOOKUP(E516,Control_Actividades!A:C,3,FALSE),"")</f>
        <v/>
      </c>
      <c r="J516" t="e">
        <f t="shared" si="190"/>
        <v>#VALUE!</v>
      </c>
    </row>
    <row r="517" spans="7:10" x14ac:dyDescent="0.3">
      <c r="G517" t="str">
        <f>IFERROR(VLOOKUP(E517,Control_Actividades!A:C,2,FALSE),"")</f>
        <v/>
      </c>
      <c r="I517" t="str">
        <f>IFERROR(VLOOKUP(E517,Control_Actividades!A:C,3,FALSE),"")</f>
        <v/>
      </c>
      <c r="J517" t="e">
        <f t="shared" si="190"/>
        <v>#VALUE!</v>
      </c>
    </row>
    <row r="518" spans="7:10" x14ac:dyDescent="0.3">
      <c r="G518" t="str">
        <f>IFERROR(VLOOKUP(E518,Control_Actividades!A:C,2,FALSE),"")</f>
        <v/>
      </c>
      <c r="I518" t="str">
        <f>IFERROR(VLOOKUP(E518,Control_Actividades!A:C,3,FALSE),"")</f>
        <v/>
      </c>
      <c r="J518" t="e">
        <f t="shared" si="190"/>
        <v>#VALUE!</v>
      </c>
    </row>
    <row r="519" spans="7:10" x14ac:dyDescent="0.3">
      <c r="G519" t="str">
        <f>IFERROR(VLOOKUP(E519,Control_Actividades!A:C,2,FALSE),"")</f>
        <v/>
      </c>
      <c r="I519" t="str">
        <f>IFERROR(VLOOKUP(E519,Control_Actividades!A:C,3,FALSE),"")</f>
        <v/>
      </c>
      <c r="J519" t="e">
        <f t="shared" si="190"/>
        <v>#VALUE!</v>
      </c>
    </row>
    <row r="520" spans="7:10" x14ac:dyDescent="0.3">
      <c r="G520" t="str">
        <f>IFERROR(VLOOKUP(E520,Control_Actividades!A:C,2,FALSE),"")</f>
        <v/>
      </c>
      <c r="I520" t="str">
        <f>IFERROR(VLOOKUP(E520,Control_Actividades!A:C,3,FALSE),"")</f>
        <v/>
      </c>
      <c r="J520" t="e">
        <f t="shared" si="190"/>
        <v>#VALUE!</v>
      </c>
    </row>
    <row r="521" spans="7:10" x14ac:dyDescent="0.3">
      <c r="G521" t="str">
        <f>IFERROR(VLOOKUP(E521,Control_Actividades!A:C,2,FALSE),"")</f>
        <v/>
      </c>
      <c r="I521" t="str">
        <f>IFERROR(VLOOKUP(E521,Control_Actividades!A:C,3,FALSE),"")</f>
        <v/>
      </c>
      <c r="J521" t="e">
        <f t="shared" si="190"/>
        <v>#VALUE!</v>
      </c>
    </row>
    <row r="522" spans="7:10" x14ac:dyDescent="0.3">
      <c r="G522" t="str">
        <f>IFERROR(VLOOKUP(E522,Control_Actividades!A:C,2,FALSE),"")</f>
        <v/>
      </c>
      <c r="I522" t="str">
        <f>IFERROR(VLOOKUP(E522,Control_Actividades!A:C,3,FALSE),"")</f>
        <v/>
      </c>
      <c r="J522" t="e">
        <f t="shared" si="190"/>
        <v>#VALUE!</v>
      </c>
    </row>
    <row r="523" spans="7:10" x14ac:dyDescent="0.3">
      <c r="G523" t="str">
        <f>IFERROR(VLOOKUP(E523,Control_Actividades!A:C,2,FALSE),"")</f>
        <v/>
      </c>
      <c r="I523" t="str">
        <f>IFERROR(VLOOKUP(E523,Control_Actividades!A:C,3,FALSE),"")</f>
        <v/>
      </c>
      <c r="J523" t="e">
        <f t="shared" si="190"/>
        <v>#VALUE!</v>
      </c>
    </row>
    <row r="524" spans="7:10" x14ac:dyDescent="0.3">
      <c r="G524" t="str">
        <f>IFERROR(VLOOKUP(E524,Control_Actividades!A:C,2,FALSE),"")</f>
        <v/>
      </c>
      <c r="I524" t="str">
        <f>IFERROR(VLOOKUP(E524,Control_Actividades!A:C,3,FALSE),"")</f>
        <v/>
      </c>
      <c r="J524" t="e">
        <f t="shared" si="190"/>
        <v>#VALUE!</v>
      </c>
    </row>
    <row r="525" spans="7:10" x14ac:dyDescent="0.3">
      <c r="G525" t="str">
        <f>IFERROR(VLOOKUP(E525,Control_Actividades!A:C,2,FALSE),"")</f>
        <v/>
      </c>
      <c r="I525" t="str">
        <f>IFERROR(VLOOKUP(E525,Control_Actividades!A:C,3,FALSE),"")</f>
        <v/>
      </c>
      <c r="J525" t="e">
        <f t="shared" si="190"/>
        <v>#VALUE!</v>
      </c>
    </row>
    <row r="526" spans="7:10" x14ac:dyDescent="0.3">
      <c r="G526" t="str">
        <f>IFERROR(VLOOKUP(E526,Control_Actividades!A:C,2,FALSE),"")</f>
        <v/>
      </c>
      <c r="I526" t="str">
        <f>IFERROR(VLOOKUP(E526,Control_Actividades!A:C,3,FALSE),"")</f>
        <v/>
      </c>
      <c r="J526" t="e">
        <f t="shared" si="190"/>
        <v>#VALUE!</v>
      </c>
    </row>
    <row r="527" spans="7:10" x14ac:dyDescent="0.3">
      <c r="G527" t="str">
        <f>IFERROR(VLOOKUP(E527,Control_Actividades!A:C,2,FALSE),"")</f>
        <v/>
      </c>
      <c r="I527" t="str">
        <f>IFERROR(VLOOKUP(E527,Control_Actividades!A:C,3,FALSE),"")</f>
        <v/>
      </c>
      <c r="J527" t="e">
        <f t="shared" si="190"/>
        <v>#VALUE!</v>
      </c>
    </row>
    <row r="528" spans="7:10" x14ac:dyDescent="0.3">
      <c r="G528" t="str">
        <f>IFERROR(VLOOKUP(E528,Control_Actividades!A:C,2,FALSE),"")</f>
        <v/>
      </c>
      <c r="I528" t="str">
        <f>IFERROR(VLOOKUP(E528,Control_Actividades!A:C,3,FALSE),"")</f>
        <v/>
      </c>
      <c r="J528" t="e">
        <f t="shared" si="190"/>
        <v>#VALUE!</v>
      </c>
    </row>
    <row r="529" spans="7:10" x14ac:dyDescent="0.3">
      <c r="G529" t="str">
        <f>IFERROR(VLOOKUP(E529,Control_Actividades!A:C,2,FALSE),"")</f>
        <v/>
      </c>
      <c r="I529" t="str">
        <f>IFERROR(VLOOKUP(E529,Control_Actividades!A:C,3,FALSE),"")</f>
        <v/>
      </c>
      <c r="J529" t="e">
        <f t="shared" si="190"/>
        <v>#VALUE!</v>
      </c>
    </row>
    <row r="530" spans="7:10" x14ac:dyDescent="0.3">
      <c r="G530" t="str">
        <f>IFERROR(VLOOKUP(E530,Control_Actividades!A:C,2,FALSE),"")</f>
        <v/>
      </c>
      <c r="I530" t="str">
        <f>IFERROR(VLOOKUP(E530,Control_Actividades!A:C,3,FALSE),"")</f>
        <v/>
      </c>
      <c r="J530" t="e">
        <f t="shared" si="190"/>
        <v>#VALUE!</v>
      </c>
    </row>
    <row r="531" spans="7:10" x14ac:dyDescent="0.3">
      <c r="G531" t="str">
        <f>IFERROR(VLOOKUP(E531,Control_Actividades!A:C,2,FALSE),"")</f>
        <v/>
      </c>
      <c r="I531" t="str">
        <f>IFERROR(VLOOKUP(E531,Control_Actividades!A:C,3,FALSE),"")</f>
        <v/>
      </c>
      <c r="J531" t="e">
        <f t="shared" si="190"/>
        <v>#VALUE!</v>
      </c>
    </row>
    <row r="532" spans="7:10" x14ac:dyDescent="0.3">
      <c r="G532" t="str">
        <f>IFERROR(VLOOKUP(E532,Control_Actividades!A:C,2,FALSE),"")</f>
        <v/>
      </c>
      <c r="I532" t="str">
        <f>IFERROR(VLOOKUP(E532,Control_Actividades!A:C,3,FALSE),"")</f>
        <v/>
      </c>
      <c r="J532" t="e">
        <f t="shared" si="190"/>
        <v>#VALUE!</v>
      </c>
    </row>
    <row r="533" spans="7:10" x14ac:dyDescent="0.3">
      <c r="G533" t="str">
        <f>IFERROR(VLOOKUP(E533,Control_Actividades!A:C,2,FALSE),"")</f>
        <v/>
      </c>
      <c r="I533" t="str">
        <f>IFERROR(VLOOKUP(E533,Control_Actividades!A:C,3,FALSE),"")</f>
        <v/>
      </c>
      <c r="J533" t="e">
        <f t="shared" si="190"/>
        <v>#VALUE!</v>
      </c>
    </row>
    <row r="534" spans="7:10" x14ac:dyDescent="0.3">
      <c r="G534" t="str">
        <f>IFERROR(VLOOKUP(E534,Control_Actividades!A:C,2,FALSE),"")</f>
        <v/>
      </c>
      <c r="I534" t="str">
        <f>IFERROR(VLOOKUP(E534,Control_Actividades!A:C,3,FALSE),"")</f>
        <v/>
      </c>
      <c r="J534" t="e">
        <f t="shared" si="190"/>
        <v>#VALUE!</v>
      </c>
    </row>
    <row r="535" spans="7:10" x14ac:dyDescent="0.3">
      <c r="G535" t="str">
        <f>IFERROR(VLOOKUP(E535,Control_Actividades!A:C,2,FALSE),"")</f>
        <v/>
      </c>
      <c r="I535" t="str">
        <f>IFERROR(VLOOKUP(E535,Control_Actividades!A:C,3,FALSE),"")</f>
        <v/>
      </c>
      <c r="J535" t="e">
        <f t="shared" si="190"/>
        <v>#VALUE!</v>
      </c>
    </row>
    <row r="536" spans="7:10" x14ac:dyDescent="0.3">
      <c r="G536" t="str">
        <f>IFERROR(VLOOKUP(E536,Control_Actividades!A:C,2,FALSE),"")</f>
        <v/>
      </c>
      <c r="I536" t="str">
        <f>IFERROR(VLOOKUP(E536,Control_Actividades!A:C,3,FALSE),"")</f>
        <v/>
      </c>
      <c r="J536" t="e">
        <f t="shared" si="190"/>
        <v>#VALUE!</v>
      </c>
    </row>
    <row r="537" spans="7:10" x14ac:dyDescent="0.3">
      <c r="G537" t="str">
        <f>IFERROR(VLOOKUP(E537,Control_Actividades!A:C,2,FALSE),"")</f>
        <v/>
      </c>
      <c r="I537" t="str">
        <f>IFERROR(VLOOKUP(E537,Control_Actividades!A:C,3,FALSE),"")</f>
        <v/>
      </c>
      <c r="J537" t="e">
        <f t="shared" si="190"/>
        <v>#VALUE!</v>
      </c>
    </row>
    <row r="538" spans="7:10" x14ac:dyDescent="0.3">
      <c r="G538" t="str">
        <f>IFERROR(VLOOKUP(E538,Control_Actividades!A:C,2,FALSE),"")</f>
        <v/>
      </c>
      <c r="I538" t="str">
        <f>IFERROR(VLOOKUP(E538,Control_Actividades!A:C,3,FALSE),"")</f>
        <v/>
      </c>
      <c r="J538" t="e">
        <f t="shared" si="190"/>
        <v>#VALUE!</v>
      </c>
    </row>
    <row r="539" spans="7:10" x14ac:dyDescent="0.3">
      <c r="G539" t="str">
        <f>IFERROR(VLOOKUP(E539,Control_Actividades!A:C,2,FALSE),"")</f>
        <v/>
      </c>
      <c r="I539" t="str">
        <f>IFERROR(VLOOKUP(E539,Control_Actividades!A:C,3,FALSE),"")</f>
        <v/>
      </c>
      <c r="J539" t="e">
        <f t="shared" si="190"/>
        <v>#VALUE!</v>
      </c>
    </row>
    <row r="540" spans="7:10" x14ac:dyDescent="0.3">
      <c r="G540" t="str">
        <f>IFERROR(VLOOKUP(E540,Control_Actividades!A:C,2,FALSE),"")</f>
        <v/>
      </c>
      <c r="I540" t="str">
        <f>IFERROR(VLOOKUP(E540,Control_Actividades!A:C,3,FALSE),"")</f>
        <v/>
      </c>
      <c r="J540" t="e">
        <f t="shared" si="190"/>
        <v>#VALUE!</v>
      </c>
    </row>
    <row r="541" spans="7:10" x14ac:dyDescent="0.3">
      <c r="G541" t="str">
        <f>IFERROR(VLOOKUP(E541,Control_Actividades!A:C,2,FALSE),"")</f>
        <v/>
      </c>
      <c r="I541" t="str">
        <f>IFERROR(VLOOKUP(E541,Control_Actividades!A:C,3,FALSE),"")</f>
        <v/>
      </c>
      <c r="J541" t="e">
        <f t="shared" si="190"/>
        <v>#VALUE!</v>
      </c>
    </row>
    <row r="542" spans="7:10" x14ac:dyDescent="0.3">
      <c r="G542" t="str">
        <f>IFERROR(VLOOKUP(E542,Control_Actividades!A:C,2,FALSE),"")</f>
        <v/>
      </c>
      <c r="I542" t="str">
        <f>IFERROR(VLOOKUP(E542,Control_Actividades!A:C,3,FALSE),"")</f>
        <v/>
      </c>
      <c r="J542" t="e">
        <f t="shared" si="190"/>
        <v>#VALUE!</v>
      </c>
    </row>
    <row r="543" spans="7:10" x14ac:dyDescent="0.3">
      <c r="G543" t="str">
        <f>IFERROR(VLOOKUP(E543,Control_Actividades!A:C,2,FALSE),"")</f>
        <v/>
      </c>
      <c r="I543" t="str">
        <f>IFERROR(VLOOKUP(E543,Control_Actividades!A:C,3,FALSE),"")</f>
        <v/>
      </c>
      <c r="J543" t="e">
        <f t="shared" si="190"/>
        <v>#VALUE!</v>
      </c>
    </row>
    <row r="544" spans="7:10" x14ac:dyDescent="0.3">
      <c r="G544" t="str">
        <f>IFERROR(VLOOKUP(E544,Control_Actividades!A:C,2,FALSE),"")</f>
        <v/>
      </c>
      <c r="I544" t="str">
        <f>IFERROR(VLOOKUP(E544,Control_Actividades!A:C,3,FALSE),"")</f>
        <v/>
      </c>
      <c r="J544" t="e">
        <f t="shared" si="190"/>
        <v>#VALUE!</v>
      </c>
    </row>
    <row r="545" spans="7:10" x14ac:dyDescent="0.3">
      <c r="G545" t="str">
        <f>IFERROR(VLOOKUP(E545,Control_Actividades!A:C,2,FALSE),"")</f>
        <v/>
      </c>
      <c r="I545" t="str">
        <f>IFERROR(VLOOKUP(E545,Control_Actividades!A:C,3,FALSE),"")</f>
        <v/>
      </c>
      <c r="J545" t="e">
        <f t="shared" si="190"/>
        <v>#VALUE!</v>
      </c>
    </row>
    <row r="546" spans="7:10" x14ac:dyDescent="0.3">
      <c r="G546" t="str">
        <f>IFERROR(VLOOKUP(E546,Control_Actividades!A:C,2,FALSE),"")</f>
        <v/>
      </c>
      <c r="I546" t="str">
        <f>IFERROR(VLOOKUP(E546,Control_Actividades!A:C,3,FALSE),"")</f>
        <v/>
      </c>
      <c r="J546" t="e">
        <f t="shared" si="190"/>
        <v>#VALUE!</v>
      </c>
    </row>
    <row r="547" spans="7:10" x14ac:dyDescent="0.3">
      <c r="G547" t="str">
        <f>IFERROR(VLOOKUP(E547,Control_Actividades!A:C,2,FALSE),"")</f>
        <v/>
      </c>
      <c r="I547" t="str">
        <f>IFERROR(VLOOKUP(E547,Control_Actividades!A:C,3,FALSE),"")</f>
        <v/>
      </c>
      <c r="J547" t="e">
        <f t="shared" si="190"/>
        <v>#VALUE!</v>
      </c>
    </row>
    <row r="548" spans="7:10" x14ac:dyDescent="0.3">
      <c r="G548" t="str">
        <f>IFERROR(VLOOKUP(E548,Control_Actividades!A:C,2,FALSE),"")</f>
        <v/>
      </c>
      <c r="I548" t="str">
        <f>IFERROR(VLOOKUP(E548,Control_Actividades!A:C,3,FALSE),"")</f>
        <v/>
      </c>
      <c r="J548" t="e">
        <f t="shared" si="190"/>
        <v>#VALUE!</v>
      </c>
    </row>
    <row r="549" spans="7:10" x14ac:dyDescent="0.3">
      <c r="G549" t="str">
        <f>IFERROR(VLOOKUP(E549,Control_Actividades!A:C,2,FALSE),"")</f>
        <v/>
      </c>
      <c r="I549" t="str">
        <f>IFERROR(VLOOKUP(E549,Control_Actividades!A:C,3,FALSE),"")</f>
        <v/>
      </c>
      <c r="J549" t="e">
        <f t="shared" si="190"/>
        <v>#VALUE!</v>
      </c>
    </row>
    <row r="550" spans="7:10" x14ac:dyDescent="0.3">
      <c r="G550" t="str">
        <f>IFERROR(VLOOKUP(E550,Control_Actividades!A:C,2,FALSE),"")</f>
        <v/>
      </c>
      <c r="I550" t="str">
        <f>IFERROR(VLOOKUP(E550,Control_Actividades!A:C,3,FALSE),"")</f>
        <v/>
      </c>
      <c r="J550" t="e">
        <f t="shared" si="190"/>
        <v>#VALUE!</v>
      </c>
    </row>
    <row r="551" spans="7:10" x14ac:dyDescent="0.3">
      <c r="G551" t="str">
        <f>IFERROR(VLOOKUP(E551,Control_Actividades!A:C,2,FALSE),"")</f>
        <v/>
      </c>
      <c r="I551" t="str">
        <f>IFERROR(VLOOKUP(E551,Control_Actividades!A:C,3,FALSE),"")</f>
        <v/>
      </c>
      <c r="J551" t="e">
        <f t="shared" si="190"/>
        <v>#VALUE!</v>
      </c>
    </row>
    <row r="552" spans="7:10" x14ac:dyDescent="0.3">
      <c r="G552" t="str">
        <f>IFERROR(VLOOKUP(E552,Control_Actividades!A:C,2,FALSE),"")</f>
        <v/>
      </c>
      <c r="I552" t="str">
        <f>IFERROR(VLOOKUP(E552,Control_Actividades!A:C,3,FALSE),"")</f>
        <v/>
      </c>
      <c r="J552" t="e">
        <f t="shared" si="190"/>
        <v>#VALUE!</v>
      </c>
    </row>
    <row r="553" spans="7:10" x14ac:dyDescent="0.3">
      <c r="G553" t="str">
        <f>IFERROR(VLOOKUP(E553,Control_Actividades!A:C,2,FALSE),"")</f>
        <v/>
      </c>
      <c r="I553" t="str">
        <f>IFERROR(VLOOKUP(E553,Control_Actividades!A:C,3,FALSE),"")</f>
        <v/>
      </c>
      <c r="J553" t="e">
        <f t="shared" si="190"/>
        <v>#VALUE!</v>
      </c>
    </row>
    <row r="554" spans="7:10" x14ac:dyDescent="0.3">
      <c r="G554" t="str">
        <f>IFERROR(VLOOKUP(E554,Control_Actividades!A:C,2,FALSE),"")</f>
        <v/>
      </c>
      <c r="I554" t="str">
        <f>IFERROR(VLOOKUP(E554,Control_Actividades!A:C,3,FALSE),"")</f>
        <v/>
      </c>
      <c r="J554" t="e">
        <f t="shared" si="190"/>
        <v>#VALUE!</v>
      </c>
    </row>
    <row r="555" spans="7:10" x14ac:dyDescent="0.3">
      <c r="G555" t="str">
        <f>IFERROR(VLOOKUP(E555,Control_Actividades!A:C,2,FALSE),"")</f>
        <v/>
      </c>
      <c r="I555" t="str">
        <f>IFERROR(VLOOKUP(E555,Control_Actividades!A:C,3,FALSE),"")</f>
        <v/>
      </c>
      <c r="J555" t="e">
        <f t="shared" si="190"/>
        <v>#VALUE!</v>
      </c>
    </row>
    <row r="556" spans="7:10" x14ac:dyDescent="0.3">
      <c r="G556" t="str">
        <f>IFERROR(VLOOKUP(E556,Control_Actividades!A:C,2,FALSE),"")</f>
        <v/>
      </c>
      <c r="I556" t="str">
        <f>IFERROR(VLOOKUP(E556,Control_Actividades!A:C,3,FALSE),"")</f>
        <v/>
      </c>
      <c r="J556" t="e">
        <f t="shared" si="190"/>
        <v>#VALUE!</v>
      </c>
    </row>
    <row r="557" spans="7:10" x14ac:dyDescent="0.3">
      <c r="G557" t="str">
        <f>IFERROR(VLOOKUP(E557,Control_Actividades!A:C,2,FALSE),"")</f>
        <v/>
      </c>
      <c r="I557" t="str">
        <f>IFERROR(VLOOKUP(E557,Control_Actividades!A:C,3,FALSE),"")</f>
        <v/>
      </c>
      <c r="J557" t="e">
        <f t="shared" si="190"/>
        <v>#VALUE!</v>
      </c>
    </row>
    <row r="558" spans="7:10" x14ac:dyDescent="0.3">
      <c r="G558" t="str">
        <f>IFERROR(VLOOKUP(E558,Control_Actividades!A:C,2,FALSE),"")</f>
        <v/>
      </c>
      <c r="I558" t="str">
        <f>IFERROR(VLOOKUP(E558,Control_Actividades!A:C,3,FALSE),"")</f>
        <v/>
      </c>
      <c r="J558" t="e">
        <f t="shared" si="190"/>
        <v>#VALUE!</v>
      </c>
    </row>
    <row r="559" spans="7:10" x14ac:dyDescent="0.3">
      <c r="G559" t="str">
        <f>IFERROR(VLOOKUP(E559,Control_Actividades!A:C,2,FALSE),"")</f>
        <v/>
      </c>
      <c r="I559" t="str">
        <f>IFERROR(VLOOKUP(E559,Control_Actividades!A:C,3,FALSE),"")</f>
        <v/>
      </c>
      <c r="J559" t="e">
        <f t="shared" si="190"/>
        <v>#VALUE!</v>
      </c>
    </row>
    <row r="560" spans="7:10" x14ac:dyDescent="0.3">
      <c r="G560" t="str">
        <f>IFERROR(VLOOKUP(E560,Control_Actividades!A:C,2,FALSE),"")</f>
        <v/>
      </c>
      <c r="I560" t="str">
        <f>IFERROR(VLOOKUP(E560,Control_Actividades!A:C,3,FALSE),"")</f>
        <v/>
      </c>
      <c r="J560" t="e">
        <f t="shared" si="190"/>
        <v>#VALUE!</v>
      </c>
    </row>
    <row r="561" spans="7:10" x14ac:dyDescent="0.3">
      <c r="G561" t="str">
        <f>IFERROR(VLOOKUP(E561,Control_Actividades!A:C,2,FALSE),"")</f>
        <v/>
      </c>
      <c r="I561" t="str">
        <f>IFERROR(VLOOKUP(E561,Control_Actividades!A:C,3,FALSE),"")</f>
        <v/>
      </c>
      <c r="J561" t="e">
        <f t="shared" si="190"/>
        <v>#VALUE!</v>
      </c>
    </row>
    <row r="562" spans="7:10" x14ac:dyDescent="0.3">
      <c r="G562" t="str">
        <f>IFERROR(VLOOKUP(E562,Control_Actividades!A:C,2,FALSE),"")</f>
        <v/>
      </c>
      <c r="I562" t="str">
        <f>IFERROR(VLOOKUP(E562,Control_Actividades!A:C,3,FALSE),"")</f>
        <v/>
      </c>
      <c r="J562" t="e">
        <f t="shared" si="190"/>
        <v>#VALUE!</v>
      </c>
    </row>
    <row r="563" spans="7:10" x14ac:dyDescent="0.3">
      <c r="G563" t="str">
        <f>IFERROR(VLOOKUP(E563,Control_Actividades!A:C,2,FALSE),"")</f>
        <v/>
      </c>
      <c r="I563" t="str">
        <f>IFERROR(VLOOKUP(E563,Control_Actividades!A:C,3,FALSE),"")</f>
        <v/>
      </c>
      <c r="J563" t="e">
        <f t="shared" si="190"/>
        <v>#VALUE!</v>
      </c>
    </row>
    <row r="564" spans="7:10" x14ac:dyDescent="0.3">
      <c r="G564" t="str">
        <f>IFERROR(VLOOKUP(E564,Control_Actividades!A:C,2,FALSE),"")</f>
        <v/>
      </c>
      <c r="I564" t="str">
        <f>IFERROR(VLOOKUP(E564,Control_Actividades!A:C,3,FALSE),"")</f>
        <v/>
      </c>
      <c r="J564" t="e">
        <f t="shared" si="190"/>
        <v>#VALUE!</v>
      </c>
    </row>
    <row r="565" spans="7:10" x14ac:dyDescent="0.3">
      <c r="G565" t="str">
        <f>IFERROR(VLOOKUP(E565,Control_Actividades!A:C,2,FALSE),"")</f>
        <v/>
      </c>
      <c r="I565" t="str">
        <f>IFERROR(VLOOKUP(E565,Control_Actividades!A:C,3,FALSE),"")</f>
        <v/>
      </c>
      <c r="J565" t="e">
        <f t="shared" si="190"/>
        <v>#VALUE!</v>
      </c>
    </row>
    <row r="566" spans="7:10" x14ac:dyDescent="0.3">
      <c r="G566" t="str">
        <f>IFERROR(VLOOKUP(E566,Control_Actividades!A:C,2,FALSE),"")</f>
        <v/>
      </c>
      <c r="I566" t="str">
        <f>IFERROR(VLOOKUP(E566,Control_Actividades!A:C,3,FALSE),"")</f>
        <v/>
      </c>
      <c r="J566" t="e">
        <f t="shared" si="190"/>
        <v>#VALUE!</v>
      </c>
    </row>
    <row r="567" spans="7:10" x14ac:dyDescent="0.3">
      <c r="G567" t="str">
        <f>IFERROR(VLOOKUP(E567,Control_Actividades!A:C,2,FALSE),"")</f>
        <v/>
      </c>
      <c r="I567" t="str">
        <f>IFERROR(VLOOKUP(E567,Control_Actividades!A:C,3,FALSE),"")</f>
        <v/>
      </c>
      <c r="J567" t="e">
        <f t="shared" si="190"/>
        <v>#VALUE!</v>
      </c>
    </row>
    <row r="568" spans="7:10" x14ac:dyDescent="0.3">
      <c r="G568" t="str">
        <f>IFERROR(VLOOKUP(E568,Control_Actividades!A:C,2,FALSE),"")</f>
        <v/>
      </c>
      <c r="I568" t="str">
        <f>IFERROR(VLOOKUP(E568,Control_Actividades!A:C,3,FALSE),"")</f>
        <v/>
      </c>
      <c r="J568" t="e">
        <f t="shared" si="190"/>
        <v>#VALUE!</v>
      </c>
    </row>
    <row r="569" spans="7:10" x14ac:dyDescent="0.3">
      <c r="G569" t="str">
        <f>IFERROR(VLOOKUP(E569,Control_Actividades!A:C,2,FALSE),"")</f>
        <v/>
      </c>
      <c r="I569" t="str">
        <f>IFERROR(VLOOKUP(E569,Control_Actividades!A:C,3,FALSE),"")</f>
        <v/>
      </c>
      <c r="J569" t="e">
        <f t="shared" si="190"/>
        <v>#VALUE!</v>
      </c>
    </row>
    <row r="570" spans="7:10" x14ac:dyDescent="0.3">
      <c r="G570" t="str">
        <f>IFERROR(VLOOKUP(E570,Control_Actividades!A:C,2,FALSE),"")</f>
        <v/>
      </c>
      <c r="I570" t="str">
        <f>IFERROR(VLOOKUP(E570,Control_Actividades!A:C,3,FALSE),"")</f>
        <v/>
      </c>
      <c r="J570" t="e">
        <f t="shared" si="190"/>
        <v>#VALUE!</v>
      </c>
    </row>
    <row r="571" spans="7:10" x14ac:dyDescent="0.3">
      <c r="G571" t="str">
        <f>IFERROR(VLOOKUP(E571,Control_Actividades!A:C,2,FALSE),"")</f>
        <v/>
      </c>
      <c r="I571" t="str">
        <f>IFERROR(VLOOKUP(E571,Control_Actividades!A:C,3,FALSE),"")</f>
        <v/>
      </c>
      <c r="J571" t="e">
        <f t="shared" si="190"/>
        <v>#VALUE!</v>
      </c>
    </row>
    <row r="572" spans="7:10" x14ac:dyDescent="0.3">
      <c r="G572" t="str">
        <f>IFERROR(VLOOKUP(E572,Control_Actividades!A:C,2,FALSE),"")</f>
        <v/>
      </c>
      <c r="I572" t="str">
        <f>IFERROR(VLOOKUP(E572,Control_Actividades!A:C,3,FALSE),"")</f>
        <v/>
      </c>
      <c r="J572" t="e">
        <f t="shared" si="190"/>
        <v>#VALUE!</v>
      </c>
    </row>
    <row r="573" spans="7:10" x14ac:dyDescent="0.3">
      <c r="G573" t="str">
        <f>IFERROR(VLOOKUP(E573,Control_Actividades!A:C,2,FALSE),"")</f>
        <v/>
      </c>
      <c r="I573" t="str">
        <f>IFERROR(VLOOKUP(E573,Control_Actividades!A:C,3,FALSE),"")</f>
        <v/>
      </c>
      <c r="J573" t="e">
        <f t="shared" si="190"/>
        <v>#VALUE!</v>
      </c>
    </row>
    <row r="574" spans="7:10" x14ac:dyDescent="0.3">
      <c r="G574" t="str">
        <f>IFERROR(VLOOKUP(E574,Control_Actividades!A:C,2,FALSE),"")</f>
        <v/>
      </c>
      <c r="I574" t="str">
        <f>IFERROR(VLOOKUP(E574,Control_Actividades!A:C,3,FALSE),"")</f>
        <v/>
      </c>
      <c r="J574" t="e">
        <f t="shared" si="190"/>
        <v>#VALUE!</v>
      </c>
    </row>
    <row r="575" spans="7:10" x14ac:dyDescent="0.3">
      <c r="G575" t="str">
        <f>IFERROR(VLOOKUP(E575,Control_Actividades!A:C,2,FALSE),"")</f>
        <v/>
      </c>
      <c r="I575" t="str">
        <f>IFERROR(VLOOKUP(E575,Control_Actividades!A:C,3,FALSE),"")</f>
        <v/>
      </c>
      <c r="J575" t="e">
        <f t="shared" si="190"/>
        <v>#VALUE!</v>
      </c>
    </row>
    <row r="576" spans="7:10" x14ac:dyDescent="0.3">
      <c r="G576" t="str">
        <f>IFERROR(VLOOKUP(E576,Control_Actividades!A:C,2,FALSE),"")</f>
        <v/>
      </c>
      <c r="I576" t="str">
        <f>IFERROR(VLOOKUP(E576,Control_Actividades!A:C,3,FALSE),"")</f>
        <v/>
      </c>
      <c r="J576" t="e">
        <f t="shared" si="190"/>
        <v>#VALUE!</v>
      </c>
    </row>
    <row r="577" spans="7:10" x14ac:dyDescent="0.3">
      <c r="G577" t="str">
        <f>IFERROR(VLOOKUP(E577,Control_Actividades!A:C,2,FALSE),"")</f>
        <v/>
      </c>
      <c r="I577" t="str">
        <f>IFERROR(VLOOKUP(E577,Control_Actividades!A:C,3,FALSE),"")</f>
        <v/>
      </c>
      <c r="J577" t="e">
        <f t="shared" si="190"/>
        <v>#VALUE!</v>
      </c>
    </row>
    <row r="578" spans="7:10" x14ac:dyDescent="0.3">
      <c r="G578" t="str">
        <f>IFERROR(VLOOKUP(E578,Control_Actividades!A:C,2,FALSE),"")</f>
        <v/>
      </c>
      <c r="I578" t="str">
        <f>IFERROR(VLOOKUP(E578,Control_Actividades!A:C,3,FALSE),"")</f>
        <v/>
      </c>
      <c r="J578" t="e">
        <f t="shared" ref="J578:J606" si="191">H578*I578</f>
        <v>#VALUE!</v>
      </c>
    </row>
    <row r="579" spans="7:10" x14ac:dyDescent="0.3">
      <c r="G579" t="str">
        <f>IFERROR(VLOOKUP(E579,Control_Actividades!A:C,2,FALSE),"")</f>
        <v/>
      </c>
      <c r="I579" t="str">
        <f>IFERROR(VLOOKUP(E579,Control_Actividades!A:C,3,FALSE),"")</f>
        <v/>
      </c>
      <c r="J579" t="e">
        <f t="shared" si="191"/>
        <v>#VALUE!</v>
      </c>
    </row>
    <row r="580" spans="7:10" x14ac:dyDescent="0.3">
      <c r="G580" t="str">
        <f>IFERROR(VLOOKUP(E580,Control_Actividades!A:C,2,FALSE),"")</f>
        <v/>
      </c>
      <c r="I580" t="str">
        <f>IFERROR(VLOOKUP(E580,Control_Actividades!A:C,3,FALSE),"")</f>
        <v/>
      </c>
      <c r="J580" t="e">
        <f t="shared" si="191"/>
        <v>#VALUE!</v>
      </c>
    </row>
    <row r="581" spans="7:10" x14ac:dyDescent="0.3">
      <c r="G581" t="str">
        <f>IFERROR(VLOOKUP(E581,Control_Actividades!A:C,2,FALSE),"")</f>
        <v/>
      </c>
      <c r="I581" t="str">
        <f>IFERROR(VLOOKUP(E581,Control_Actividades!A:C,3,FALSE),"")</f>
        <v/>
      </c>
      <c r="J581" t="e">
        <f t="shared" si="191"/>
        <v>#VALUE!</v>
      </c>
    </row>
    <row r="582" spans="7:10" x14ac:dyDescent="0.3">
      <c r="G582" t="str">
        <f>IFERROR(VLOOKUP(E582,Control_Actividades!A:C,2,FALSE),"")</f>
        <v/>
      </c>
      <c r="I582" t="str">
        <f>IFERROR(VLOOKUP(E582,Control_Actividades!A:C,3,FALSE),"")</f>
        <v/>
      </c>
      <c r="J582" t="e">
        <f t="shared" si="191"/>
        <v>#VALUE!</v>
      </c>
    </row>
    <row r="583" spans="7:10" x14ac:dyDescent="0.3">
      <c r="G583" t="str">
        <f>IFERROR(VLOOKUP(E583,Control_Actividades!A:C,2,FALSE),"")</f>
        <v/>
      </c>
      <c r="I583" t="str">
        <f>IFERROR(VLOOKUP(E583,Control_Actividades!A:C,3,FALSE),"")</f>
        <v/>
      </c>
      <c r="J583" t="e">
        <f t="shared" si="191"/>
        <v>#VALUE!</v>
      </c>
    </row>
    <row r="584" spans="7:10" x14ac:dyDescent="0.3">
      <c r="G584" t="str">
        <f>IFERROR(VLOOKUP(E584,Control_Actividades!A:C,2,FALSE),"")</f>
        <v/>
      </c>
      <c r="I584" t="str">
        <f>IFERROR(VLOOKUP(E584,Control_Actividades!A:C,3,FALSE),"")</f>
        <v/>
      </c>
      <c r="J584" t="e">
        <f t="shared" si="191"/>
        <v>#VALUE!</v>
      </c>
    </row>
    <row r="585" spans="7:10" x14ac:dyDescent="0.3">
      <c r="G585" t="str">
        <f>IFERROR(VLOOKUP(E585,Control_Actividades!A:C,2,FALSE),"")</f>
        <v/>
      </c>
      <c r="I585" t="str">
        <f>IFERROR(VLOOKUP(E585,Control_Actividades!A:C,3,FALSE),"")</f>
        <v/>
      </c>
      <c r="J585" t="e">
        <f t="shared" si="191"/>
        <v>#VALUE!</v>
      </c>
    </row>
    <row r="586" spans="7:10" x14ac:dyDescent="0.3">
      <c r="G586" t="str">
        <f>IFERROR(VLOOKUP(E586,Control_Actividades!A:C,2,FALSE),"")</f>
        <v/>
      </c>
      <c r="I586" t="str">
        <f>IFERROR(VLOOKUP(E586,Control_Actividades!A:C,3,FALSE),"")</f>
        <v/>
      </c>
      <c r="J586" t="e">
        <f t="shared" si="191"/>
        <v>#VALUE!</v>
      </c>
    </row>
    <row r="587" spans="7:10" x14ac:dyDescent="0.3">
      <c r="G587" t="str">
        <f>IFERROR(VLOOKUP(E587,Control_Actividades!A:C,2,FALSE),"")</f>
        <v/>
      </c>
      <c r="I587" t="str">
        <f>IFERROR(VLOOKUP(E587,Control_Actividades!A:C,3,FALSE),"")</f>
        <v/>
      </c>
      <c r="J587" t="e">
        <f t="shared" si="191"/>
        <v>#VALUE!</v>
      </c>
    </row>
    <row r="588" spans="7:10" x14ac:dyDescent="0.3">
      <c r="G588" t="str">
        <f>IFERROR(VLOOKUP(E588,Control_Actividades!A:C,2,FALSE),"")</f>
        <v/>
      </c>
      <c r="I588" t="str">
        <f>IFERROR(VLOOKUP(E588,Control_Actividades!A:C,3,FALSE),"")</f>
        <v/>
      </c>
      <c r="J588" t="e">
        <f t="shared" si="191"/>
        <v>#VALUE!</v>
      </c>
    </row>
    <row r="589" spans="7:10" x14ac:dyDescent="0.3">
      <c r="G589" t="str">
        <f>IFERROR(VLOOKUP(E589,Control_Actividades!A:C,2,FALSE),"")</f>
        <v/>
      </c>
      <c r="I589" t="str">
        <f>IFERROR(VLOOKUP(E589,Control_Actividades!A:C,3,FALSE),"")</f>
        <v/>
      </c>
      <c r="J589" t="e">
        <f t="shared" si="191"/>
        <v>#VALUE!</v>
      </c>
    </row>
    <row r="590" spans="7:10" x14ac:dyDescent="0.3">
      <c r="G590" t="str">
        <f>IFERROR(VLOOKUP(E590,Control_Actividades!A:C,2,FALSE),"")</f>
        <v/>
      </c>
      <c r="I590" t="str">
        <f>IFERROR(VLOOKUP(E590,Control_Actividades!A:C,3,FALSE),"")</f>
        <v/>
      </c>
      <c r="J590" t="e">
        <f t="shared" si="191"/>
        <v>#VALUE!</v>
      </c>
    </row>
    <row r="591" spans="7:10" x14ac:dyDescent="0.3">
      <c r="G591" t="str">
        <f>IFERROR(VLOOKUP(E591,Control_Actividades!A:C,2,FALSE),"")</f>
        <v/>
      </c>
      <c r="I591" t="str">
        <f>IFERROR(VLOOKUP(E591,Control_Actividades!A:C,3,FALSE),"")</f>
        <v/>
      </c>
      <c r="J591" t="e">
        <f t="shared" si="191"/>
        <v>#VALUE!</v>
      </c>
    </row>
    <row r="592" spans="7:10" x14ac:dyDescent="0.3">
      <c r="G592" t="str">
        <f>IFERROR(VLOOKUP(E592,Control_Actividades!A:C,2,FALSE),"")</f>
        <v/>
      </c>
      <c r="I592" t="str">
        <f>IFERROR(VLOOKUP(E592,Control_Actividades!A:C,3,FALSE),"")</f>
        <v/>
      </c>
      <c r="J592" t="e">
        <f t="shared" si="191"/>
        <v>#VALUE!</v>
      </c>
    </row>
    <row r="593" spans="7:10" x14ac:dyDescent="0.3">
      <c r="G593" t="str">
        <f>IFERROR(VLOOKUP(E593,Control_Actividades!A:C,2,FALSE),"")</f>
        <v/>
      </c>
      <c r="I593" t="str">
        <f>IFERROR(VLOOKUP(E593,Control_Actividades!A:C,3,FALSE),"")</f>
        <v/>
      </c>
      <c r="J593" t="e">
        <f t="shared" si="191"/>
        <v>#VALUE!</v>
      </c>
    </row>
    <row r="594" spans="7:10" x14ac:dyDescent="0.3">
      <c r="G594" t="str">
        <f>IFERROR(VLOOKUP(E594,Control_Actividades!A:C,2,FALSE),"")</f>
        <v/>
      </c>
      <c r="I594" t="str">
        <f>IFERROR(VLOOKUP(E594,Control_Actividades!A:C,3,FALSE),"")</f>
        <v/>
      </c>
      <c r="J594" t="e">
        <f t="shared" si="191"/>
        <v>#VALUE!</v>
      </c>
    </row>
    <row r="595" spans="7:10" x14ac:dyDescent="0.3">
      <c r="G595" t="str">
        <f>IFERROR(VLOOKUP(E595,Control_Actividades!A:C,2,FALSE),"")</f>
        <v/>
      </c>
      <c r="I595" t="str">
        <f>IFERROR(VLOOKUP(E595,Control_Actividades!A:C,3,FALSE),"")</f>
        <v/>
      </c>
      <c r="J595" t="e">
        <f t="shared" si="191"/>
        <v>#VALUE!</v>
      </c>
    </row>
    <row r="596" spans="7:10" x14ac:dyDescent="0.3">
      <c r="G596" t="str">
        <f>IFERROR(VLOOKUP(E596,Control_Actividades!A:C,2,FALSE),"")</f>
        <v/>
      </c>
      <c r="I596" t="str">
        <f>IFERROR(VLOOKUP(E596,Control_Actividades!A:C,3,FALSE),"")</f>
        <v/>
      </c>
      <c r="J596" t="e">
        <f t="shared" si="191"/>
        <v>#VALUE!</v>
      </c>
    </row>
    <row r="597" spans="7:10" x14ac:dyDescent="0.3">
      <c r="G597" t="str">
        <f>IFERROR(VLOOKUP(E597,Control_Actividades!A:C,2,FALSE),"")</f>
        <v/>
      </c>
      <c r="I597" t="str">
        <f>IFERROR(VLOOKUP(E597,Control_Actividades!A:C,3,FALSE),"")</f>
        <v/>
      </c>
      <c r="J597" t="e">
        <f t="shared" si="191"/>
        <v>#VALUE!</v>
      </c>
    </row>
    <row r="598" spans="7:10" x14ac:dyDescent="0.3">
      <c r="G598" t="str">
        <f>IFERROR(VLOOKUP(E598,Control_Actividades!A:C,2,FALSE),"")</f>
        <v/>
      </c>
      <c r="I598" t="str">
        <f>IFERROR(VLOOKUP(E598,Control_Actividades!A:C,3,FALSE),"")</f>
        <v/>
      </c>
      <c r="J598" t="e">
        <f t="shared" si="191"/>
        <v>#VALUE!</v>
      </c>
    </row>
    <row r="599" spans="7:10" x14ac:dyDescent="0.3">
      <c r="G599" t="str">
        <f>IFERROR(VLOOKUP(E599,Control_Actividades!A:C,2,FALSE),"")</f>
        <v/>
      </c>
      <c r="I599" t="str">
        <f>IFERROR(VLOOKUP(E599,Control_Actividades!A:C,3,FALSE),"")</f>
        <v/>
      </c>
      <c r="J599" t="e">
        <f t="shared" si="191"/>
        <v>#VALUE!</v>
      </c>
    </row>
    <row r="600" spans="7:10" x14ac:dyDescent="0.3">
      <c r="G600" t="str">
        <f>IFERROR(VLOOKUP(E600,Control_Actividades!A:C,2,FALSE),"")</f>
        <v/>
      </c>
      <c r="I600" t="str">
        <f>IFERROR(VLOOKUP(E600,Control_Actividades!A:C,3,FALSE),"")</f>
        <v/>
      </c>
      <c r="J600" t="e">
        <f t="shared" si="191"/>
        <v>#VALUE!</v>
      </c>
    </row>
    <row r="601" spans="7:10" x14ac:dyDescent="0.3">
      <c r="G601" t="str">
        <f>IFERROR(VLOOKUP(E601,Control_Actividades!A:C,2,FALSE),"")</f>
        <v/>
      </c>
      <c r="I601" t="str">
        <f>IFERROR(VLOOKUP(E601,Control_Actividades!A:C,3,FALSE),"")</f>
        <v/>
      </c>
      <c r="J601" t="e">
        <f t="shared" si="191"/>
        <v>#VALUE!</v>
      </c>
    </row>
    <row r="602" spans="7:10" x14ac:dyDescent="0.3">
      <c r="G602" t="str">
        <f>IFERROR(VLOOKUP(E602,Control_Actividades!A:C,2,FALSE),"")</f>
        <v/>
      </c>
      <c r="I602" t="str">
        <f>IFERROR(VLOOKUP(E602,Control_Actividades!A:C,3,FALSE),"")</f>
        <v/>
      </c>
      <c r="J602" t="e">
        <f t="shared" si="191"/>
        <v>#VALUE!</v>
      </c>
    </row>
    <row r="603" spans="7:10" x14ac:dyDescent="0.3">
      <c r="G603" t="str">
        <f>IFERROR(VLOOKUP(E603,Control_Actividades!A:C,2,FALSE),"")</f>
        <v/>
      </c>
      <c r="I603" t="str">
        <f>IFERROR(VLOOKUP(E603,Control_Actividades!A:C,3,FALSE),"")</f>
        <v/>
      </c>
      <c r="J603" t="e">
        <f t="shared" si="191"/>
        <v>#VALUE!</v>
      </c>
    </row>
    <row r="604" spans="7:10" x14ac:dyDescent="0.3">
      <c r="G604" t="str">
        <f>IFERROR(VLOOKUP(E604,Control_Actividades!A:C,2,FALSE),"")</f>
        <v/>
      </c>
      <c r="I604" t="str">
        <f>IFERROR(VLOOKUP(E604,Control_Actividades!A:C,3,FALSE),"")</f>
        <v/>
      </c>
      <c r="J604" t="e">
        <f t="shared" si="191"/>
        <v>#VALUE!</v>
      </c>
    </row>
    <row r="605" spans="7:10" x14ac:dyDescent="0.3">
      <c r="G605" t="str">
        <f>IFERROR(VLOOKUP(E605,Control_Actividades!A:C,2,FALSE),"")</f>
        <v/>
      </c>
      <c r="I605" t="str">
        <f>IFERROR(VLOOKUP(E605,Control_Actividades!A:C,3,FALSE),"")</f>
        <v/>
      </c>
      <c r="J605" t="e">
        <f t="shared" si="191"/>
        <v>#VALUE!</v>
      </c>
    </row>
    <row r="606" spans="7:10" x14ac:dyDescent="0.3">
      <c r="G606" t="str">
        <f>IFERROR(VLOOKUP(E606,Control_Actividades!A:C,2,FALSE),"")</f>
        <v/>
      </c>
      <c r="I606" t="str">
        <f>IFERROR(VLOOKUP(E606,Control_Actividades!A:C,3,FALSE),"")</f>
        <v/>
      </c>
      <c r="J606" t="e">
        <f t="shared" si="191"/>
        <v>#VALUE!</v>
      </c>
    </row>
    <row r="607" spans="7:10" x14ac:dyDescent="0.3">
      <c r="G607" t="str">
        <f>IFERROR(VLOOKUP(E607,Control_Actividades!A:C,2,FALSE),"")</f>
        <v/>
      </c>
      <c r="I607" t="str">
        <f>IFERROR(VLOOKUP(E607,Control_Actividades!A:C,3,FALSE),"")</f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Control_Actividades!$A$2:$A$6</xm:f>
          </x14:formula1>
          <xm:sqref>E2:E591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4" sqref="B4"/>
    </sheetView>
  </sheetViews>
  <sheetFormatPr baseColWidth="10" defaultColWidth="8.88671875" defaultRowHeight="14.4" x14ac:dyDescent="0.3"/>
  <cols>
    <col min="1" max="3" width="22" customWidth="1"/>
  </cols>
  <sheetData>
    <row r="1" spans="1:3" x14ac:dyDescent="0.3">
      <c r="A1" s="1" t="s">
        <v>4</v>
      </c>
      <c r="B1" s="1" t="s">
        <v>6</v>
      </c>
      <c r="C1" s="1" t="s">
        <v>8</v>
      </c>
    </row>
    <row r="2" spans="1:3" x14ac:dyDescent="0.3">
      <c r="A2" t="s">
        <v>10</v>
      </c>
      <c r="B2" t="s">
        <v>11</v>
      </c>
      <c r="C2">
        <v>70</v>
      </c>
    </row>
    <row r="3" spans="1:3" x14ac:dyDescent="0.3">
      <c r="A3" t="s">
        <v>12</v>
      </c>
      <c r="B3" t="s">
        <v>11</v>
      </c>
      <c r="C3">
        <v>0</v>
      </c>
    </row>
    <row r="4" spans="1:3" x14ac:dyDescent="0.3">
      <c r="A4" t="s">
        <v>13</v>
      </c>
      <c r="B4" t="s">
        <v>14</v>
      </c>
      <c r="C4">
        <v>150</v>
      </c>
    </row>
    <row r="5" spans="1:3" x14ac:dyDescent="0.3">
      <c r="A5" t="s">
        <v>15</v>
      </c>
      <c r="B5" t="s">
        <v>16</v>
      </c>
      <c r="C5">
        <v>50</v>
      </c>
    </row>
    <row r="6" spans="1:3" x14ac:dyDescent="0.3">
      <c r="A6" t="s">
        <v>17</v>
      </c>
      <c r="B6" t="s">
        <v>51</v>
      </c>
      <c r="C6">
        <v>110</v>
      </c>
    </row>
    <row r="7" spans="1:3" x14ac:dyDescent="0.3">
      <c r="A7" t="s">
        <v>23</v>
      </c>
      <c r="B7" t="s">
        <v>24</v>
      </c>
      <c r="C7">
        <v>100</v>
      </c>
    </row>
    <row r="8" spans="1:3" x14ac:dyDescent="0.3">
      <c r="A8" t="s">
        <v>48</v>
      </c>
      <c r="B8" t="s">
        <v>24</v>
      </c>
      <c r="C8">
        <v>100</v>
      </c>
    </row>
    <row r="9" spans="1:3" x14ac:dyDescent="0.3">
      <c r="A9" t="s">
        <v>53</v>
      </c>
      <c r="B9" t="s">
        <v>24</v>
      </c>
      <c r="C9">
        <v>130</v>
      </c>
    </row>
    <row r="10" spans="1:3" x14ac:dyDescent="0.3">
      <c r="A10" t="s">
        <v>56</v>
      </c>
      <c r="B10" t="s">
        <v>24</v>
      </c>
      <c r="C10">
        <v>75</v>
      </c>
    </row>
    <row r="11" spans="1:3" x14ac:dyDescent="0.3">
      <c r="A11" t="s">
        <v>62</v>
      </c>
      <c r="B11" t="s">
        <v>51</v>
      </c>
      <c r="C1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E2" sqref="E2"/>
    </sheetView>
  </sheetViews>
  <sheetFormatPr baseColWidth="10" defaultColWidth="8.88671875" defaultRowHeight="14.4" x14ac:dyDescent="0.3"/>
  <cols>
    <col min="1" max="6" width="20" customWidth="1"/>
  </cols>
  <sheetData>
    <row r="1" spans="1:6" x14ac:dyDescent="0.3">
      <c r="A1" s="1" t="s">
        <v>1</v>
      </c>
      <c r="B1" s="1" t="s">
        <v>2</v>
      </c>
      <c r="C1" s="1" t="s">
        <v>9</v>
      </c>
      <c r="D1" s="1" t="s">
        <v>18</v>
      </c>
      <c r="E1" s="1" t="s">
        <v>19</v>
      </c>
      <c r="F1" s="1" t="s">
        <v>20</v>
      </c>
    </row>
    <row r="2" spans="1:6" x14ac:dyDescent="0.3">
      <c r="C2" t="e">
        <f ca="1">SUMAR.SI.CONJUNTO(Registro_Actividades!J:J,Registro_Actividades!C:C,B2,Registro_Actividades!B:B,A2)</f>
        <v>#NAME?</v>
      </c>
      <c r="F2" t="e">
        <f t="shared" ref="F2:F33" ca="1" si="0">C2+D2-E2</f>
        <v>#NAME?</v>
      </c>
    </row>
    <row r="3" spans="1:6" x14ac:dyDescent="0.3">
      <c r="C3" t="e">
        <f ca="1">SUMAR.SI.CONJUNTO(Registro_Actividades!J:J,Registro_Actividades!C:C,B3,Registro_Actividades!B:B,A3)</f>
        <v>#NAME?</v>
      </c>
      <c r="F3" t="e">
        <f t="shared" ca="1" si="0"/>
        <v>#NAME?</v>
      </c>
    </row>
    <row r="4" spans="1:6" x14ac:dyDescent="0.3">
      <c r="C4" t="e">
        <f ca="1">SUMAR.SI.CONJUNTO(Registro_Actividades!J:J,Registro_Actividades!C:C,B4,Registro_Actividades!B:B,A4)</f>
        <v>#NAME?</v>
      </c>
      <c r="F4" t="e">
        <f t="shared" ca="1" si="0"/>
        <v>#NAME?</v>
      </c>
    </row>
    <row r="5" spans="1:6" x14ac:dyDescent="0.3">
      <c r="C5" t="e">
        <f ca="1">SUMAR.SI.CONJUNTO(Registro_Actividades!J:J,Registro_Actividades!C:C,B5,Registro_Actividades!B:B,A5)</f>
        <v>#NAME?</v>
      </c>
      <c r="F5" t="e">
        <f t="shared" ca="1" si="0"/>
        <v>#NAME?</v>
      </c>
    </row>
    <row r="6" spans="1:6" x14ac:dyDescent="0.3">
      <c r="C6" t="e">
        <f ca="1">SUMAR.SI.CONJUNTO(Registro_Actividades!J:J,Registro_Actividades!C:C,B6,Registro_Actividades!B:B,A6)</f>
        <v>#NAME?</v>
      </c>
      <c r="F6" t="e">
        <f t="shared" ca="1" si="0"/>
        <v>#NAME?</v>
      </c>
    </row>
    <row r="7" spans="1:6" x14ac:dyDescent="0.3">
      <c r="C7" t="e">
        <f ca="1">SUMAR.SI.CONJUNTO(Registro_Actividades!J:J,Registro_Actividades!C:C,B7,Registro_Actividades!B:B,A7)</f>
        <v>#NAME?</v>
      </c>
      <c r="F7" t="e">
        <f t="shared" ca="1" si="0"/>
        <v>#NAME?</v>
      </c>
    </row>
    <row r="8" spans="1:6" x14ac:dyDescent="0.3">
      <c r="C8" t="e">
        <f ca="1">SUMAR.SI.CONJUNTO(Registro_Actividades!J:J,Registro_Actividades!C:C,B8,Registro_Actividades!B:B,A8)</f>
        <v>#NAME?</v>
      </c>
      <c r="F8" t="e">
        <f t="shared" ca="1" si="0"/>
        <v>#NAME?</v>
      </c>
    </row>
    <row r="9" spans="1:6" x14ac:dyDescent="0.3">
      <c r="C9" t="e">
        <f ca="1">SUMAR.SI.CONJUNTO(Registro_Actividades!J:J,Registro_Actividades!C:C,B9,Registro_Actividades!B:B,A9)</f>
        <v>#NAME?</v>
      </c>
      <c r="F9" t="e">
        <f t="shared" ca="1" si="0"/>
        <v>#NAME?</v>
      </c>
    </row>
    <row r="10" spans="1:6" x14ac:dyDescent="0.3">
      <c r="C10" t="e">
        <f ca="1">SUMAR.SI.CONJUNTO(Registro_Actividades!J:J,Registro_Actividades!C:C,B10,Registro_Actividades!B:B,A10)</f>
        <v>#NAME?</v>
      </c>
      <c r="F10" t="e">
        <f t="shared" ca="1" si="0"/>
        <v>#NAME?</v>
      </c>
    </row>
    <row r="11" spans="1:6" x14ac:dyDescent="0.3">
      <c r="C11" t="e">
        <f ca="1">SUMAR.SI.CONJUNTO(Registro_Actividades!J:J,Registro_Actividades!C:C,B11,Registro_Actividades!B:B,A11)</f>
        <v>#NAME?</v>
      </c>
      <c r="F11" t="e">
        <f t="shared" ca="1" si="0"/>
        <v>#NAME?</v>
      </c>
    </row>
    <row r="12" spans="1:6" x14ac:dyDescent="0.3">
      <c r="C12" t="e">
        <f ca="1">SUMAR.SI.CONJUNTO(Registro_Actividades!J:J,Registro_Actividades!C:C,B12,Registro_Actividades!B:B,A12)</f>
        <v>#NAME?</v>
      </c>
      <c r="F12" t="e">
        <f t="shared" ca="1" si="0"/>
        <v>#NAME?</v>
      </c>
    </row>
    <row r="13" spans="1:6" x14ac:dyDescent="0.3">
      <c r="C13" t="e">
        <f ca="1">SUMAR.SI.CONJUNTO(Registro_Actividades!J:J,Registro_Actividades!C:C,B13,Registro_Actividades!B:B,A13)</f>
        <v>#NAME?</v>
      </c>
      <c r="F13" t="e">
        <f t="shared" ca="1" si="0"/>
        <v>#NAME?</v>
      </c>
    </row>
    <row r="14" spans="1:6" x14ac:dyDescent="0.3">
      <c r="C14" t="e">
        <f ca="1">SUMAR.SI.CONJUNTO(Registro_Actividades!J:J,Registro_Actividades!C:C,B14,Registro_Actividades!B:B,A14)</f>
        <v>#NAME?</v>
      </c>
      <c r="F14" t="e">
        <f t="shared" ca="1" si="0"/>
        <v>#NAME?</v>
      </c>
    </row>
    <row r="15" spans="1:6" x14ac:dyDescent="0.3">
      <c r="C15" t="e">
        <f ca="1">SUMAR.SI.CONJUNTO(Registro_Actividades!J:J,Registro_Actividades!C:C,B15,Registro_Actividades!B:B,A15)</f>
        <v>#NAME?</v>
      </c>
      <c r="F15" t="e">
        <f t="shared" ca="1" si="0"/>
        <v>#NAME?</v>
      </c>
    </row>
    <row r="16" spans="1:6" x14ac:dyDescent="0.3">
      <c r="C16" t="e">
        <f ca="1">SUMAR.SI.CONJUNTO(Registro_Actividades!J:J,Registro_Actividades!C:C,B16,Registro_Actividades!B:B,A16)</f>
        <v>#NAME?</v>
      </c>
      <c r="F16" t="e">
        <f t="shared" ca="1" si="0"/>
        <v>#NAME?</v>
      </c>
    </row>
    <row r="17" spans="3:6" x14ac:dyDescent="0.3">
      <c r="C17" t="e">
        <f ca="1">SUMAR.SI.CONJUNTO(Registro_Actividades!J:J,Registro_Actividades!C:C,B17,Registro_Actividades!B:B,A17)</f>
        <v>#NAME?</v>
      </c>
      <c r="F17" t="e">
        <f t="shared" ca="1" si="0"/>
        <v>#NAME?</v>
      </c>
    </row>
    <row r="18" spans="3:6" x14ac:dyDescent="0.3">
      <c r="C18" t="e">
        <f ca="1">SUMAR.SI.CONJUNTO(Registro_Actividades!J:J,Registro_Actividades!C:C,B18,Registro_Actividades!B:B,A18)</f>
        <v>#NAME?</v>
      </c>
      <c r="F18" t="e">
        <f t="shared" ca="1" si="0"/>
        <v>#NAME?</v>
      </c>
    </row>
    <row r="19" spans="3:6" x14ac:dyDescent="0.3">
      <c r="C19" t="e">
        <f ca="1">SUMAR.SI.CONJUNTO(Registro_Actividades!J:J,Registro_Actividades!C:C,B19,Registro_Actividades!B:B,A19)</f>
        <v>#NAME?</v>
      </c>
      <c r="F19" t="e">
        <f t="shared" ca="1" si="0"/>
        <v>#NAME?</v>
      </c>
    </row>
    <row r="20" spans="3:6" x14ac:dyDescent="0.3">
      <c r="C20" t="e">
        <f ca="1">SUMAR.SI.CONJUNTO(Registro_Actividades!J:J,Registro_Actividades!C:C,B20,Registro_Actividades!B:B,A20)</f>
        <v>#NAME?</v>
      </c>
      <c r="F20" t="e">
        <f t="shared" ca="1" si="0"/>
        <v>#NAME?</v>
      </c>
    </row>
    <row r="21" spans="3:6" x14ac:dyDescent="0.3">
      <c r="C21" t="e">
        <f ca="1">SUMAR.SI.CONJUNTO(Registro_Actividades!J:J,Registro_Actividades!C:C,B21,Registro_Actividades!B:B,A21)</f>
        <v>#NAME?</v>
      </c>
      <c r="F21" t="e">
        <f t="shared" ca="1" si="0"/>
        <v>#NAME?</v>
      </c>
    </row>
    <row r="22" spans="3:6" x14ac:dyDescent="0.3">
      <c r="C22" t="e">
        <f ca="1">SUMAR.SI.CONJUNTO(Registro_Actividades!J:J,Registro_Actividades!C:C,B22,Registro_Actividades!B:B,A22)</f>
        <v>#NAME?</v>
      </c>
      <c r="F22" t="e">
        <f t="shared" ca="1" si="0"/>
        <v>#NAME?</v>
      </c>
    </row>
    <row r="23" spans="3:6" x14ac:dyDescent="0.3">
      <c r="C23" t="e">
        <f ca="1">SUMAR.SI.CONJUNTO(Registro_Actividades!J:J,Registro_Actividades!C:C,B23,Registro_Actividades!B:B,A23)</f>
        <v>#NAME?</v>
      </c>
      <c r="F23" t="e">
        <f t="shared" ca="1" si="0"/>
        <v>#NAME?</v>
      </c>
    </row>
    <row r="24" spans="3:6" x14ac:dyDescent="0.3">
      <c r="C24" t="e">
        <f ca="1">SUMAR.SI.CONJUNTO(Registro_Actividades!J:J,Registro_Actividades!C:C,B24,Registro_Actividades!B:B,A24)</f>
        <v>#NAME?</v>
      </c>
      <c r="F24" t="e">
        <f t="shared" ca="1" si="0"/>
        <v>#NAME?</v>
      </c>
    </row>
    <row r="25" spans="3:6" x14ac:dyDescent="0.3">
      <c r="C25" t="e">
        <f ca="1">SUMAR.SI.CONJUNTO(Registro_Actividades!J:J,Registro_Actividades!C:C,B25,Registro_Actividades!B:B,A25)</f>
        <v>#NAME?</v>
      </c>
      <c r="F25" t="e">
        <f t="shared" ca="1" si="0"/>
        <v>#NAME?</v>
      </c>
    </row>
    <row r="26" spans="3:6" x14ac:dyDescent="0.3">
      <c r="C26" t="e">
        <f ca="1">SUMAR.SI.CONJUNTO(Registro_Actividades!J:J,Registro_Actividades!C:C,B26,Registro_Actividades!B:B,A26)</f>
        <v>#NAME?</v>
      </c>
      <c r="F26" t="e">
        <f t="shared" ca="1" si="0"/>
        <v>#NAME?</v>
      </c>
    </row>
    <row r="27" spans="3:6" x14ac:dyDescent="0.3">
      <c r="C27" t="e">
        <f ca="1">SUMAR.SI.CONJUNTO(Registro_Actividades!J:J,Registro_Actividades!C:C,B27,Registro_Actividades!B:B,A27)</f>
        <v>#NAME?</v>
      </c>
      <c r="F27" t="e">
        <f t="shared" ca="1" si="0"/>
        <v>#NAME?</v>
      </c>
    </row>
    <row r="28" spans="3:6" x14ac:dyDescent="0.3">
      <c r="C28" t="e">
        <f ca="1">SUMAR.SI.CONJUNTO(Registro_Actividades!J:J,Registro_Actividades!C:C,B28,Registro_Actividades!B:B,A28)</f>
        <v>#NAME?</v>
      </c>
      <c r="F28" t="e">
        <f t="shared" ca="1" si="0"/>
        <v>#NAME?</v>
      </c>
    </row>
    <row r="29" spans="3:6" x14ac:dyDescent="0.3">
      <c r="C29" t="e">
        <f ca="1">SUMAR.SI.CONJUNTO(Registro_Actividades!J:J,Registro_Actividades!C:C,B29,Registro_Actividades!B:B,A29)</f>
        <v>#NAME?</v>
      </c>
      <c r="F29" t="e">
        <f t="shared" ca="1" si="0"/>
        <v>#NAME?</v>
      </c>
    </row>
    <row r="30" spans="3:6" x14ac:dyDescent="0.3">
      <c r="C30" t="e">
        <f ca="1">SUMAR.SI.CONJUNTO(Registro_Actividades!J:J,Registro_Actividades!C:C,B30,Registro_Actividades!B:B,A30)</f>
        <v>#NAME?</v>
      </c>
      <c r="F30" t="e">
        <f t="shared" ca="1" si="0"/>
        <v>#NAME?</v>
      </c>
    </row>
    <row r="31" spans="3:6" x14ac:dyDescent="0.3">
      <c r="C31" t="e">
        <f ca="1">SUMAR.SI.CONJUNTO(Registro_Actividades!J:J,Registro_Actividades!C:C,B31,Registro_Actividades!B:B,A31)</f>
        <v>#NAME?</v>
      </c>
      <c r="F31" t="e">
        <f t="shared" ca="1" si="0"/>
        <v>#NAME?</v>
      </c>
    </row>
    <row r="32" spans="3:6" x14ac:dyDescent="0.3">
      <c r="C32" t="e">
        <f ca="1">SUMAR.SI.CONJUNTO(Registro_Actividades!J:J,Registro_Actividades!C:C,B32,Registro_Actividades!B:B,A32)</f>
        <v>#NAME?</v>
      </c>
      <c r="F32" t="e">
        <f t="shared" ca="1" si="0"/>
        <v>#NAME?</v>
      </c>
    </row>
    <row r="33" spans="3:6" x14ac:dyDescent="0.3">
      <c r="C33" t="e">
        <f ca="1">SUMAR.SI.CONJUNTO(Registro_Actividades!J:J,Registro_Actividades!C:C,B33,Registro_Actividades!B:B,A33)</f>
        <v>#NAME?</v>
      </c>
      <c r="F33" t="e">
        <f t="shared" ca="1" si="0"/>
        <v>#NAME?</v>
      </c>
    </row>
    <row r="34" spans="3:6" x14ac:dyDescent="0.3">
      <c r="C34" t="e">
        <f ca="1">SUMAR.SI.CONJUNTO(Registro_Actividades!J:J,Registro_Actividades!C:C,B34,Registro_Actividades!B:B,A34)</f>
        <v>#NAME?</v>
      </c>
      <c r="F34" t="e">
        <f t="shared" ref="F34:F51" ca="1" si="1">C34+D34-E34</f>
        <v>#NAME?</v>
      </c>
    </row>
    <row r="35" spans="3:6" x14ac:dyDescent="0.3">
      <c r="C35" t="e">
        <f ca="1">SUMAR.SI.CONJUNTO(Registro_Actividades!J:J,Registro_Actividades!C:C,B35,Registro_Actividades!B:B,A35)</f>
        <v>#NAME?</v>
      </c>
      <c r="F35" t="e">
        <f t="shared" ca="1" si="1"/>
        <v>#NAME?</v>
      </c>
    </row>
    <row r="36" spans="3:6" x14ac:dyDescent="0.3">
      <c r="C36" t="e">
        <f ca="1">SUMAR.SI.CONJUNTO(Registro_Actividades!J:J,Registro_Actividades!C:C,B36,Registro_Actividades!B:B,A36)</f>
        <v>#NAME?</v>
      </c>
      <c r="F36" t="e">
        <f t="shared" ca="1" si="1"/>
        <v>#NAME?</v>
      </c>
    </row>
    <row r="37" spans="3:6" x14ac:dyDescent="0.3">
      <c r="C37" t="e">
        <f ca="1">SUMAR.SI.CONJUNTO(Registro_Actividades!J:J,Registro_Actividades!C:C,B37,Registro_Actividades!B:B,A37)</f>
        <v>#NAME?</v>
      </c>
      <c r="F37" t="e">
        <f t="shared" ca="1" si="1"/>
        <v>#NAME?</v>
      </c>
    </row>
    <row r="38" spans="3:6" x14ac:dyDescent="0.3">
      <c r="C38" t="e">
        <f ca="1">SUMAR.SI.CONJUNTO(Registro_Actividades!J:J,Registro_Actividades!C:C,B38,Registro_Actividades!B:B,A38)</f>
        <v>#NAME?</v>
      </c>
      <c r="F38" t="e">
        <f t="shared" ca="1" si="1"/>
        <v>#NAME?</v>
      </c>
    </row>
    <row r="39" spans="3:6" x14ac:dyDescent="0.3">
      <c r="C39" t="e">
        <f ca="1">SUMAR.SI.CONJUNTO(Registro_Actividades!J:J,Registro_Actividades!C:C,B39,Registro_Actividades!B:B,A39)</f>
        <v>#NAME?</v>
      </c>
      <c r="F39" t="e">
        <f t="shared" ca="1" si="1"/>
        <v>#NAME?</v>
      </c>
    </row>
    <row r="40" spans="3:6" x14ac:dyDescent="0.3">
      <c r="C40" t="e">
        <f ca="1">SUMAR.SI.CONJUNTO(Registro_Actividades!J:J,Registro_Actividades!C:C,B40,Registro_Actividades!B:B,A40)</f>
        <v>#NAME?</v>
      </c>
      <c r="F40" t="e">
        <f t="shared" ca="1" si="1"/>
        <v>#NAME?</v>
      </c>
    </row>
    <row r="41" spans="3:6" x14ac:dyDescent="0.3">
      <c r="C41" t="e">
        <f ca="1">SUMAR.SI.CONJUNTO(Registro_Actividades!J:J,Registro_Actividades!C:C,B41,Registro_Actividades!B:B,A41)</f>
        <v>#NAME?</v>
      </c>
      <c r="F41" t="e">
        <f t="shared" ca="1" si="1"/>
        <v>#NAME?</v>
      </c>
    </row>
    <row r="42" spans="3:6" x14ac:dyDescent="0.3">
      <c r="C42" t="e">
        <f ca="1">SUMAR.SI.CONJUNTO(Registro_Actividades!J:J,Registro_Actividades!C:C,B42,Registro_Actividades!B:B,A42)</f>
        <v>#NAME?</v>
      </c>
      <c r="F42" t="e">
        <f t="shared" ca="1" si="1"/>
        <v>#NAME?</v>
      </c>
    </row>
    <row r="43" spans="3:6" x14ac:dyDescent="0.3">
      <c r="C43" t="e">
        <f ca="1">SUMAR.SI.CONJUNTO(Registro_Actividades!J:J,Registro_Actividades!C:C,B43,Registro_Actividades!B:B,A43)</f>
        <v>#NAME?</v>
      </c>
      <c r="F43" t="e">
        <f t="shared" ca="1" si="1"/>
        <v>#NAME?</v>
      </c>
    </row>
    <row r="44" spans="3:6" x14ac:dyDescent="0.3">
      <c r="C44" t="e">
        <f ca="1">SUMAR.SI.CONJUNTO(Registro_Actividades!J:J,Registro_Actividades!C:C,B44,Registro_Actividades!B:B,A44)</f>
        <v>#NAME?</v>
      </c>
      <c r="F44" t="e">
        <f t="shared" ca="1" si="1"/>
        <v>#NAME?</v>
      </c>
    </row>
    <row r="45" spans="3:6" x14ac:dyDescent="0.3">
      <c r="C45" t="e">
        <f ca="1">SUMAR.SI.CONJUNTO(Registro_Actividades!J:J,Registro_Actividades!C:C,B45,Registro_Actividades!B:B,A45)</f>
        <v>#NAME?</v>
      </c>
      <c r="F45" t="e">
        <f t="shared" ca="1" si="1"/>
        <v>#NAME?</v>
      </c>
    </row>
    <row r="46" spans="3:6" x14ac:dyDescent="0.3">
      <c r="C46" t="e">
        <f ca="1">SUMAR.SI.CONJUNTO(Registro_Actividades!J:J,Registro_Actividades!C:C,B46,Registro_Actividades!B:B,A46)</f>
        <v>#NAME?</v>
      </c>
      <c r="F46" t="e">
        <f t="shared" ca="1" si="1"/>
        <v>#NAME?</v>
      </c>
    </row>
    <row r="47" spans="3:6" x14ac:dyDescent="0.3">
      <c r="C47" t="e">
        <f ca="1">SUMAR.SI.CONJUNTO(Registro_Actividades!J:J,Registro_Actividades!C:C,B47,Registro_Actividades!B:B,A47)</f>
        <v>#NAME?</v>
      </c>
      <c r="F47" t="e">
        <f t="shared" ca="1" si="1"/>
        <v>#NAME?</v>
      </c>
    </row>
    <row r="48" spans="3:6" x14ac:dyDescent="0.3">
      <c r="C48" t="e">
        <f ca="1">SUMAR.SI.CONJUNTO(Registro_Actividades!J:J,Registro_Actividades!C:C,B48,Registro_Actividades!B:B,A48)</f>
        <v>#NAME?</v>
      </c>
      <c r="F48" t="e">
        <f t="shared" ca="1" si="1"/>
        <v>#NAME?</v>
      </c>
    </row>
    <row r="49" spans="3:6" x14ac:dyDescent="0.3">
      <c r="C49" t="e">
        <f ca="1">SUMAR.SI.CONJUNTO(Registro_Actividades!J:J,Registro_Actividades!C:C,B49,Registro_Actividades!B:B,A49)</f>
        <v>#NAME?</v>
      </c>
      <c r="F49" t="e">
        <f t="shared" ca="1" si="1"/>
        <v>#NAME?</v>
      </c>
    </row>
    <row r="50" spans="3:6" x14ac:dyDescent="0.3">
      <c r="C50" t="e">
        <f ca="1">SUMAR.SI.CONJUNTO(Registro_Actividades!J:J,Registro_Actividades!C:C,B50,Registro_Actividades!B:B,A50)</f>
        <v>#NAME?</v>
      </c>
      <c r="F50" t="e">
        <f t="shared" ca="1" si="1"/>
        <v>#NAME?</v>
      </c>
    </row>
    <row r="51" spans="3:6" x14ac:dyDescent="0.3">
      <c r="C51" t="e">
        <f ca="1">SUMAR.SI.CONJUNTO(Registro_Actividades!J:J,Registro_Actividades!C:C,B51,Registro_Actividades!B:B,A51)</f>
        <v>#NAME?</v>
      </c>
      <c r="F51" t="e">
        <f t="shared" ca="1" si="1"/>
        <v>#NAME?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baseColWidth="10" defaultColWidth="8.88671875" defaultRowHeight="14.4" x14ac:dyDescent="0.3"/>
  <cols>
    <col min="1" max="3" width="25" customWidth="1"/>
  </cols>
  <sheetData>
    <row r="1" spans="1:3" x14ac:dyDescent="0.3">
      <c r="A1" s="1" t="s">
        <v>1</v>
      </c>
      <c r="B1" s="1" t="s">
        <v>5</v>
      </c>
      <c r="C1" s="1" t="s">
        <v>21</v>
      </c>
    </row>
    <row r="2" spans="1:3" x14ac:dyDescent="0.3">
      <c r="C2" t="e">
        <f ca="1">SUMAR.SI.CONJUNTO(Registro_Actividades!J:J,Registro_Actividades!F:F,B2,Registro_Actividades!B:B,A2)</f>
        <v>#NAME?</v>
      </c>
    </row>
    <row r="3" spans="1:3" x14ac:dyDescent="0.3">
      <c r="C3" t="e">
        <f ca="1">SUMAR.SI.CONJUNTO(Registro_Actividades!J:J,Registro_Actividades!F:F,B3,Registro_Actividades!B:B,A3)</f>
        <v>#NAME?</v>
      </c>
    </row>
    <row r="4" spans="1:3" x14ac:dyDescent="0.3">
      <c r="C4" t="e">
        <f ca="1">SUMAR.SI.CONJUNTO(Registro_Actividades!J:J,Registro_Actividades!F:F,B4,Registro_Actividades!B:B,A4)</f>
        <v>#NAME?</v>
      </c>
    </row>
    <row r="5" spans="1:3" x14ac:dyDescent="0.3">
      <c r="C5" t="e">
        <f ca="1">SUMAR.SI.CONJUNTO(Registro_Actividades!J:J,Registro_Actividades!F:F,B5,Registro_Actividades!B:B,A5)</f>
        <v>#NAME?</v>
      </c>
    </row>
    <row r="6" spans="1:3" x14ac:dyDescent="0.3">
      <c r="C6" t="e">
        <f ca="1">SUMAR.SI.CONJUNTO(Registro_Actividades!J:J,Registro_Actividades!F:F,B6,Registro_Actividades!B:B,A6)</f>
        <v>#NAME?</v>
      </c>
    </row>
    <row r="7" spans="1:3" x14ac:dyDescent="0.3">
      <c r="C7" t="e">
        <f ca="1">SUMAR.SI.CONJUNTO(Registro_Actividades!J:J,Registro_Actividades!F:F,B7,Registro_Actividades!B:B,A7)</f>
        <v>#NAME?</v>
      </c>
    </row>
    <row r="8" spans="1:3" x14ac:dyDescent="0.3">
      <c r="C8" t="e">
        <f ca="1">SUMAR.SI.CONJUNTO(Registro_Actividades!J:J,Registro_Actividades!F:F,B8,Registro_Actividades!B:B,A8)</f>
        <v>#NAME?</v>
      </c>
    </row>
    <row r="9" spans="1:3" x14ac:dyDescent="0.3">
      <c r="C9" t="e">
        <f ca="1">SUMAR.SI.CONJUNTO(Registro_Actividades!J:J,Registro_Actividades!F:F,B9,Registro_Actividades!B:B,A9)</f>
        <v>#NAME?</v>
      </c>
    </row>
    <row r="10" spans="1:3" x14ac:dyDescent="0.3">
      <c r="C10" t="e">
        <f ca="1">SUMAR.SI.CONJUNTO(Registro_Actividades!J:J,Registro_Actividades!F:F,B10,Registro_Actividades!B:B,A10)</f>
        <v>#NAME?</v>
      </c>
    </row>
    <row r="11" spans="1:3" x14ac:dyDescent="0.3">
      <c r="C11" t="e">
        <f ca="1">SUMAR.SI.CONJUNTO(Registro_Actividades!J:J,Registro_Actividades!F:F,B11,Registro_Actividades!B:B,A11)</f>
        <v>#NAME?</v>
      </c>
    </row>
    <row r="12" spans="1:3" x14ac:dyDescent="0.3">
      <c r="C12" t="e">
        <f ca="1">SUMAR.SI.CONJUNTO(Registro_Actividades!J:J,Registro_Actividades!F:F,B12,Registro_Actividades!B:B,A12)</f>
        <v>#NAME?</v>
      </c>
    </row>
    <row r="13" spans="1:3" x14ac:dyDescent="0.3">
      <c r="C13" t="e">
        <f ca="1">SUMAR.SI.CONJUNTO(Registro_Actividades!J:J,Registro_Actividades!F:F,B13,Registro_Actividades!B:B,A13)</f>
        <v>#NAME?</v>
      </c>
    </row>
    <row r="14" spans="1:3" x14ac:dyDescent="0.3">
      <c r="C14" t="e">
        <f ca="1">SUMAR.SI.CONJUNTO(Registro_Actividades!J:J,Registro_Actividades!F:F,B14,Registro_Actividades!B:B,A14)</f>
        <v>#NAME?</v>
      </c>
    </row>
    <row r="15" spans="1:3" x14ac:dyDescent="0.3">
      <c r="C15" t="e">
        <f ca="1">SUMAR.SI.CONJUNTO(Registro_Actividades!J:J,Registro_Actividades!F:F,B15,Registro_Actividades!B:B,A15)</f>
        <v>#NAME?</v>
      </c>
    </row>
    <row r="16" spans="1:3" x14ac:dyDescent="0.3">
      <c r="C16" t="e">
        <f ca="1">SUMAR.SI.CONJUNTO(Registro_Actividades!J:J,Registro_Actividades!F:F,B16,Registro_Actividades!B:B,A16)</f>
        <v>#NAME?</v>
      </c>
    </row>
    <row r="17" spans="3:3" x14ac:dyDescent="0.3">
      <c r="C17" t="e">
        <f ca="1">SUMAR.SI.CONJUNTO(Registro_Actividades!J:J,Registro_Actividades!F:F,B17,Registro_Actividades!B:B,A17)</f>
        <v>#NAME?</v>
      </c>
    </row>
    <row r="18" spans="3:3" x14ac:dyDescent="0.3">
      <c r="C18" t="e">
        <f ca="1">SUMAR.SI.CONJUNTO(Registro_Actividades!J:J,Registro_Actividades!F:F,B18,Registro_Actividades!B:B,A18)</f>
        <v>#NAME?</v>
      </c>
    </row>
    <row r="19" spans="3:3" x14ac:dyDescent="0.3">
      <c r="C19" t="e">
        <f ca="1">SUMAR.SI.CONJUNTO(Registro_Actividades!J:J,Registro_Actividades!F:F,B19,Registro_Actividades!B:B,A19)</f>
        <v>#NAME?</v>
      </c>
    </row>
    <row r="20" spans="3:3" x14ac:dyDescent="0.3">
      <c r="C20" t="e">
        <f ca="1">SUMAR.SI.CONJUNTO(Registro_Actividades!J:J,Registro_Actividades!F:F,B20,Registro_Actividades!B:B,A20)</f>
        <v>#NAME?</v>
      </c>
    </row>
    <row r="21" spans="3:3" x14ac:dyDescent="0.3">
      <c r="C21" t="e">
        <f ca="1">SUMAR.SI.CONJUNTO(Registro_Actividades!J:J,Registro_Actividades!F:F,B21,Registro_Actividades!B:B,A21)</f>
        <v>#NAME?</v>
      </c>
    </row>
    <row r="22" spans="3:3" x14ac:dyDescent="0.3">
      <c r="C22" t="e">
        <f ca="1">SUMAR.SI.CONJUNTO(Registro_Actividades!J:J,Registro_Actividades!F:F,B22,Registro_Actividades!B:B,A22)</f>
        <v>#NAME?</v>
      </c>
    </row>
    <row r="23" spans="3:3" x14ac:dyDescent="0.3">
      <c r="C23" t="e">
        <f ca="1">SUMAR.SI.CONJUNTO(Registro_Actividades!J:J,Registro_Actividades!F:F,B23,Registro_Actividades!B:B,A23)</f>
        <v>#NAME?</v>
      </c>
    </row>
    <row r="24" spans="3:3" x14ac:dyDescent="0.3">
      <c r="C24" t="e">
        <f ca="1">SUMAR.SI.CONJUNTO(Registro_Actividades!J:J,Registro_Actividades!F:F,B24,Registro_Actividades!B:B,A24)</f>
        <v>#NAME?</v>
      </c>
    </row>
    <row r="25" spans="3:3" x14ac:dyDescent="0.3">
      <c r="C25" t="e">
        <f ca="1">SUMAR.SI.CONJUNTO(Registro_Actividades!J:J,Registro_Actividades!F:F,B25,Registro_Actividades!B:B,A25)</f>
        <v>#NAME?</v>
      </c>
    </row>
    <row r="26" spans="3:3" x14ac:dyDescent="0.3">
      <c r="C26" t="e">
        <f ca="1">SUMAR.SI.CONJUNTO(Registro_Actividades!J:J,Registro_Actividades!F:F,B26,Registro_Actividades!B:B,A26)</f>
        <v>#NAME?</v>
      </c>
    </row>
    <row r="27" spans="3:3" x14ac:dyDescent="0.3">
      <c r="C27" t="e">
        <f ca="1">SUMAR.SI.CONJUNTO(Registro_Actividades!J:J,Registro_Actividades!F:F,B27,Registro_Actividades!B:B,A27)</f>
        <v>#NAME?</v>
      </c>
    </row>
    <row r="28" spans="3:3" x14ac:dyDescent="0.3">
      <c r="C28" t="e">
        <f ca="1">SUMAR.SI.CONJUNTO(Registro_Actividades!J:J,Registro_Actividades!F:F,B28,Registro_Actividades!B:B,A28)</f>
        <v>#NAME?</v>
      </c>
    </row>
    <row r="29" spans="3:3" x14ac:dyDescent="0.3">
      <c r="C29" t="e">
        <f ca="1">SUMAR.SI.CONJUNTO(Registro_Actividades!J:J,Registro_Actividades!F:F,B29,Registro_Actividades!B:B,A29)</f>
        <v>#NAME?</v>
      </c>
    </row>
    <row r="30" spans="3:3" x14ac:dyDescent="0.3">
      <c r="C30" t="e">
        <f ca="1">SUMAR.SI.CONJUNTO(Registro_Actividades!J:J,Registro_Actividades!F:F,B30,Registro_Actividades!B:B,A30)</f>
        <v>#NAME?</v>
      </c>
    </row>
    <row r="31" spans="3:3" x14ac:dyDescent="0.3">
      <c r="C31" t="e">
        <f ca="1">SUMAR.SI.CONJUNTO(Registro_Actividades!J:J,Registro_Actividades!F:F,B31,Registro_Actividades!B:B,A31)</f>
        <v>#NAME?</v>
      </c>
    </row>
    <row r="32" spans="3:3" x14ac:dyDescent="0.3">
      <c r="C32" t="e">
        <f ca="1">SUMAR.SI.CONJUNTO(Registro_Actividades!J:J,Registro_Actividades!F:F,B32,Registro_Actividades!B:B,A32)</f>
        <v>#NAME?</v>
      </c>
    </row>
    <row r="33" spans="3:3" x14ac:dyDescent="0.3">
      <c r="C33" t="e">
        <f ca="1">SUMAR.SI.CONJUNTO(Registro_Actividades!J:J,Registro_Actividades!F:F,B33,Registro_Actividades!B:B,A33)</f>
        <v>#NAME?</v>
      </c>
    </row>
    <row r="34" spans="3:3" x14ac:dyDescent="0.3">
      <c r="C34" t="e">
        <f ca="1">SUMAR.SI.CONJUNTO(Registro_Actividades!J:J,Registro_Actividades!F:F,B34,Registro_Actividades!B:B,A34)</f>
        <v>#NAME?</v>
      </c>
    </row>
    <row r="35" spans="3:3" x14ac:dyDescent="0.3">
      <c r="C35" t="e">
        <f ca="1">SUMAR.SI.CONJUNTO(Registro_Actividades!J:J,Registro_Actividades!F:F,B35,Registro_Actividades!B:B,A35)</f>
        <v>#NAME?</v>
      </c>
    </row>
    <row r="36" spans="3:3" x14ac:dyDescent="0.3">
      <c r="C36" t="e">
        <f ca="1">SUMAR.SI.CONJUNTO(Registro_Actividades!J:J,Registro_Actividades!F:F,B36,Registro_Actividades!B:B,A36)</f>
        <v>#NAME?</v>
      </c>
    </row>
    <row r="37" spans="3:3" x14ac:dyDescent="0.3">
      <c r="C37" t="e">
        <f ca="1">SUMAR.SI.CONJUNTO(Registro_Actividades!J:J,Registro_Actividades!F:F,B37,Registro_Actividades!B:B,A37)</f>
        <v>#NAME?</v>
      </c>
    </row>
    <row r="38" spans="3:3" x14ac:dyDescent="0.3">
      <c r="C38" t="e">
        <f ca="1">SUMAR.SI.CONJUNTO(Registro_Actividades!J:J,Registro_Actividades!F:F,B38,Registro_Actividades!B:B,A38)</f>
        <v>#NAME?</v>
      </c>
    </row>
    <row r="39" spans="3:3" x14ac:dyDescent="0.3">
      <c r="C39" t="e">
        <f ca="1">SUMAR.SI.CONJUNTO(Registro_Actividades!J:J,Registro_Actividades!F:F,B39,Registro_Actividades!B:B,A39)</f>
        <v>#NAME?</v>
      </c>
    </row>
    <row r="40" spans="3:3" x14ac:dyDescent="0.3">
      <c r="C40" t="e">
        <f ca="1">SUMAR.SI.CONJUNTO(Registro_Actividades!J:J,Registro_Actividades!F:F,B40,Registro_Actividades!B:B,A40)</f>
        <v>#NAME?</v>
      </c>
    </row>
    <row r="41" spans="3:3" x14ac:dyDescent="0.3">
      <c r="C41" t="e">
        <f ca="1">SUMAR.SI.CONJUNTO(Registro_Actividades!J:J,Registro_Actividades!F:F,B41,Registro_Actividades!B:B,A41)</f>
        <v>#NAME?</v>
      </c>
    </row>
    <row r="42" spans="3:3" x14ac:dyDescent="0.3">
      <c r="C42" t="e">
        <f ca="1">SUMAR.SI.CONJUNTO(Registro_Actividades!J:J,Registro_Actividades!F:F,B42,Registro_Actividades!B:B,A42)</f>
        <v>#NAME?</v>
      </c>
    </row>
    <row r="43" spans="3:3" x14ac:dyDescent="0.3">
      <c r="C43" t="e">
        <f ca="1">SUMAR.SI.CONJUNTO(Registro_Actividades!J:J,Registro_Actividades!F:F,B43,Registro_Actividades!B:B,A43)</f>
        <v>#NAME?</v>
      </c>
    </row>
    <row r="44" spans="3:3" x14ac:dyDescent="0.3">
      <c r="C44" t="e">
        <f ca="1">SUMAR.SI.CONJUNTO(Registro_Actividades!J:J,Registro_Actividades!F:F,B44,Registro_Actividades!B:B,A44)</f>
        <v>#NAME?</v>
      </c>
    </row>
    <row r="45" spans="3:3" x14ac:dyDescent="0.3">
      <c r="C45" t="e">
        <f ca="1">SUMAR.SI.CONJUNTO(Registro_Actividades!J:J,Registro_Actividades!F:F,B45,Registro_Actividades!B:B,A45)</f>
        <v>#NAME?</v>
      </c>
    </row>
    <row r="46" spans="3:3" x14ac:dyDescent="0.3">
      <c r="C46" t="e">
        <f ca="1">SUMAR.SI.CONJUNTO(Registro_Actividades!J:J,Registro_Actividades!F:F,B46,Registro_Actividades!B:B,A46)</f>
        <v>#NAME?</v>
      </c>
    </row>
    <row r="47" spans="3:3" x14ac:dyDescent="0.3">
      <c r="C47" t="e">
        <f ca="1">SUMAR.SI.CONJUNTO(Registro_Actividades!J:J,Registro_Actividades!F:F,B47,Registro_Actividades!B:B,A47)</f>
        <v>#NAME?</v>
      </c>
    </row>
    <row r="48" spans="3:3" x14ac:dyDescent="0.3">
      <c r="C48" t="e">
        <f ca="1">SUMAR.SI.CONJUNTO(Registro_Actividades!J:J,Registro_Actividades!F:F,B48,Registro_Actividades!B:B,A48)</f>
        <v>#NAME?</v>
      </c>
    </row>
    <row r="49" spans="3:3" x14ac:dyDescent="0.3">
      <c r="C49" t="e">
        <f ca="1">SUMAR.SI.CONJUNTO(Registro_Actividades!J:J,Registro_Actividades!F:F,B49,Registro_Actividades!B:B,A49)</f>
        <v>#NAME?</v>
      </c>
    </row>
    <row r="50" spans="3:3" x14ac:dyDescent="0.3">
      <c r="C50" t="e">
        <f ca="1">SUMAR.SI.CONJUNTO(Registro_Actividades!J:J,Registro_Actividades!F:F,B50,Registro_Actividades!B:B,A50)</f>
        <v>#NAME?</v>
      </c>
    </row>
    <row r="51" spans="3:3" x14ac:dyDescent="0.3">
      <c r="C51" t="e">
        <f ca="1">SUMAR.SI.CONJUNTO(Registro_Actividades!J:J,Registro_Actividades!F:F,B51,Registro_Actividades!B:B,A51)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Registro_Actividades</vt:lpstr>
      <vt:lpstr>Control_Actividades</vt:lpstr>
      <vt:lpstr>Resumen_Semanal</vt:lpstr>
      <vt:lpstr>Resumen_Lotes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Castellanos</cp:lastModifiedBy>
  <dcterms:created xsi:type="dcterms:W3CDTF">2026-03-02T00:24:36Z</dcterms:created>
  <dcterms:modified xsi:type="dcterms:W3CDTF">2026-03-09T18:42:04Z</dcterms:modified>
</cp:coreProperties>
</file>