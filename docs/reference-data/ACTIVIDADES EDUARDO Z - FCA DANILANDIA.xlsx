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g22-my.sharepoint.com/personal/luis_castellanos_fincadanilandia_com_gt/Documents/Documentos/ASESORIA EDUARDO S/"/>
    </mc:Choice>
  </mc:AlternateContent>
  <xr:revisionPtr revIDLastSave="662" documentId="8_{2A2FF07E-46AB-4E83-A1F8-F60E358FFFA3}" xr6:coauthVersionLast="47" xr6:coauthVersionMax="47" xr10:uidLastSave="{EC0F69D6-21B3-41E6-82C6-E7ACFBE28BC3}"/>
  <bookViews>
    <workbookView xWindow="-108" yWindow="-108" windowWidth="23256" windowHeight="12456" xr2:uid="{F0DB951D-4F1E-484A-B0A5-6246D4D054FE}"/>
  </bookViews>
  <sheets>
    <sheet name="GENERAL" sheetId="13" r:id="rId1"/>
    <sheet name="VUELTA GRANDE 1" sheetId="1" r:id="rId2"/>
    <sheet name="VUELTA GRANDE 2" sheetId="12" r:id="rId3"/>
    <sheet name="CRUZ2" sheetId="2" r:id="rId4"/>
    <sheet name="CRUZ 1" sheetId="3" r:id="rId5"/>
    <sheet name="MIRASOL" sheetId="4" r:id="rId6"/>
    <sheet name="CANOA 1" sheetId="5" r:id="rId7"/>
    <sheet name="CANOA 2" sheetId="11" r:id="rId8"/>
    <sheet name="CAÑADA" sheetId="6" r:id="rId9"/>
    <sheet name="CORONA" sheetId="7" r:id="rId10"/>
    <sheet name="ARENERA" sheetId="8" r:id="rId11"/>
    <sheet name="GALERA" sheetId="9" r:id="rId12"/>
    <sheet name="SAN EMILIANO CRUZ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" i="2" l="1"/>
  <c r="AX24" i="1"/>
  <c r="AN17" i="1"/>
  <c r="AW23" i="1" l="1"/>
  <c r="Q23" i="1"/>
  <c r="I23" i="1"/>
  <c r="E23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U23" i="1" s="1"/>
  <c r="R22" i="1"/>
  <c r="Q22" i="1"/>
  <c r="P22" i="1"/>
  <c r="O22" i="1"/>
  <c r="N22" i="1"/>
  <c r="M22" i="1"/>
  <c r="L22" i="1"/>
  <c r="K22" i="1"/>
  <c r="J22" i="1"/>
  <c r="M23" i="1" s="1"/>
  <c r="I22" i="1"/>
  <c r="H22" i="1"/>
  <c r="G22" i="1"/>
  <c r="F22" i="1"/>
  <c r="E22" i="1"/>
  <c r="D22" i="1"/>
  <c r="C22" i="1"/>
  <c r="B22" i="1"/>
  <c r="AX6" i="1"/>
  <c r="AX14" i="1"/>
  <c r="AX9" i="1"/>
  <c r="AX21" i="1"/>
  <c r="AX20" i="1"/>
  <c r="AX19" i="1"/>
  <c r="AX18" i="1"/>
  <c r="AX17" i="1"/>
  <c r="AX16" i="1"/>
  <c r="AX15" i="1"/>
  <c r="AX13" i="1"/>
  <c r="AX12" i="1"/>
  <c r="AX11" i="1"/>
  <c r="AX10" i="1"/>
  <c r="AX8" i="1"/>
  <c r="AX7" i="1"/>
  <c r="AY24" i="13"/>
  <c r="AX25" i="13"/>
  <c r="AX22" i="13"/>
  <c r="AP22" i="13"/>
  <c r="AW21" i="13"/>
  <c r="AY21" i="13" s="1"/>
  <c r="AW20" i="13"/>
  <c r="AY20" i="13" s="1"/>
  <c r="AW19" i="13"/>
  <c r="AX19" i="13" s="1"/>
  <c r="AW18" i="13"/>
  <c r="AX18" i="13" s="1"/>
  <c r="AW17" i="13"/>
  <c r="AY17" i="13" s="1"/>
  <c r="AW16" i="13"/>
  <c r="AX16" i="13" s="1"/>
  <c r="AQ16" i="13"/>
  <c r="AW15" i="13"/>
  <c r="AX15" i="13" s="1"/>
  <c r="AW14" i="13"/>
  <c r="AX14" i="13" s="1"/>
  <c r="AW13" i="13"/>
  <c r="AY13" i="13" s="1"/>
  <c r="AW12" i="13"/>
  <c r="AY12" i="13" s="1"/>
  <c r="AQ11" i="13"/>
  <c r="AW11" i="13" s="1"/>
  <c r="AQ10" i="13"/>
  <c r="AQ22" i="13" s="1"/>
  <c r="D25" i="13"/>
  <c r="E25" i="13"/>
  <c r="AG16" i="13"/>
  <c r="AF22" i="13"/>
  <c r="AM21" i="13"/>
  <c r="AO21" i="13" s="1"/>
  <c r="AM20" i="13"/>
  <c r="AO20" i="13" s="1"/>
  <c r="AO19" i="13"/>
  <c r="AM19" i="13"/>
  <c r="AN19" i="13" s="1"/>
  <c r="AM18" i="13"/>
  <c r="AN18" i="13" s="1"/>
  <c r="AM17" i="13"/>
  <c r="AO17" i="13" s="1"/>
  <c r="AM16" i="13"/>
  <c r="AN16" i="13" s="1"/>
  <c r="AM15" i="13"/>
  <c r="AN15" i="13" s="1"/>
  <c r="AM14" i="13"/>
  <c r="AO14" i="13" s="1"/>
  <c r="AM13" i="13"/>
  <c r="AO13" i="13" s="1"/>
  <c r="AM12" i="13"/>
  <c r="AO12" i="13" s="1"/>
  <c r="AG11" i="13"/>
  <c r="AM11" i="13" s="1"/>
  <c r="AG10" i="13"/>
  <c r="AM10" i="13" s="1"/>
  <c r="W22" i="13"/>
  <c r="AD10" i="13"/>
  <c r="AC22" i="13"/>
  <c r="AC21" i="13"/>
  <c r="AC20" i="13"/>
  <c r="AC19" i="13"/>
  <c r="AD19" i="13" s="1"/>
  <c r="AC18" i="13"/>
  <c r="AE18" i="13" s="1"/>
  <c r="AC17" i="13"/>
  <c r="AE17" i="13" s="1"/>
  <c r="AC16" i="13"/>
  <c r="AC15" i="13"/>
  <c r="AE15" i="13" s="1"/>
  <c r="AC14" i="13"/>
  <c r="AD14" i="13" s="1"/>
  <c r="AC13" i="13"/>
  <c r="AE13" i="13" s="1"/>
  <c r="AC12" i="13"/>
  <c r="AE12" i="13" s="1"/>
  <c r="AC11" i="13"/>
  <c r="AE11" i="13" s="1"/>
  <c r="AC10" i="13"/>
  <c r="AD16" i="13"/>
  <c r="AE10" i="13"/>
  <c r="V22" i="13"/>
  <c r="AD22" i="13" s="1"/>
  <c r="AD21" i="13"/>
  <c r="AE20" i="13"/>
  <c r="AD20" i="13"/>
  <c r="AD17" i="13"/>
  <c r="W11" i="13"/>
  <c r="W10" i="13"/>
  <c r="L22" i="13"/>
  <c r="S22" i="13"/>
  <c r="U20" i="13"/>
  <c r="T20" i="13"/>
  <c r="U19" i="13"/>
  <c r="T19" i="13"/>
  <c r="U18" i="13"/>
  <c r="T18" i="13"/>
  <c r="U17" i="13"/>
  <c r="T17" i="13"/>
  <c r="T16" i="13"/>
  <c r="U15" i="13"/>
  <c r="T15" i="13"/>
  <c r="U14" i="13"/>
  <c r="T14" i="13"/>
  <c r="U13" i="13"/>
  <c r="T13" i="13"/>
  <c r="U12" i="13"/>
  <c r="T12" i="13"/>
  <c r="U11" i="13"/>
  <c r="T11" i="13"/>
  <c r="M11" i="13"/>
  <c r="U10" i="13"/>
  <c r="T10" i="13"/>
  <c r="M10" i="13"/>
  <c r="B25" i="13"/>
  <c r="K22" i="13"/>
  <c r="J10" i="13"/>
  <c r="J21" i="13"/>
  <c r="J20" i="13"/>
  <c r="J19" i="13"/>
  <c r="J18" i="13"/>
  <c r="J17" i="13"/>
  <c r="J16" i="13"/>
  <c r="J15" i="13"/>
  <c r="J14" i="13"/>
  <c r="J13" i="13"/>
  <c r="J12" i="13"/>
  <c r="J11" i="13"/>
  <c r="B22" i="13"/>
  <c r="K12" i="13"/>
  <c r="K13" i="13"/>
  <c r="K14" i="13"/>
  <c r="K15" i="13"/>
  <c r="K17" i="13"/>
  <c r="K18" i="13"/>
  <c r="K19" i="13"/>
  <c r="K20" i="13"/>
  <c r="I21" i="13"/>
  <c r="K21" i="13" s="1"/>
  <c r="C11" i="13"/>
  <c r="K11" i="13" s="1"/>
  <c r="C10" i="13"/>
  <c r="K10" i="13" s="1"/>
  <c r="I2" i="13"/>
  <c r="I2" i="1"/>
  <c r="E2" i="1"/>
  <c r="F2" i="1" s="1"/>
  <c r="G2" i="1" s="1"/>
  <c r="H2" i="1" s="1"/>
  <c r="D2" i="1"/>
  <c r="AS23" i="1" l="1"/>
  <c r="AC23" i="1"/>
  <c r="AK23" i="1"/>
  <c r="AX23" i="1"/>
  <c r="AX22" i="1"/>
  <c r="AO23" i="1"/>
  <c r="AG23" i="1"/>
  <c r="Y23" i="1"/>
  <c r="AY19" i="13"/>
  <c r="AY15" i="13"/>
  <c r="AY18" i="13"/>
  <c r="AY14" i="13"/>
  <c r="AX11" i="13"/>
  <c r="AY11" i="13"/>
  <c r="AX13" i="13"/>
  <c r="AX17" i="13"/>
  <c r="AX21" i="13"/>
  <c r="AW10" i="13"/>
  <c r="AX20" i="13"/>
  <c r="AX12" i="13"/>
  <c r="AO15" i="13"/>
  <c r="AO11" i="13"/>
  <c r="AN11" i="13"/>
  <c r="AN10" i="13"/>
  <c r="AM22" i="13"/>
  <c r="AO10" i="13"/>
  <c r="AN21" i="13"/>
  <c r="AN20" i="13"/>
  <c r="AN17" i="13"/>
  <c r="AN13" i="13"/>
  <c r="AG22" i="13"/>
  <c r="AN14" i="13"/>
  <c r="AO18" i="13"/>
  <c r="AN12" i="13"/>
  <c r="AE19" i="13"/>
  <c r="AD18" i="13"/>
  <c r="AD11" i="13"/>
  <c r="AD12" i="13"/>
  <c r="AE14" i="13"/>
  <c r="AD15" i="13"/>
  <c r="AD13" i="13"/>
  <c r="AE21" i="13"/>
  <c r="T21" i="13"/>
  <c r="U21" i="13"/>
  <c r="U22" i="13" s="1"/>
  <c r="I22" i="13"/>
  <c r="AW22" i="13" l="1"/>
  <c r="AY10" i="13"/>
  <c r="AY22" i="13" s="1"/>
  <c r="F25" i="13" s="1"/>
  <c r="AX10" i="13"/>
  <c r="AO22" i="13"/>
  <c r="AN22" i="13" s="1"/>
  <c r="AE2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tc={977C0BA7-BBA8-40E0-99E2-33B8768F429C}</author>
  </authors>
  <commentList>
    <comment ref="A12" authorId="0" shapeId="0" xr:uid="{977C0BA7-BBA8-40E0-99E2-33B8768F42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realiza diariamente como actividad de protocolo por staff de la finca</t>
      </text>
    </comment>
  </commentList>
</comments>
</file>

<file path=xl/sharedStrings.xml><?xml version="1.0" encoding="utf-8"?>
<sst xmlns="http://schemas.openxmlformats.org/spreadsheetml/2006/main" count="464" uniqueCount="79">
  <si>
    <t>LOTE</t>
  </si>
  <si>
    <t>VUELTA GRANDE</t>
  </si>
  <si>
    <t>CORONA</t>
  </si>
  <si>
    <t>CR</t>
  </si>
  <si>
    <t>AREA</t>
  </si>
  <si>
    <t>DENSIDAD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</si>
  <si>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</si>
  <si>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</si>
  <si>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</si>
  <si>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</si>
  <si>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</si>
  <si>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</si>
  <si>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</si>
  <si>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</si>
  <si>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</si>
  <si>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</si>
  <si>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</si>
  <si>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</si>
  <si>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Poda y debajerado</t>
  </si>
  <si>
    <t>Cosecha</t>
  </si>
  <si>
    <t>Deshije</t>
  </si>
  <si>
    <t>Manejo de sombra</t>
  </si>
  <si>
    <t>Chapea y desbejucar</t>
  </si>
  <si>
    <t>Herbicida</t>
  </si>
  <si>
    <t xml:space="preserve">Monitoreo de Plagas y enfermedades </t>
  </si>
  <si>
    <t>Control Roya</t>
  </si>
  <si>
    <t xml:space="preserve">Analisis de Suelos y foliar </t>
  </si>
  <si>
    <t xml:space="preserve">Fertilización Foliar </t>
  </si>
  <si>
    <t>Enmiendas</t>
  </si>
  <si>
    <t xml:space="preserve">Fertilización al Suelo </t>
  </si>
  <si>
    <t>Siembras nuevas</t>
  </si>
  <si>
    <t>Resiembra</t>
  </si>
  <si>
    <t xml:space="preserve">Mantenimiento de Caminos, beneficio, veredas </t>
  </si>
  <si>
    <t xml:space="preserve">Hechura de almacigo </t>
  </si>
  <si>
    <t>Terrazas</t>
  </si>
  <si>
    <t>3500 pl/mz</t>
  </si>
  <si>
    <t>3888 pl/mz</t>
  </si>
  <si>
    <t>1er. Estimado libras por planta 26/27</t>
  </si>
  <si>
    <t>Total por area</t>
  </si>
  <si>
    <t>qq oro por lote</t>
  </si>
  <si>
    <t>qq oro por manzana</t>
  </si>
  <si>
    <t>qq maduro por manzana</t>
  </si>
  <si>
    <t>TARGET /qq maduro por manzana</t>
  </si>
  <si>
    <t>INGRESO POR MZ</t>
  </si>
  <si>
    <t>PROMEDIO DE PRODUCCION</t>
  </si>
  <si>
    <t>qq oror por mz</t>
  </si>
  <si>
    <t>precio prom/lb</t>
  </si>
  <si>
    <t>Total</t>
  </si>
  <si>
    <t>VG1</t>
  </si>
  <si>
    <t>VG2</t>
  </si>
  <si>
    <t>CRUZ2</t>
  </si>
  <si>
    <t>CRUZ1</t>
  </si>
  <si>
    <t>MIRASOL</t>
  </si>
  <si>
    <t>CANOA 1</t>
  </si>
  <si>
    <t>CANOA2</t>
  </si>
  <si>
    <t>CAÑADA</t>
  </si>
  <si>
    <t>SAN EMILIANO</t>
  </si>
  <si>
    <t>GALERA</t>
  </si>
  <si>
    <t>Pl/lote</t>
  </si>
  <si>
    <t>lb/pl</t>
  </si>
  <si>
    <t>ARENERA</t>
  </si>
  <si>
    <t>1 EST</t>
  </si>
  <si>
    <t>2 EST</t>
  </si>
  <si>
    <t>3EST</t>
  </si>
  <si>
    <t>4EST</t>
  </si>
  <si>
    <t>lb/ planta final</t>
  </si>
  <si>
    <t>FINAL</t>
  </si>
  <si>
    <t>qq oro / mz</t>
  </si>
  <si>
    <t>qq maduro / lote</t>
  </si>
  <si>
    <t>qq oro / lote</t>
  </si>
  <si>
    <t>Area (mz)</t>
  </si>
  <si>
    <t>promedio por año qq oro</t>
  </si>
  <si>
    <t>JORNALES SEMANALES</t>
  </si>
  <si>
    <t>JORNALES POR MES</t>
  </si>
  <si>
    <t>TOTAL JORNALES POR ACTIVIDAD</t>
  </si>
  <si>
    <t>1 EST (24/2/2026)</t>
  </si>
  <si>
    <t xml:space="preserve">1 EST </t>
  </si>
  <si>
    <t>JORNALES POR MANZANA</t>
  </si>
  <si>
    <t>RECOMENDACIÓN ANACAFE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</si>
</sst>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USD]\ * #,##0.00_-;\-[$USD]\ * #,##0.00_-;_-[$USD]\ 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color theme="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3" xfId="0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3" borderId="22" xfId="0" applyFill="1" applyBorder="1"/>
    <xf numFmtId="0" fontId="0" fillId="4" borderId="21" xfId="0" applyFill="1" applyBorder="1"/>
    <xf numFmtId="0" fontId="0" fillId="4" borderId="23" xfId="0" applyFill="1" applyBorder="1"/>
    <xf numFmtId="0" fontId="0" fillId="4" borderId="24" xfId="0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5" borderId="31" xfId="0" applyFill="1" applyBorder="1"/>
    <xf numFmtId="0" fontId="0" fillId="5" borderId="28" xfId="0" applyFill="1" applyBorder="1"/>
    <xf numFmtId="0" fontId="0" fillId="0" borderId="32" xfId="0" applyBorder="1"/>
    <xf numFmtId="0" fontId="0" fillId="6" borderId="15" xfId="0" applyFill="1" applyBorder="1"/>
    <xf numFmtId="0" fontId="0" fillId="6" borderId="16" xfId="0" applyFill="1" applyBorder="1"/>
    <xf numFmtId="0" fontId="0" fillId="6" borderId="14" xfId="0" applyFill="1" applyBorder="1"/>
    <xf numFmtId="0" fontId="0" fillId="6" borderId="17" xfId="0" applyFill="1" applyBorder="1"/>
    <xf numFmtId="0" fontId="0" fillId="6" borderId="18" xfId="0" applyFill="1" applyBorder="1"/>
    <xf numFmtId="0" fontId="0" fillId="7" borderId="20" xfId="0" applyFill="1" applyBorder="1"/>
    <xf numFmtId="0" fontId="0" fillId="7" borderId="21" xfId="0" applyFill="1" applyBorder="1"/>
    <xf numFmtId="0" fontId="0" fillId="7" borderId="22" xfId="0" applyFill="1" applyBorder="1"/>
    <xf numFmtId="0" fontId="0" fillId="7" borderId="23" xfId="0" applyFill="1" applyBorder="1"/>
    <xf numFmtId="0" fontId="0" fillId="8" borderId="19" xfId="0" applyFill="1" applyBorder="1"/>
    <xf numFmtId="0" fontId="0" fillId="8" borderId="20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24" xfId="0" applyFill="1" applyBorder="1"/>
    <xf numFmtId="0" fontId="0" fillId="8" borderId="25" xfId="0" applyFill="1" applyBorder="1"/>
    <xf numFmtId="0" fontId="0" fillId="9" borderId="16" xfId="0" applyFill="1" applyBorder="1"/>
    <xf numFmtId="0" fontId="0" fillId="9" borderId="14" xfId="0" applyFill="1" applyBorder="1"/>
    <xf numFmtId="0" fontId="0" fillId="9" borderId="15" xfId="0" applyFill="1" applyBorder="1"/>
    <xf numFmtId="0" fontId="0" fillId="9" borderId="18" xfId="0" applyFill="1" applyBorder="1"/>
    <xf numFmtId="0" fontId="0" fillId="10" borderId="20" xfId="0" applyFill="1" applyBorder="1"/>
    <xf numFmtId="0" fontId="0" fillId="10" borderId="21" xfId="0" applyFill="1" applyBorder="1"/>
    <xf numFmtId="0" fontId="0" fillId="9" borderId="24" xfId="0" applyFill="1" applyBorder="1"/>
    <xf numFmtId="0" fontId="0" fillId="9" borderId="21" xfId="0" applyFill="1" applyBorder="1"/>
    <xf numFmtId="0" fontId="0" fillId="11" borderId="17" xfId="0" applyFill="1" applyBorder="1"/>
    <xf numFmtId="0" fontId="0" fillId="11" borderId="18" xfId="0" applyFill="1" applyBorder="1"/>
    <xf numFmtId="0" fontId="0" fillId="11" borderId="15" xfId="0" applyFill="1" applyBorder="1"/>
    <xf numFmtId="0" fontId="0" fillId="11" borderId="16" xfId="0" applyFill="1" applyBorder="1"/>
    <xf numFmtId="0" fontId="0" fillId="11" borderId="14" xfId="0" applyFill="1" applyBorder="1"/>
    <xf numFmtId="0" fontId="0" fillId="12" borderId="20" xfId="0" applyFill="1" applyBorder="1"/>
    <xf numFmtId="0" fontId="0" fillId="12" borderId="21" xfId="0" applyFill="1" applyBorder="1"/>
    <xf numFmtId="0" fontId="0" fillId="12" borderId="23" xfId="0" applyFill="1" applyBorder="1"/>
    <xf numFmtId="0" fontId="0" fillId="12" borderId="24" xfId="0" applyFill="1" applyBorder="1"/>
    <xf numFmtId="0" fontId="0" fillId="12" borderId="14" xfId="0" applyFill="1" applyBorder="1"/>
    <xf numFmtId="0" fontId="0" fillId="12" borderId="15" xfId="0" applyFill="1" applyBorder="1"/>
    <xf numFmtId="0" fontId="0" fillId="12" borderId="17" xfId="0" applyFill="1" applyBorder="1"/>
    <xf numFmtId="0" fontId="0" fillId="12" borderId="18" xfId="0" applyFill="1" applyBorder="1"/>
    <xf numFmtId="0" fontId="0" fillId="13" borderId="24" xfId="0" applyFill="1" applyBorder="1"/>
    <xf numFmtId="0" fontId="0" fillId="13" borderId="21" xfId="0" applyFill="1" applyBorder="1"/>
    <xf numFmtId="0" fontId="0" fillId="13" borderId="22" xfId="0" applyFill="1" applyBorder="1"/>
    <xf numFmtId="0" fontId="0" fillId="14" borderId="20" xfId="0" applyFill="1" applyBorder="1"/>
    <xf numFmtId="0" fontId="0" fillId="14" borderId="21" xfId="0" applyFill="1" applyBorder="1"/>
    <xf numFmtId="0" fontId="0" fillId="14" borderId="22" xfId="0" applyFill="1" applyBorder="1"/>
    <xf numFmtId="0" fontId="0" fillId="0" borderId="0" xfId="0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35" xfId="0" applyBorder="1"/>
    <xf numFmtId="0" fontId="0" fillId="0" borderId="35" xfId="0" applyBorder="1" applyAlignment="1">
      <alignment horizontal="center"/>
    </xf>
    <xf numFmtId="1" fontId="0" fillId="0" borderId="35" xfId="0" applyNumberFormat="1" applyBorder="1"/>
    <xf numFmtId="2" fontId="0" fillId="0" borderId="35" xfId="0" applyNumberFormat="1" applyBorder="1"/>
    <xf numFmtId="0" fontId="0" fillId="0" borderId="35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right" vertical="center"/>
    </xf>
    <xf numFmtId="2" fontId="0" fillId="0" borderId="15" xfId="0" applyNumberFormat="1" applyBorder="1"/>
    <xf numFmtId="1" fontId="1" fillId="0" borderId="0" xfId="0" applyNumberFormat="1" applyFont="1"/>
    <xf numFmtId="2" fontId="1" fillId="0" borderId="15" xfId="0" applyNumberFormat="1" applyFont="1" applyBorder="1"/>
    <xf numFmtId="0" fontId="1" fillId="0" borderId="35" xfId="0" applyFont="1" applyBorder="1"/>
    <xf numFmtId="1" fontId="0" fillId="0" borderId="35" xfId="0" applyNumberFormat="1" applyBorder="1" applyAlignment="1">
      <alignment vertical="center"/>
    </xf>
    <xf numFmtId="2" fontId="0" fillId="0" borderId="35" xfId="0" applyNumberFormat="1" applyBorder="1" applyAlignment="1">
      <alignment vertical="center"/>
    </xf>
    <xf numFmtId="0" fontId="1" fillId="0" borderId="0" xfId="0" applyFont="1"/>
    <xf numFmtId="1" fontId="0" fillId="0" borderId="15" xfId="0" applyNumberFormat="1" applyBorder="1" applyAlignment="1">
      <alignment vertical="center"/>
    </xf>
    <xf numFmtId="0" fontId="0" fillId="2" borderId="34" xfId="0" applyFill="1" applyBorder="1"/>
    <xf numFmtId="0" fontId="0" fillId="2" borderId="25" xfId="0" applyFill="1" applyBorder="1"/>
    <xf numFmtId="0" fontId="0" fillId="2" borderId="33" xfId="0" applyFill="1" applyBorder="1"/>
    <xf numFmtId="0" fontId="0" fillId="0" borderId="33" xfId="0" applyBorder="1"/>
    <xf numFmtId="0" fontId="3" fillId="6" borderId="23" xfId="0" applyFont="1" applyFill="1" applyBorder="1"/>
    <xf numFmtId="0" fontId="0" fillId="5" borderId="34" xfId="0" applyFill="1" applyBorder="1"/>
    <xf numFmtId="0" fontId="0" fillId="5" borderId="20" xfId="0" applyFill="1" applyBorder="1"/>
    <xf numFmtId="0" fontId="0" fillId="2" borderId="23" xfId="0" applyFill="1" applyBorder="1"/>
    <xf numFmtId="0" fontId="2" fillId="0" borderId="35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9" xfId="0" applyFont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13" borderId="40" xfId="0" applyFill="1" applyBorder="1"/>
    <xf numFmtId="0" fontId="0" fillId="13" borderId="41" xfId="0" applyFill="1" applyBorder="1"/>
    <xf numFmtId="0" fontId="0" fillId="0" borderId="45" xfId="0" applyBorder="1"/>
    <xf numFmtId="0" fontId="0" fillId="15" borderId="24" xfId="0" applyFill="1" applyBorder="1"/>
    <xf numFmtId="0" fontId="0" fillId="15" borderId="21" xfId="0" applyFill="1" applyBorder="1"/>
    <xf numFmtId="0" fontId="0" fillId="15" borderId="20" xfId="0" applyFill="1" applyBorder="1"/>
    <xf numFmtId="0" fontId="0" fillId="16" borderId="21" xfId="0" applyFill="1" applyBorder="1"/>
    <xf numFmtId="0" fontId="0" fillId="17" borderId="21" xfId="0" applyFill="1" applyBorder="1"/>
    <xf numFmtId="0" fontId="0" fillId="18" borderId="15" xfId="0" applyFill="1" applyBorder="1"/>
    <xf numFmtId="165" fontId="0" fillId="0" borderId="0" xfId="0" applyNumberFormat="1"/>
    <xf numFmtId="0" fontId="3" fillId="6" borderId="16" xfId="0" applyFont="1" applyFill="1" applyBorder="1"/>
    <xf numFmtId="0" fontId="0" fillId="19" borderId="24" xfId="0" applyFill="1" applyBorder="1"/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 Castellanos" id="{F221CF68-AE72-4AAA-AD56-063C8FC71A46}" userId="S::luis.castellanos@fincadanilandia.com.gt::490e782e-c199-4dfb-a2b1-38bd928a03f4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6-02-25T01:23:22.20" personId="{F221CF68-AE72-4AAA-AD56-063C8FC71A46}" id="{977C0BA7-BBA8-40E0-99E2-33B8768F429C}">
    <text>Se realiza diariamente como actividad de protocolo por staff de la finca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C872-B6CE-46F5-BC76-9709A5567C7C}">
  <dimension ref="A1:AY25"/>
  <sheetViews>
    <sheetView tabSelected="1" workbookViewId="0">
      <pane xSplit="1" topLeftCell="B1" activePane="topRight" state="frozen"/>
      <selection activeCell="A4" sqref="A4"/>
      <selection pane="topRight" activeCell="G5" sqref="G5"/>
    </sheetView>
  </sheetViews>
  <sheetFormatPr baseColWidth="10" defaultRowHeight="14.4" x14ac:dyDescent="0.3"/>
  <cols>
    <col min="1" max="1" width="24.6640625" bestFit="1" customWidth="1"/>
    <col min="2" max="2" width="9" bestFit="1" customWidth="1"/>
    <col min="3" max="6" width="7.88671875" customWidth="1"/>
    <col min="7" max="7" width="12.77734375" bestFit="1" customWidth="1"/>
    <col min="8" max="8" width="12.44140625" customWidth="1"/>
    <col min="9" max="9" width="13.88671875" bestFit="1" customWidth="1"/>
    <col min="10" max="10" width="9.6640625" bestFit="1" customWidth="1"/>
    <col min="11" max="11" width="12.5546875" customWidth="1"/>
    <col min="14" max="15" width="5.21875" bestFit="1" customWidth="1"/>
    <col min="16" max="17" width="4.88671875" bestFit="1" customWidth="1"/>
    <col min="18" max="18" width="12.21875" bestFit="1" customWidth="1"/>
    <col min="24" max="24" width="15" bestFit="1" customWidth="1"/>
    <col min="25" max="25" width="5.21875" bestFit="1" customWidth="1"/>
    <col min="26" max="27" width="4.88671875" bestFit="1" customWidth="1"/>
    <col min="29" max="29" width="13.88671875" bestFit="1" customWidth="1"/>
    <col min="30" max="30" width="9.6640625" bestFit="1" customWidth="1"/>
    <col min="31" max="31" width="10.33203125" bestFit="1" customWidth="1"/>
    <col min="34" max="34" width="5.5546875" bestFit="1" customWidth="1"/>
  </cols>
  <sheetData>
    <row r="1" spans="1:51" x14ac:dyDescent="0.3">
      <c r="C1" t="s">
        <v>45</v>
      </c>
      <c r="G1" t="s">
        <v>46</v>
      </c>
      <c r="I1" t="s">
        <v>47</v>
      </c>
    </row>
    <row r="2" spans="1:51" x14ac:dyDescent="0.3">
      <c r="A2" t="s">
        <v>44</v>
      </c>
      <c r="C2">
        <v>25</v>
      </c>
      <c r="G2" s="90">
        <v>2.8</v>
      </c>
      <c r="H2" s="90"/>
      <c r="I2" s="90">
        <f>+G2*C2*100</f>
        <v>7000</v>
      </c>
      <c r="J2" s="90"/>
    </row>
    <row r="7" spans="1:51" x14ac:dyDescent="0.3">
      <c r="A7" s="92"/>
      <c r="B7" s="92"/>
      <c r="C7" s="141">
        <v>2425</v>
      </c>
      <c r="D7" s="141"/>
      <c r="E7" s="141"/>
      <c r="F7" s="141"/>
      <c r="G7" s="141"/>
      <c r="H7" s="141"/>
      <c r="I7" s="141"/>
      <c r="J7" s="141"/>
      <c r="K7" s="141"/>
      <c r="L7" s="138">
        <v>2526</v>
      </c>
      <c r="M7" s="139"/>
      <c r="N7" s="139"/>
      <c r="O7" s="139"/>
      <c r="P7" s="139"/>
      <c r="Q7" s="139"/>
      <c r="R7" s="139"/>
      <c r="S7" s="139"/>
      <c r="T7" s="139"/>
      <c r="U7" s="140"/>
      <c r="V7" s="138">
        <v>2627</v>
      </c>
      <c r="W7" s="139"/>
      <c r="X7" s="139"/>
      <c r="Y7" s="139"/>
      <c r="Z7" s="139"/>
      <c r="AA7" s="139"/>
      <c r="AB7" s="139"/>
      <c r="AC7" s="139"/>
      <c r="AD7" s="139"/>
      <c r="AE7" s="140"/>
      <c r="AF7" s="138">
        <v>2728</v>
      </c>
      <c r="AG7" s="139"/>
      <c r="AH7" s="139"/>
      <c r="AI7" s="139"/>
      <c r="AJ7" s="139"/>
      <c r="AK7" s="139"/>
      <c r="AL7" s="139"/>
      <c r="AM7" s="139"/>
      <c r="AN7" s="139"/>
      <c r="AO7" s="140"/>
      <c r="AP7" s="138">
        <v>2829</v>
      </c>
      <c r="AQ7" s="139"/>
      <c r="AR7" s="139"/>
      <c r="AS7" s="139"/>
      <c r="AT7" s="139"/>
      <c r="AU7" s="139"/>
      <c r="AV7" s="139"/>
      <c r="AW7" s="139"/>
      <c r="AX7" s="139"/>
      <c r="AY7" s="140"/>
    </row>
    <row r="8" spans="1:51" x14ac:dyDescent="0.3">
      <c r="A8" s="92"/>
      <c r="B8" s="92"/>
      <c r="C8" s="93"/>
      <c r="D8" s="92" t="s">
        <v>59</v>
      </c>
      <c r="E8" s="92" t="s">
        <v>59</v>
      </c>
      <c r="F8" s="92" t="s">
        <v>59</v>
      </c>
      <c r="G8" s="92" t="s">
        <v>59</v>
      </c>
      <c r="H8" s="92" t="s">
        <v>65</v>
      </c>
      <c r="I8" s="93"/>
      <c r="J8" s="93"/>
      <c r="K8" s="93"/>
      <c r="L8" s="92"/>
      <c r="M8" s="93"/>
      <c r="N8" s="92" t="s">
        <v>59</v>
      </c>
      <c r="O8" s="92" t="s">
        <v>59</v>
      </c>
      <c r="P8" s="92" t="s">
        <v>59</v>
      </c>
      <c r="Q8" s="92" t="s">
        <v>59</v>
      </c>
      <c r="R8" s="92" t="s">
        <v>65</v>
      </c>
      <c r="S8" s="93"/>
      <c r="T8" s="93"/>
      <c r="U8" s="93"/>
      <c r="V8" s="92"/>
      <c r="W8" s="93"/>
      <c r="X8" s="92" t="s">
        <v>59</v>
      </c>
      <c r="Y8" s="92" t="s">
        <v>59</v>
      </c>
      <c r="Z8" s="92" t="s">
        <v>59</v>
      </c>
      <c r="AA8" s="92" t="s">
        <v>59</v>
      </c>
      <c r="AB8" s="92" t="s">
        <v>65</v>
      </c>
      <c r="AC8" s="93"/>
      <c r="AD8" s="93"/>
      <c r="AE8" s="93"/>
      <c r="AF8" s="92"/>
      <c r="AG8" s="93"/>
      <c r="AH8" s="92" t="s">
        <v>59</v>
      </c>
      <c r="AI8" s="92" t="s">
        <v>59</v>
      </c>
      <c r="AJ8" s="92" t="s">
        <v>59</v>
      </c>
      <c r="AK8" s="92" t="s">
        <v>59</v>
      </c>
      <c r="AL8" s="92" t="s">
        <v>65</v>
      </c>
      <c r="AM8" s="93"/>
      <c r="AN8" s="93"/>
      <c r="AO8" s="93"/>
      <c r="AP8" s="92"/>
      <c r="AQ8" s="93"/>
      <c r="AR8" s="92" t="s">
        <v>59</v>
      </c>
      <c r="AS8" s="92" t="s">
        <v>59</v>
      </c>
      <c r="AT8" s="92" t="s">
        <v>59</v>
      </c>
      <c r="AU8" s="92" t="s">
        <v>59</v>
      </c>
      <c r="AV8" s="92" t="s">
        <v>65</v>
      </c>
      <c r="AW8" s="93"/>
      <c r="AX8" s="93"/>
      <c r="AY8" s="93"/>
    </row>
    <row r="9" spans="1:51" x14ac:dyDescent="0.3">
      <c r="A9" s="102" t="s">
        <v>0</v>
      </c>
      <c r="B9" s="102" t="s">
        <v>70</v>
      </c>
      <c r="C9" s="92" t="s">
        <v>58</v>
      </c>
      <c r="D9" s="92" t="s">
        <v>61</v>
      </c>
      <c r="E9" s="92" t="s">
        <v>62</v>
      </c>
      <c r="F9" s="92" t="s">
        <v>63</v>
      </c>
      <c r="G9" s="92" t="s">
        <v>64</v>
      </c>
      <c r="H9" s="92" t="s">
        <v>66</v>
      </c>
      <c r="I9" s="97" t="s">
        <v>68</v>
      </c>
      <c r="J9" s="97" t="s">
        <v>67</v>
      </c>
      <c r="K9" s="97" t="s">
        <v>69</v>
      </c>
      <c r="L9" s="102" t="s">
        <v>70</v>
      </c>
      <c r="M9" s="92" t="s">
        <v>58</v>
      </c>
      <c r="N9" s="92" t="s">
        <v>61</v>
      </c>
      <c r="O9" s="92" t="s">
        <v>62</v>
      </c>
      <c r="P9" s="92" t="s">
        <v>63</v>
      </c>
      <c r="Q9" s="92" t="s">
        <v>64</v>
      </c>
      <c r="R9" s="92" t="s">
        <v>66</v>
      </c>
      <c r="S9" s="97" t="s">
        <v>68</v>
      </c>
      <c r="T9" s="97" t="s">
        <v>67</v>
      </c>
      <c r="U9" s="97" t="s">
        <v>69</v>
      </c>
      <c r="V9" s="102" t="s">
        <v>70</v>
      </c>
      <c r="W9" s="92" t="s">
        <v>58</v>
      </c>
      <c r="X9" s="92" t="s">
        <v>75</v>
      </c>
      <c r="Y9" s="92" t="s">
        <v>62</v>
      </c>
      <c r="Z9" s="92" t="s">
        <v>63</v>
      </c>
      <c r="AA9" s="92" t="s">
        <v>64</v>
      </c>
      <c r="AB9" s="92" t="s">
        <v>66</v>
      </c>
      <c r="AC9" s="97" t="s">
        <v>68</v>
      </c>
      <c r="AD9" s="97" t="s">
        <v>67</v>
      </c>
      <c r="AE9" s="97" t="s">
        <v>69</v>
      </c>
      <c r="AF9" s="102" t="s">
        <v>70</v>
      </c>
      <c r="AG9" s="92" t="s">
        <v>58</v>
      </c>
      <c r="AH9" s="92" t="s">
        <v>76</v>
      </c>
      <c r="AI9" s="92" t="s">
        <v>62</v>
      </c>
      <c r="AJ9" s="92" t="s">
        <v>63</v>
      </c>
      <c r="AK9" s="92" t="s">
        <v>64</v>
      </c>
      <c r="AL9" s="92" t="s">
        <v>66</v>
      </c>
      <c r="AM9" s="97" t="s">
        <v>68</v>
      </c>
      <c r="AN9" s="97" t="s">
        <v>67</v>
      </c>
      <c r="AO9" s="97" t="s">
        <v>69</v>
      </c>
      <c r="AP9" s="102" t="s">
        <v>70</v>
      </c>
      <c r="AQ9" s="92" t="s">
        <v>58</v>
      </c>
      <c r="AR9" s="92" t="s">
        <v>61</v>
      </c>
      <c r="AS9" s="92" t="s">
        <v>62</v>
      </c>
      <c r="AT9" s="92" t="s">
        <v>63</v>
      </c>
      <c r="AU9" s="92" t="s">
        <v>64</v>
      </c>
      <c r="AV9" s="92" t="s">
        <v>66</v>
      </c>
      <c r="AW9" s="97" t="s">
        <v>68</v>
      </c>
      <c r="AX9" s="97" t="s">
        <v>67</v>
      </c>
      <c r="AY9" s="97" t="s">
        <v>69</v>
      </c>
    </row>
    <row r="10" spans="1:51" x14ac:dyDescent="0.3">
      <c r="A10" s="102" t="s">
        <v>48</v>
      </c>
      <c r="B10" s="102">
        <v>10</v>
      </c>
      <c r="C10" s="92">
        <f>3500*10</f>
        <v>35000</v>
      </c>
      <c r="D10" s="92"/>
      <c r="E10" s="92"/>
      <c r="F10" s="92"/>
      <c r="G10" s="92"/>
      <c r="H10" s="92"/>
      <c r="I10" s="103">
        <v>37</v>
      </c>
      <c r="J10" s="104">
        <f>+(I10/6)/B10</f>
        <v>0.6166666666666667</v>
      </c>
      <c r="K10" s="95">
        <f t="shared" ref="K10:K15" si="0">+I10/6</f>
        <v>6.166666666666667</v>
      </c>
      <c r="L10" s="102">
        <v>10</v>
      </c>
      <c r="M10" s="92">
        <f>3500*10</f>
        <v>35000</v>
      </c>
      <c r="N10" s="92"/>
      <c r="O10" s="92"/>
      <c r="P10" s="92"/>
      <c r="Q10" s="92"/>
      <c r="R10" s="92"/>
      <c r="S10" s="103"/>
      <c r="T10" s="104">
        <f>+(S10/6)/L10</f>
        <v>0</v>
      </c>
      <c r="U10" s="95">
        <f t="shared" ref="U10:U15" si="1">+S10/6</f>
        <v>0</v>
      </c>
      <c r="V10" s="102">
        <v>10</v>
      </c>
      <c r="W10" s="92">
        <f>3500*10</f>
        <v>35000</v>
      </c>
      <c r="X10" s="92">
        <v>1.33</v>
      </c>
      <c r="Y10" s="92"/>
      <c r="Z10" s="92"/>
      <c r="AA10" s="92"/>
      <c r="AB10" s="92"/>
      <c r="AC10" s="103">
        <f>+X10*W10/100</f>
        <v>465.5</v>
      </c>
      <c r="AD10" s="104">
        <f>+(AC10/6)/V10</f>
        <v>7.7583333333333329</v>
      </c>
      <c r="AE10" s="95">
        <f t="shared" ref="AE10:AE15" si="2">+AC10/6</f>
        <v>77.583333333333329</v>
      </c>
      <c r="AF10" s="102">
        <v>10</v>
      </c>
      <c r="AG10" s="92">
        <f>3500*10</f>
        <v>35000</v>
      </c>
      <c r="AH10" s="92">
        <v>2.83</v>
      </c>
      <c r="AI10" s="92"/>
      <c r="AJ10" s="92"/>
      <c r="AK10" s="92"/>
      <c r="AL10" s="92"/>
      <c r="AM10" s="103">
        <f>+AH10*AG10/100</f>
        <v>990.5</v>
      </c>
      <c r="AN10" s="104">
        <f>+(AM10/6)/AF10</f>
        <v>16.508333333333333</v>
      </c>
      <c r="AO10" s="95">
        <f t="shared" ref="AO10:AO15" si="3">+AM10/6</f>
        <v>165.08333333333334</v>
      </c>
      <c r="AP10" s="102">
        <v>10</v>
      </c>
      <c r="AQ10" s="92">
        <f>3500*10</f>
        <v>35000</v>
      </c>
      <c r="AR10" s="92">
        <v>0</v>
      </c>
      <c r="AS10" s="92"/>
      <c r="AT10" s="92"/>
      <c r="AU10" s="92"/>
      <c r="AV10" s="92"/>
      <c r="AW10" s="103">
        <f>+AR10*AQ10/100</f>
        <v>0</v>
      </c>
      <c r="AX10" s="104">
        <f>+(AW10/6)/AP10</f>
        <v>0</v>
      </c>
      <c r="AY10" s="95">
        <f t="shared" ref="AY10:AY15" si="4">+AW10/6</f>
        <v>0</v>
      </c>
    </row>
    <row r="11" spans="1:51" x14ac:dyDescent="0.3">
      <c r="A11" s="102" t="s">
        <v>49</v>
      </c>
      <c r="B11" s="102">
        <v>5</v>
      </c>
      <c r="C11" s="92">
        <f>3500*5</f>
        <v>17500</v>
      </c>
      <c r="D11" s="92"/>
      <c r="E11" s="92"/>
      <c r="F11" s="92"/>
      <c r="G11" s="92"/>
      <c r="H11" s="92"/>
      <c r="I11" s="103"/>
      <c r="J11" s="104">
        <f t="shared" ref="J11:J21" si="5">+(I11/6)/B11</f>
        <v>0</v>
      </c>
      <c r="K11" s="95">
        <f t="shared" si="0"/>
        <v>0</v>
      </c>
      <c r="L11" s="102">
        <v>5</v>
      </c>
      <c r="M11" s="92">
        <f>3500*5</f>
        <v>17500</v>
      </c>
      <c r="N11" s="92"/>
      <c r="O11" s="92"/>
      <c r="P11" s="92"/>
      <c r="Q11" s="92"/>
      <c r="R11" s="92"/>
      <c r="S11" s="103"/>
      <c r="T11" s="104">
        <f t="shared" ref="T11:T21" si="6">+(S11/6)/L11</f>
        <v>0</v>
      </c>
      <c r="U11" s="95">
        <f t="shared" si="1"/>
        <v>0</v>
      </c>
      <c r="V11" s="102">
        <v>5</v>
      </c>
      <c r="W11" s="92">
        <f>3500*5</f>
        <v>17500</v>
      </c>
      <c r="X11" s="92">
        <v>2.16</v>
      </c>
      <c r="Y11" s="92"/>
      <c r="Z11" s="92"/>
      <c r="AA11" s="92"/>
      <c r="AB11" s="92"/>
      <c r="AC11" s="103">
        <f t="shared" ref="AC11:AC21" si="7">+X11*W11/100</f>
        <v>378</v>
      </c>
      <c r="AD11" s="104">
        <f t="shared" ref="AD11:AD21" si="8">+(AC11/6)/V11</f>
        <v>12.6</v>
      </c>
      <c r="AE11" s="95">
        <f t="shared" si="2"/>
        <v>63</v>
      </c>
      <c r="AF11" s="102">
        <v>5</v>
      </c>
      <c r="AG11" s="92">
        <f>3500*5</f>
        <v>17500</v>
      </c>
      <c r="AH11" s="92">
        <v>2.83</v>
      </c>
      <c r="AI11" s="92"/>
      <c r="AJ11" s="92"/>
      <c r="AK11" s="92"/>
      <c r="AL11" s="92"/>
      <c r="AM11" s="103">
        <f t="shared" ref="AM11:AM21" si="9">+AH11*AG11/100</f>
        <v>495.25</v>
      </c>
      <c r="AN11" s="104">
        <f t="shared" ref="AN11:AN21" si="10">+(AM11/6)/AF11</f>
        <v>16.508333333333333</v>
      </c>
      <c r="AO11" s="95">
        <f t="shared" si="3"/>
        <v>82.541666666666671</v>
      </c>
      <c r="AP11" s="102">
        <v>5</v>
      </c>
      <c r="AQ11" s="92">
        <f>3500*5</f>
        <v>17500</v>
      </c>
      <c r="AR11" s="92">
        <v>3.5</v>
      </c>
      <c r="AS11" s="92"/>
      <c r="AT11" s="92"/>
      <c r="AU11" s="92"/>
      <c r="AV11" s="92"/>
      <c r="AW11" s="103">
        <f t="shared" ref="AW11:AW21" si="11">+AR11*AQ11/100</f>
        <v>612.5</v>
      </c>
      <c r="AX11" s="104">
        <f t="shared" ref="AX11:AX21" si="12">+(AW11/6)/AP11</f>
        <v>20.416666666666664</v>
      </c>
      <c r="AY11" s="95">
        <f t="shared" si="4"/>
        <v>102.08333333333333</v>
      </c>
    </row>
    <row r="12" spans="1:51" x14ac:dyDescent="0.3">
      <c r="A12" s="102" t="s">
        <v>50</v>
      </c>
      <c r="B12" s="102">
        <v>12</v>
      </c>
      <c r="C12" s="92">
        <v>57737</v>
      </c>
      <c r="D12" s="92"/>
      <c r="E12" s="92"/>
      <c r="F12" s="92"/>
      <c r="G12" s="92"/>
      <c r="H12" s="92"/>
      <c r="I12" s="94">
        <v>237</v>
      </c>
      <c r="J12" s="104">
        <f t="shared" si="5"/>
        <v>3.2916666666666665</v>
      </c>
      <c r="K12" s="95">
        <f t="shared" si="0"/>
        <v>39.5</v>
      </c>
      <c r="L12" s="102">
        <v>12</v>
      </c>
      <c r="M12" s="92">
        <v>57737</v>
      </c>
      <c r="N12" s="92"/>
      <c r="O12" s="92"/>
      <c r="P12" s="92"/>
      <c r="Q12" s="92"/>
      <c r="R12" s="92"/>
      <c r="S12" s="94"/>
      <c r="T12" s="104">
        <f t="shared" si="6"/>
        <v>0</v>
      </c>
      <c r="U12" s="95">
        <f t="shared" si="1"/>
        <v>0</v>
      </c>
      <c r="V12" s="102">
        <v>12</v>
      </c>
      <c r="W12" s="92">
        <v>57737</v>
      </c>
      <c r="X12" s="92">
        <v>1.83</v>
      </c>
      <c r="Y12" s="92"/>
      <c r="Z12" s="92"/>
      <c r="AA12" s="92"/>
      <c r="AB12" s="92"/>
      <c r="AC12" s="103">
        <f t="shared" si="7"/>
        <v>1056.5871</v>
      </c>
      <c r="AD12" s="104">
        <f t="shared" si="8"/>
        <v>14.674820833333333</v>
      </c>
      <c r="AE12" s="95">
        <f t="shared" si="2"/>
        <v>176.09784999999999</v>
      </c>
      <c r="AF12" s="102">
        <v>12</v>
      </c>
      <c r="AG12" s="92">
        <v>57737</v>
      </c>
      <c r="AH12" s="92">
        <v>3.5</v>
      </c>
      <c r="AI12" s="92"/>
      <c r="AJ12" s="92"/>
      <c r="AK12" s="92"/>
      <c r="AL12" s="92"/>
      <c r="AM12" s="103">
        <f t="shared" si="9"/>
        <v>2020.7950000000001</v>
      </c>
      <c r="AN12" s="104">
        <f t="shared" si="10"/>
        <v>28.066597222222224</v>
      </c>
      <c r="AO12" s="95">
        <f t="shared" si="3"/>
        <v>336.79916666666668</v>
      </c>
      <c r="AP12" s="102">
        <v>12</v>
      </c>
      <c r="AQ12" s="92">
        <v>57737</v>
      </c>
      <c r="AR12" s="92">
        <v>3.5</v>
      </c>
      <c r="AS12" s="92"/>
      <c r="AT12" s="92"/>
      <c r="AU12" s="92"/>
      <c r="AV12" s="92"/>
      <c r="AW12" s="103">
        <f t="shared" si="11"/>
        <v>2020.7950000000001</v>
      </c>
      <c r="AX12" s="104">
        <f t="shared" si="12"/>
        <v>28.066597222222224</v>
      </c>
      <c r="AY12" s="95">
        <f t="shared" si="4"/>
        <v>336.79916666666668</v>
      </c>
    </row>
    <row r="13" spans="1:51" x14ac:dyDescent="0.3">
      <c r="A13" s="102" t="s">
        <v>51</v>
      </c>
      <c r="B13" s="102">
        <v>14</v>
      </c>
      <c r="C13" s="92">
        <v>64392</v>
      </c>
      <c r="D13" s="92"/>
      <c r="E13" s="92"/>
      <c r="F13" s="92"/>
      <c r="G13" s="92"/>
      <c r="H13" s="92"/>
      <c r="I13" s="94">
        <v>501.3</v>
      </c>
      <c r="J13" s="104">
        <f t="shared" si="5"/>
        <v>5.9678571428571425</v>
      </c>
      <c r="K13" s="95">
        <f t="shared" si="0"/>
        <v>83.55</v>
      </c>
      <c r="L13" s="102">
        <v>14</v>
      </c>
      <c r="M13" s="92">
        <v>64392</v>
      </c>
      <c r="N13" s="92"/>
      <c r="O13" s="92"/>
      <c r="P13" s="92"/>
      <c r="Q13" s="92"/>
      <c r="R13" s="92"/>
      <c r="S13" s="94"/>
      <c r="T13" s="104">
        <f t="shared" si="6"/>
        <v>0</v>
      </c>
      <c r="U13" s="95">
        <f t="shared" si="1"/>
        <v>0</v>
      </c>
      <c r="V13" s="102">
        <v>14</v>
      </c>
      <c r="W13" s="92">
        <v>64392</v>
      </c>
      <c r="X13" s="92">
        <v>1.83</v>
      </c>
      <c r="Y13" s="92"/>
      <c r="Z13" s="92"/>
      <c r="AA13" s="92"/>
      <c r="AB13" s="92"/>
      <c r="AC13" s="103">
        <f t="shared" si="7"/>
        <v>1178.3735999999999</v>
      </c>
      <c r="AD13" s="104">
        <f t="shared" si="8"/>
        <v>14.028257142857141</v>
      </c>
      <c r="AE13" s="95">
        <f t="shared" si="2"/>
        <v>196.39559999999997</v>
      </c>
      <c r="AF13" s="102">
        <v>14</v>
      </c>
      <c r="AG13" s="92">
        <v>64392</v>
      </c>
      <c r="AH13" s="92">
        <v>3.5</v>
      </c>
      <c r="AI13" s="92"/>
      <c r="AJ13" s="92"/>
      <c r="AK13" s="92"/>
      <c r="AL13" s="92"/>
      <c r="AM13" s="103">
        <f t="shared" si="9"/>
        <v>2253.7199999999998</v>
      </c>
      <c r="AN13" s="104">
        <f t="shared" si="10"/>
        <v>26.829999999999995</v>
      </c>
      <c r="AO13" s="95">
        <f t="shared" si="3"/>
        <v>375.61999999999995</v>
      </c>
      <c r="AP13" s="102">
        <v>14</v>
      </c>
      <c r="AQ13" s="92">
        <v>64392</v>
      </c>
      <c r="AR13" s="92">
        <v>3.5</v>
      </c>
      <c r="AS13" s="92"/>
      <c r="AT13" s="92"/>
      <c r="AU13" s="92"/>
      <c r="AV13" s="92"/>
      <c r="AW13" s="103">
        <f t="shared" si="11"/>
        <v>2253.7199999999998</v>
      </c>
      <c r="AX13" s="104">
        <f t="shared" si="12"/>
        <v>26.829999999999995</v>
      </c>
      <c r="AY13" s="95">
        <f t="shared" si="4"/>
        <v>375.61999999999995</v>
      </c>
    </row>
    <row r="14" spans="1:51" x14ac:dyDescent="0.3">
      <c r="A14" s="102" t="s">
        <v>52</v>
      </c>
      <c r="B14" s="102">
        <v>7</v>
      </c>
      <c r="C14" s="92">
        <v>24318</v>
      </c>
      <c r="D14" s="92"/>
      <c r="E14" s="92"/>
      <c r="F14" s="92"/>
      <c r="G14" s="92"/>
      <c r="H14" s="92"/>
      <c r="I14" s="94">
        <v>227.55</v>
      </c>
      <c r="J14" s="104">
        <f t="shared" si="5"/>
        <v>5.4178571428571436</v>
      </c>
      <c r="K14" s="95">
        <f t="shared" si="0"/>
        <v>37.925000000000004</v>
      </c>
      <c r="L14" s="102">
        <v>7</v>
      </c>
      <c r="M14" s="92">
        <v>24318</v>
      </c>
      <c r="N14" s="92"/>
      <c r="O14" s="92"/>
      <c r="P14" s="92"/>
      <c r="Q14" s="92"/>
      <c r="R14" s="92"/>
      <c r="S14" s="94"/>
      <c r="T14" s="104">
        <f t="shared" si="6"/>
        <v>0</v>
      </c>
      <c r="U14" s="95">
        <f t="shared" si="1"/>
        <v>0</v>
      </c>
      <c r="V14" s="102">
        <v>7</v>
      </c>
      <c r="W14" s="92">
        <v>24318</v>
      </c>
      <c r="X14" s="92">
        <v>2.5</v>
      </c>
      <c r="Y14" s="92"/>
      <c r="Z14" s="92"/>
      <c r="AA14" s="92"/>
      <c r="AB14" s="92"/>
      <c r="AC14" s="103">
        <f t="shared" si="7"/>
        <v>607.95000000000005</v>
      </c>
      <c r="AD14" s="104">
        <f t="shared" si="8"/>
        <v>14.475</v>
      </c>
      <c r="AE14" s="95">
        <f t="shared" si="2"/>
        <v>101.325</v>
      </c>
      <c r="AF14" s="102">
        <v>7</v>
      </c>
      <c r="AG14" s="92">
        <v>24318</v>
      </c>
      <c r="AH14" s="92">
        <v>3.83</v>
      </c>
      <c r="AI14" s="92"/>
      <c r="AJ14" s="92"/>
      <c r="AK14" s="92"/>
      <c r="AL14" s="92"/>
      <c r="AM14" s="103">
        <f t="shared" si="9"/>
        <v>931.37940000000003</v>
      </c>
      <c r="AN14" s="104">
        <f t="shared" si="10"/>
        <v>22.175700000000003</v>
      </c>
      <c r="AO14" s="95">
        <f t="shared" si="3"/>
        <v>155.22990000000001</v>
      </c>
      <c r="AP14" s="102">
        <v>7</v>
      </c>
      <c r="AQ14" s="92">
        <v>24318</v>
      </c>
      <c r="AR14" s="92">
        <v>3.5</v>
      </c>
      <c r="AS14" s="92"/>
      <c r="AT14" s="92"/>
      <c r="AU14" s="92"/>
      <c r="AV14" s="92"/>
      <c r="AW14" s="103">
        <f t="shared" si="11"/>
        <v>851.13</v>
      </c>
      <c r="AX14" s="104">
        <f t="shared" si="12"/>
        <v>20.264999999999997</v>
      </c>
      <c r="AY14" s="95">
        <f t="shared" si="4"/>
        <v>141.85499999999999</v>
      </c>
    </row>
    <row r="15" spans="1:51" x14ac:dyDescent="0.3">
      <c r="A15" s="102" t="s">
        <v>53</v>
      </c>
      <c r="B15" s="102">
        <v>18</v>
      </c>
      <c r="C15" s="96">
        <v>67116</v>
      </c>
      <c r="D15" s="98"/>
      <c r="E15" s="98"/>
      <c r="F15" s="98"/>
      <c r="G15" s="92"/>
      <c r="H15" s="92"/>
      <c r="I15" s="103">
        <v>253.83</v>
      </c>
      <c r="J15" s="104">
        <f t="shared" si="5"/>
        <v>2.3502777777777779</v>
      </c>
      <c r="K15" s="95">
        <f t="shared" si="0"/>
        <v>42.305</v>
      </c>
      <c r="L15" s="102">
        <v>18</v>
      </c>
      <c r="M15" s="96">
        <v>67116</v>
      </c>
      <c r="N15" s="98"/>
      <c r="O15" s="98"/>
      <c r="P15" s="98"/>
      <c r="Q15" s="92"/>
      <c r="R15" s="92"/>
      <c r="S15" s="103"/>
      <c r="T15" s="104">
        <f t="shared" si="6"/>
        <v>0</v>
      </c>
      <c r="U15" s="95">
        <f t="shared" si="1"/>
        <v>0</v>
      </c>
      <c r="V15" s="102">
        <v>7</v>
      </c>
      <c r="W15" s="96">
        <v>67116</v>
      </c>
      <c r="X15" s="98">
        <v>1.83</v>
      </c>
      <c r="Y15" s="98"/>
      <c r="Z15" s="98"/>
      <c r="AA15" s="92"/>
      <c r="AB15" s="92"/>
      <c r="AC15" s="103">
        <f t="shared" si="7"/>
        <v>1228.2228</v>
      </c>
      <c r="AD15" s="104">
        <f t="shared" si="8"/>
        <v>29.243400000000001</v>
      </c>
      <c r="AE15" s="95">
        <f t="shared" si="2"/>
        <v>204.7038</v>
      </c>
      <c r="AF15" s="102">
        <v>7</v>
      </c>
      <c r="AG15" s="96">
        <v>67116</v>
      </c>
      <c r="AH15" s="98">
        <v>3.5</v>
      </c>
      <c r="AI15" s="98"/>
      <c r="AJ15" s="98"/>
      <c r="AK15" s="92"/>
      <c r="AL15" s="92"/>
      <c r="AM15" s="103">
        <f t="shared" si="9"/>
        <v>2349.06</v>
      </c>
      <c r="AN15" s="104">
        <f t="shared" si="10"/>
        <v>55.93</v>
      </c>
      <c r="AO15" s="95">
        <f t="shared" si="3"/>
        <v>391.51</v>
      </c>
      <c r="AP15" s="102">
        <v>7</v>
      </c>
      <c r="AQ15" s="96">
        <v>67116</v>
      </c>
      <c r="AR15" s="92">
        <v>3.5</v>
      </c>
      <c r="AS15" s="98"/>
      <c r="AT15" s="98"/>
      <c r="AU15" s="92"/>
      <c r="AV15" s="92"/>
      <c r="AW15" s="103">
        <f t="shared" si="11"/>
        <v>2349.06</v>
      </c>
      <c r="AX15" s="104">
        <f t="shared" si="12"/>
        <v>55.93</v>
      </c>
      <c r="AY15" s="95">
        <f t="shared" si="4"/>
        <v>391.51</v>
      </c>
    </row>
    <row r="16" spans="1:51" x14ac:dyDescent="0.3">
      <c r="A16" s="102" t="s">
        <v>54</v>
      </c>
      <c r="B16" s="102">
        <v>7</v>
      </c>
      <c r="C16" s="96"/>
      <c r="D16" s="98"/>
      <c r="E16" s="98"/>
      <c r="F16" s="98"/>
      <c r="G16" s="92"/>
      <c r="H16" s="92"/>
      <c r="I16" s="103"/>
      <c r="J16" s="104">
        <f t="shared" si="5"/>
        <v>0</v>
      </c>
      <c r="K16" s="95"/>
      <c r="L16" s="102">
        <v>7</v>
      </c>
      <c r="M16" s="96"/>
      <c r="N16" s="98"/>
      <c r="O16" s="98"/>
      <c r="P16" s="98"/>
      <c r="Q16" s="92"/>
      <c r="R16" s="92"/>
      <c r="S16" s="103"/>
      <c r="T16" s="104">
        <f t="shared" si="6"/>
        <v>0</v>
      </c>
      <c r="U16" s="95"/>
      <c r="V16" s="102">
        <v>18</v>
      </c>
      <c r="W16" s="96"/>
      <c r="X16" s="98">
        <v>0</v>
      </c>
      <c r="Y16" s="98"/>
      <c r="Z16" s="98"/>
      <c r="AA16" s="92"/>
      <c r="AB16" s="92"/>
      <c r="AC16" s="103">
        <f t="shared" si="7"/>
        <v>0</v>
      </c>
      <c r="AD16" s="104">
        <f t="shared" si="8"/>
        <v>0</v>
      </c>
      <c r="AE16" s="95"/>
      <c r="AF16" s="102">
        <v>18</v>
      </c>
      <c r="AG16" s="96">
        <f>4375*AF16</f>
        <v>78750</v>
      </c>
      <c r="AH16" s="98">
        <v>0.25</v>
      </c>
      <c r="AI16" s="98"/>
      <c r="AJ16" s="98"/>
      <c r="AK16" s="92"/>
      <c r="AL16" s="92"/>
      <c r="AM16" s="103">
        <f t="shared" si="9"/>
        <v>196.875</v>
      </c>
      <c r="AN16" s="104">
        <f t="shared" si="10"/>
        <v>1.8229166666666667</v>
      </c>
      <c r="AO16" s="95"/>
      <c r="AP16" s="102">
        <v>18</v>
      </c>
      <c r="AQ16" s="96">
        <f>4375*AP16</f>
        <v>78750</v>
      </c>
      <c r="AR16" s="92">
        <v>6</v>
      </c>
      <c r="AS16" s="98"/>
      <c r="AT16" s="98"/>
      <c r="AU16" s="92"/>
      <c r="AV16" s="92"/>
      <c r="AW16" s="103">
        <f t="shared" si="11"/>
        <v>4725</v>
      </c>
      <c r="AX16" s="104">
        <f t="shared" si="12"/>
        <v>43.75</v>
      </c>
      <c r="AY16" s="95"/>
    </row>
    <row r="17" spans="1:51" x14ac:dyDescent="0.3">
      <c r="A17" s="102" t="s">
        <v>55</v>
      </c>
      <c r="B17" s="102">
        <v>13</v>
      </c>
      <c r="C17" s="92">
        <v>67583</v>
      </c>
      <c r="D17" s="92"/>
      <c r="E17" s="92"/>
      <c r="F17" s="92"/>
      <c r="G17" s="92"/>
      <c r="H17" s="92"/>
      <c r="I17" s="94">
        <v>164.2</v>
      </c>
      <c r="J17" s="104">
        <f t="shared" si="5"/>
        <v>2.1051282051282048</v>
      </c>
      <c r="K17" s="95">
        <f>+I17/6</f>
        <v>27.366666666666664</v>
      </c>
      <c r="L17" s="102">
        <v>13</v>
      </c>
      <c r="M17" s="92">
        <v>67583</v>
      </c>
      <c r="N17" s="92"/>
      <c r="O17" s="92"/>
      <c r="P17" s="92"/>
      <c r="Q17" s="92"/>
      <c r="R17" s="92"/>
      <c r="S17" s="94"/>
      <c r="T17" s="104">
        <f t="shared" si="6"/>
        <v>0</v>
      </c>
      <c r="U17" s="95">
        <f>+S17/6</f>
        <v>0</v>
      </c>
      <c r="V17" s="102">
        <v>13</v>
      </c>
      <c r="W17" s="92">
        <v>67583</v>
      </c>
      <c r="X17" s="92">
        <v>1.83</v>
      </c>
      <c r="Y17" s="92"/>
      <c r="Z17" s="92"/>
      <c r="AA17" s="92"/>
      <c r="AB17" s="92"/>
      <c r="AC17" s="103">
        <f t="shared" si="7"/>
        <v>1236.7689</v>
      </c>
      <c r="AD17" s="104">
        <f t="shared" si="8"/>
        <v>15.856011538461539</v>
      </c>
      <c r="AE17" s="95">
        <f>+AC17/6</f>
        <v>206.12815000000001</v>
      </c>
      <c r="AF17" s="102">
        <v>13</v>
      </c>
      <c r="AG17" s="92">
        <v>67583</v>
      </c>
      <c r="AH17" s="92">
        <v>2.5</v>
      </c>
      <c r="AI17" s="92"/>
      <c r="AJ17" s="92"/>
      <c r="AK17" s="92"/>
      <c r="AL17" s="92"/>
      <c r="AM17" s="103">
        <f t="shared" si="9"/>
        <v>1689.575</v>
      </c>
      <c r="AN17" s="104">
        <f t="shared" si="10"/>
        <v>21.661217948717951</v>
      </c>
      <c r="AO17" s="95">
        <f>+AM17/6</f>
        <v>281.59583333333336</v>
      </c>
      <c r="AP17" s="102">
        <v>13</v>
      </c>
      <c r="AQ17" s="92">
        <v>67583</v>
      </c>
      <c r="AR17" s="92">
        <v>3.5</v>
      </c>
      <c r="AS17" s="92"/>
      <c r="AT17" s="92"/>
      <c r="AU17" s="92"/>
      <c r="AV17" s="92"/>
      <c r="AW17" s="103">
        <f t="shared" si="11"/>
        <v>2365.4050000000002</v>
      </c>
      <c r="AX17" s="104">
        <f t="shared" si="12"/>
        <v>30.325705128205129</v>
      </c>
      <c r="AY17" s="95">
        <f>+AW17/6</f>
        <v>394.23416666666668</v>
      </c>
    </row>
    <row r="18" spans="1:51" x14ac:dyDescent="0.3">
      <c r="A18" s="102" t="s">
        <v>2</v>
      </c>
      <c r="B18" s="102">
        <v>16</v>
      </c>
      <c r="C18" s="92">
        <v>73273</v>
      </c>
      <c r="D18" s="92"/>
      <c r="E18" s="92"/>
      <c r="F18" s="92"/>
      <c r="G18" s="92"/>
      <c r="H18" s="92"/>
      <c r="I18" s="94">
        <v>344.25</v>
      </c>
      <c r="J18" s="104">
        <f t="shared" si="5"/>
        <v>3.5859375</v>
      </c>
      <c r="K18" s="95">
        <f>+I18/6</f>
        <v>57.375</v>
      </c>
      <c r="L18" s="102">
        <v>16</v>
      </c>
      <c r="M18" s="92">
        <v>73273</v>
      </c>
      <c r="N18" s="92"/>
      <c r="O18" s="92"/>
      <c r="P18" s="92"/>
      <c r="Q18" s="92"/>
      <c r="R18" s="92"/>
      <c r="S18" s="94"/>
      <c r="T18" s="104">
        <f t="shared" si="6"/>
        <v>0</v>
      </c>
      <c r="U18" s="95">
        <f>+S18/6</f>
        <v>0</v>
      </c>
      <c r="V18" s="102">
        <v>16</v>
      </c>
      <c r="W18" s="92">
        <v>73273</v>
      </c>
      <c r="X18" s="92">
        <v>2.8</v>
      </c>
      <c r="Y18" s="92"/>
      <c r="Z18" s="92"/>
      <c r="AA18" s="92"/>
      <c r="AB18" s="92"/>
      <c r="AC18" s="103">
        <f t="shared" si="7"/>
        <v>2051.6439999999998</v>
      </c>
      <c r="AD18" s="104">
        <f t="shared" si="8"/>
        <v>21.371291666666664</v>
      </c>
      <c r="AE18" s="95">
        <f>+AC18/6</f>
        <v>341.94066666666663</v>
      </c>
      <c r="AF18" s="102">
        <v>16</v>
      </c>
      <c r="AG18" s="92">
        <v>73273</v>
      </c>
      <c r="AH18" s="92">
        <v>3.5</v>
      </c>
      <c r="AI18" s="92"/>
      <c r="AJ18" s="92"/>
      <c r="AK18" s="92"/>
      <c r="AL18" s="92"/>
      <c r="AM18" s="103">
        <f t="shared" si="9"/>
        <v>2564.5549999999998</v>
      </c>
      <c r="AN18" s="104">
        <f t="shared" si="10"/>
        <v>26.71411458333333</v>
      </c>
      <c r="AO18" s="95">
        <f>+AM18/6</f>
        <v>427.42583333333329</v>
      </c>
      <c r="AP18" s="102">
        <v>16</v>
      </c>
      <c r="AQ18" s="92">
        <v>73273</v>
      </c>
      <c r="AR18" s="92">
        <v>3.5</v>
      </c>
      <c r="AS18" s="92"/>
      <c r="AT18" s="92"/>
      <c r="AU18" s="92"/>
      <c r="AV18" s="92"/>
      <c r="AW18" s="103">
        <f t="shared" si="11"/>
        <v>2564.5549999999998</v>
      </c>
      <c r="AX18" s="104">
        <f t="shared" si="12"/>
        <v>26.71411458333333</v>
      </c>
      <c r="AY18" s="95">
        <f>+AW18/6</f>
        <v>427.42583333333329</v>
      </c>
    </row>
    <row r="19" spans="1:51" x14ac:dyDescent="0.3">
      <c r="A19" s="102" t="s">
        <v>60</v>
      </c>
      <c r="B19" s="102">
        <v>23</v>
      </c>
      <c r="C19" s="92">
        <v>95041</v>
      </c>
      <c r="D19" s="92"/>
      <c r="E19" s="92"/>
      <c r="F19" s="92"/>
      <c r="G19" s="92"/>
      <c r="H19" s="92"/>
      <c r="I19" s="94">
        <v>331.35</v>
      </c>
      <c r="J19" s="104">
        <f t="shared" si="5"/>
        <v>2.401086956521739</v>
      </c>
      <c r="K19" s="95">
        <f>+I19/6</f>
        <v>55.225000000000001</v>
      </c>
      <c r="L19" s="102">
        <v>23</v>
      </c>
      <c r="M19" s="92">
        <v>95041</v>
      </c>
      <c r="N19" s="92"/>
      <c r="O19" s="92"/>
      <c r="P19" s="92"/>
      <c r="Q19" s="92"/>
      <c r="R19" s="92"/>
      <c r="S19" s="94"/>
      <c r="T19" s="104">
        <f t="shared" si="6"/>
        <v>0</v>
      </c>
      <c r="U19" s="95">
        <f>+S19/6</f>
        <v>0</v>
      </c>
      <c r="V19" s="102">
        <v>23</v>
      </c>
      <c r="W19" s="92">
        <v>95041</v>
      </c>
      <c r="X19" s="92">
        <v>2.8</v>
      </c>
      <c r="Y19" s="92"/>
      <c r="Z19" s="92"/>
      <c r="AA19" s="92"/>
      <c r="AB19" s="92"/>
      <c r="AC19" s="103">
        <f t="shared" si="7"/>
        <v>2661.1479999999997</v>
      </c>
      <c r="AD19" s="104">
        <f t="shared" si="8"/>
        <v>19.28368115942029</v>
      </c>
      <c r="AE19" s="95">
        <f>+AC19/6</f>
        <v>443.52466666666663</v>
      </c>
      <c r="AF19" s="102">
        <v>23</v>
      </c>
      <c r="AG19" s="92">
        <v>95041</v>
      </c>
      <c r="AH19" s="92">
        <v>3.5</v>
      </c>
      <c r="AI19" s="92"/>
      <c r="AJ19" s="92"/>
      <c r="AK19" s="92"/>
      <c r="AL19" s="92"/>
      <c r="AM19" s="103">
        <f t="shared" si="9"/>
        <v>3326.4349999999999</v>
      </c>
      <c r="AN19" s="104">
        <f t="shared" si="10"/>
        <v>24.104601449275364</v>
      </c>
      <c r="AO19" s="95">
        <f>+AM19/6</f>
        <v>554.40583333333336</v>
      </c>
      <c r="AP19" s="102">
        <v>23</v>
      </c>
      <c r="AQ19" s="92">
        <v>95041</v>
      </c>
      <c r="AR19" s="92">
        <v>3.5</v>
      </c>
      <c r="AS19" s="92"/>
      <c r="AT19" s="92"/>
      <c r="AU19" s="92"/>
      <c r="AV19" s="92"/>
      <c r="AW19" s="103">
        <f t="shared" si="11"/>
        <v>3326.4349999999999</v>
      </c>
      <c r="AX19" s="104">
        <f t="shared" si="12"/>
        <v>24.104601449275364</v>
      </c>
      <c r="AY19" s="95">
        <f>+AW19/6</f>
        <v>554.40583333333336</v>
      </c>
    </row>
    <row r="20" spans="1:51" x14ac:dyDescent="0.3">
      <c r="A20" s="102" t="s">
        <v>56</v>
      </c>
      <c r="B20" s="102">
        <v>16</v>
      </c>
      <c r="C20" s="92">
        <v>41037</v>
      </c>
      <c r="D20" s="92"/>
      <c r="E20" s="92"/>
      <c r="F20" s="92"/>
      <c r="G20" s="92"/>
      <c r="H20" s="92"/>
      <c r="I20" s="94">
        <v>494.95</v>
      </c>
      <c r="J20" s="104">
        <f t="shared" si="5"/>
        <v>5.1557291666666663</v>
      </c>
      <c r="K20" s="95">
        <f>+I20/6</f>
        <v>82.49166666666666</v>
      </c>
      <c r="L20" s="102">
        <v>16</v>
      </c>
      <c r="M20" s="92">
        <v>41037</v>
      </c>
      <c r="N20" s="92"/>
      <c r="O20" s="92"/>
      <c r="P20" s="92"/>
      <c r="Q20" s="92"/>
      <c r="R20" s="92"/>
      <c r="S20" s="94"/>
      <c r="T20" s="104">
        <f t="shared" si="6"/>
        <v>0</v>
      </c>
      <c r="U20" s="95">
        <f>+S20/6</f>
        <v>0</v>
      </c>
      <c r="V20" s="102">
        <v>16</v>
      </c>
      <c r="W20" s="92">
        <v>41037</v>
      </c>
      <c r="X20" s="92">
        <v>2</v>
      </c>
      <c r="Y20" s="92"/>
      <c r="Z20" s="92"/>
      <c r="AA20" s="92"/>
      <c r="AB20" s="92"/>
      <c r="AC20" s="103">
        <f t="shared" si="7"/>
        <v>820.74</v>
      </c>
      <c r="AD20" s="104">
        <f t="shared" si="8"/>
        <v>8.5493749999999995</v>
      </c>
      <c r="AE20" s="95">
        <f>+AC20/6</f>
        <v>136.79</v>
      </c>
      <c r="AF20" s="102">
        <v>16</v>
      </c>
      <c r="AG20" s="92">
        <v>41037</v>
      </c>
      <c r="AH20" s="92">
        <v>2.83</v>
      </c>
      <c r="AI20" s="92"/>
      <c r="AJ20" s="92"/>
      <c r="AK20" s="92"/>
      <c r="AL20" s="92"/>
      <c r="AM20" s="103">
        <f t="shared" si="9"/>
        <v>1161.3471</v>
      </c>
      <c r="AN20" s="104">
        <f t="shared" si="10"/>
        <v>12.097365625</v>
      </c>
      <c r="AO20" s="95">
        <f>+AM20/6</f>
        <v>193.55785</v>
      </c>
      <c r="AP20" s="102">
        <v>16</v>
      </c>
      <c r="AQ20" s="92">
        <v>41037</v>
      </c>
      <c r="AR20" s="92">
        <v>3.5</v>
      </c>
      <c r="AS20" s="92"/>
      <c r="AT20" s="92"/>
      <c r="AU20" s="92"/>
      <c r="AV20" s="92"/>
      <c r="AW20" s="103">
        <f t="shared" si="11"/>
        <v>1436.2950000000001</v>
      </c>
      <c r="AX20" s="104">
        <f t="shared" si="12"/>
        <v>14.961406250000001</v>
      </c>
      <c r="AY20" s="95">
        <f>+AW20/6</f>
        <v>239.38250000000002</v>
      </c>
    </row>
    <row r="21" spans="1:51" x14ac:dyDescent="0.3">
      <c r="A21" s="102" t="s">
        <v>57</v>
      </c>
      <c r="B21" s="102">
        <v>8</v>
      </c>
      <c r="C21" s="92">
        <v>33968</v>
      </c>
      <c r="D21" s="92"/>
      <c r="E21" s="92"/>
      <c r="F21" s="92"/>
      <c r="G21" s="92"/>
      <c r="H21" s="92"/>
      <c r="I21" s="94">
        <f>+C21*G21/100</f>
        <v>0</v>
      </c>
      <c r="J21" s="104">
        <f t="shared" si="5"/>
        <v>0</v>
      </c>
      <c r="K21" s="95">
        <f>+I21/6</f>
        <v>0</v>
      </c>
      <c r="L21" s="102">
        <v>8</v>
      </c>
      <c r="M21" s="92">
        <v>33968</v>
      </c>
      <c r="N21" s="92"/>
      <c r="O21" s="92"/>
      <c r="P21" s="92"/>
      <c r="Q21" s="92"/>
      <c r="R21" s="92"/>
      <c r="S21" s="94"/>
      <c r="T21" s="104">
        <f t="shared" si="6"/>
        <v>0</v>
      </c>
      <c r="U21" s="95">
        <f>+S21/6</f>
        <v>0</v>
      </c>
      <c r="V21" s="102">
        <v>8</v>
      </c>
      <c r="W21" s="92">
        <v>33968</v>
      </c>
      <c r="X21" s="92">
        <v>1.83</v>
      </c>
      <c r="Y21" s="92"/>
      <c r="Z21" s="92"/>
      <c r="AA21" s="92"/>
      <c r="AB21" s="92"/>
      <c r="AC21" s="103">
        <f t="shared" si="7"/>
        <v>621.61440000000005</v>
      </c>
      <c r="AD21" s="104">
        <f t="shared" si="8"/>
        <v>12.9503</v>
      </c>
      <c r="AE21" s="95">
        <f>+AC21/6</f>
        <v>103.6024</v>
      </c>
      <c r="AF21" s="102">
        <v>8</v>
      </c>
      <c r="AG21" s="92">
        <v>33968</v>
      </c>
      <c r="AH21" s="92">
        <v>2.83</v>
      </c>
      <c r="AI21" s="92"/>
      <c r="AJ21" s="92"/>
      <c r="AK21" s="92"/>
      <c r="AL21" s="92"/>
      <c r="AM21" s="103">
        <f t="shared" si="9"/>
        <v>961.2944</v>
      </c>
      <c r="AN21" s="104">
        <f t="shared" si="10"/>
        <v>20.026966666666667</v>
      </c>
      <c r="AO21" s="95">
        <f>+AM21/6</f>
        <v>160.21573333333333</v>
      </c>
      <c r="AP21" s="102">
        <v>8</v>
      </c>
      <c r="AQ21" s="92">
        <v>33968</v>
      </c>
      <c r="AR21" s="92">
        <v>3.5</v>
      </c>
      <c r="AS21" s="92"/>
      <c r="AT21" s="92"/>
      <c r="AU21" s="92"/>
      <c r="AV21" s="92"/>
      <c r="AW21" s="103">
        <f t="shared" si="11"/>
        <v>1188.8800000000001</v>
      </c>
      <c r="AX21" s="104">
        <f t="shared" si="12"/>
        <v>24.768333333333334</v>
      </c>
      <c r="AY21" s="95">
        <f>+AW21/6</f>
        <v>198.14666666666668</v>
      </c>
    </row>
    <row r="22" spans="1:51" x14ac:dyDescent="0.3">
      <c r="B22">
        <f>SUM(B10:B21)</f>
        <v>149</v>
      </c>
      <c r="I22" s="100">
        <f>SUM(I10:I21)</f>
        <v>2591.4299999999998</v>
      </c>
      <c r="J22" s="100"/>
      <c r="K22" s="101">
        <f>SUM(K10:K21)</f>
        <v>431.90500000000009</v>
      </c>
      <c r="L22">
        <f>SUM(L10:L21)</f>
        <v>149</v>
      </c>
      <c r="S22" s="100">
        <f>SUM(S10:S21)</f>
        <v>0</v>
      </c>
      <c r="T22" s="100"/>
      <c r="U22" s="101">
        <f>SUM(U10:U21)</f>
        <v>0</v>
      </c>
      <c r="V22">
        <f>SUM(V10:V21)</f>
        <v>149</v>
      </c>
      <c r="W22">
        <f>SUM(W10:W21)</f>
        <v>576965</v>
      </c>
      <c r="AC22" s="103">
        <f>SUM(AC10:AC21)</f>
        <v>12306.548799999999</v>
      </c>
      <c r="AD22" s="100">
        <f>+AE22/V22</f>
        <v>13.765714541387025</v>
      </c>
      <c r="AE22" s="101">
        <f>SUM(AE10:AE21)</f>
        <v>2051.0914666666667</v>
      </c>
      <c r="AF22">
        <f>SUM(AF10:AF21)</f>
        <v>149</v>
      </c>
      <c r="AG22">
        <f>SUM(AG10:AG21)</f>
        <v>655715</v>
      </c>
      <c r="AM22" s="103">
        <f>SUM(AM10:AM21)</f>
        <v>18940.785899999999</v>
      </c>
      <c r="AN22" s="100">
        <f>+AO22/AF22</f>
        <v>20.966343288590604</v>
      </c>
      <c r="AO22" s="101">
        <f>SUM(AO10:AO21)</f>
        <v>3123.98515</v>
      </c>
      <c r="AP22">
        <f>SUM(AP10:AP21)</f>
        <v>149</v>
      </c>
      <c r="AQ22">
        <f>SUM(AQ10:AQ21)</f>
        <v>655715</v>
      </c>
      <c r="AW22" s="103">
        <f>SUM(AW10:AW21)</f>
        <v>23693.775000000005</v>
      </c>
      <c r="AX22" s="100">
        <f>+AY22/AP22</f>
        <v>21.217869127516774</v>
      </c>
      <c r="AY22" s="101">
        <f>SUM(AY10:AY21)</f>
        <v>3161.4624999999996</v>
      </c>
    </row>
    <row r="23" spans="1:51" x14ac:dyDescent="0.3">
      <c r="AC23" s="106"/>
      <c r="AE23" s="99"/>
      <c r="AM23" s="106"/>
      <c r="AW23" s="106"/>
    </row>
    <row r="24" spans="1:51" x14ac:dyDescent="0.3">
      <c r="B24" s="105">
        <v>2425</v>
      </c>
      <c r="C24" s="105">
        <v>2526</v>
      </c>
      <c r="D24">
        <v>2627</v>
      </c>
      <c r="E24">
        <v>2728</v>
      </c>
      <c r="F24">
        <v>2829</v>
      </c>
      <c r="AY24">
        <f>+AY22*280</f>
        <v>885209.49999999988</v>
      </c>
    </row>
    <row r="25" spans="1:51" x14ac:dyDescent="0.3">
      <c r="A25" s="105" t="s">
        <v>71</v>
      </c>
      <c r="B25" s="91">
        <f>+K22/B22</f>
        <v>2.8986912751677858</v>
      </c>
      <c r="D25" s="91">
        <f>+AD22</f>
        <v>13.765714541387025</v>
      </c>
      <c r="E25" s="91">
        <f>+AN22</f>
        <v>20.966343288590604</v>
      </c>
      <c r="F25" s="91">
        <f>+AX22</f>
        <v>21.217869127516774</v>
      </c>
      <c r="AX25">
        <f>+AX22*6</f>
        <v>127.30721476510064</v>
      </c>
    </row>
  </sheetData>
  <mergeCells count="5">
    <mergeCell ref="AP7:AY7"/>
    <mergeCell ref="L7:U7"/>
    <mergeCell ref="V7:AE7"/>
    <mergeCell ref="AF7:AO7"/>
    <mergeCell ref="C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DFFF-73F7-477E-9EBF-E2AB6C6BF641}">
  <dimension ref="A1:AX25"/>
  <sheetViews>
    <sheetView workbookViewId="0">
      <pane xSplit="1" topLeftCell="B1" activePane="topRight" state="frozen"/>
      <selection pane="topRight" activeCell="L9" sqref="L9"/>
    </sheetView>
  </sheetViews>
  <sheetFormatPr baseColWidth="10" defaultRowHeight="14.4" x14ac:dyDescent="0.3"/>
  <cols>
    <col min="1" max="1" width="39.21875" bestFit="1" customWidth="1"/>
    <col min="2" max="2" width="13.21875" bestFit="1" customWidth="1"/>
    <col min="4" max="4" width="30.44140625" bestFit="1" customWidth="1"/>
    <col min="7" max="7" width="16.77734375" bestFit="1" customWidth="1"/>
    <col min="8" max="8" width="20.33203125" bestFit="1" customWidth="1"/>
    <col min="9" max="9" width="27.21875" bestFit="1" customWidth="1"/>
    <col min="50" max="50" width="32.6640625" bestFit="1" customWidth="1"/>
  </cols>
  <sheetData>
    <row r="1" spans="1:50" x14ac:dyDescent="0.3">
      <c r="A1" t="s">
        <v>0</v>
      </c>
      <c r="B1" t="s">
        <v>4</v>
      </c>
      <c r="C1" t="s">
        <v>5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50" x14ac:dyDescent="0.3">
      <c r="A2" t="s">
        <v>1</v>
      </c>
      <c r="B2">
        <v>10</v>
      </c>
      <c r="C2" t="s">
        <v>36</v>
      </c>
      <c r="D2">
        <f>+(4+5)/2</f>
        <v>4.5</v>
      </c>
      <c r="E2">
        <f>((3888*B2)*D2)/3</f>
        <v>58320</v>
      </c>
      <c r="F2" s="89">
        <f>+(E2/100)/6</f>
        <v>97.2</v>
      </c>
      <c r="G2" s="89">
        <f>+F2/B2</f>
        <v>9.7200000000000006</v>
      </c>
      <c r="H2" s="89">
        <f>+G2*6</f>
        <v>58.320000000000007</v>
      </c>
      <c r="I2">
        <f>25*6</f>
        <v>150</v>
      </c>
    </row>
    <row r="3" spans="1:50" ht="15" thickBot="1" x14ac:dyDescent="0.35">
      <c r="A3" t="s">
        <v>43</v>
      </c>
      <c r="B3" s="90">
        <v>7000</v>
      </c>
    </row>
    <row r="4" spans="1:50" x14ac:dyDescent="0.3">
      <c r="A4" s="1"/>
      <c r="B4" s="142" t="s">
        <v>6</v>
      </c>
      <c r="C4" s="143"/>
      <c r="D4" s="143"/>
      <c r="E4" s="144"/>
      <c r="F4" s="145" t="s">
        <v>7</v>
      </c>
      <c r="G4" s="143"/>
      <c r="H4" s="143"/>
      <c r="I4" s="146"/>
      <c r="J4" s="142" t="s">
        <v>8</v>
      </c>
      <c r="K4" s="143"/>
      <c r="L4" s="143"/>
      <c r="M4" s="144"/>
      <c r="N4" s="145" t="s">
        <v>9</v>
      </c>
      <c r="O4" s="143"/>
      <c r="P4" s="143"/>
      <c r="Q4" s="146"/>
      <c r="R4" s="142" t="s">
        <v>10</v>
      </c>
      <c r="S4" s="143"/>
      <c r="T4" s="143"/>
      <c r="U4" s="144"/>
      <c r="V4" s="145" t="s">
        <v>11</v>
      </c>
      <c r="W4" s="143"/>
      <c r="X4" s="143"/>
      <c r="Y4" s="146"/>
      <c r="Z4" s="142" t="s">
        <v>12</v>
      </c>
      <c r="AA4" s="143"/>
      <c r="AB4" s="143"/>
      <c r="AC4" s="144"/>
      <c r="AD4" s="145" t="s">
        <v>13</v>
      </c>
      <c r="AE4" s="143"/>
      <c r="AF4" s="143"/>
      <c r="AG4" s="146"/>
      <c r="AH4" s="142" t="s">
        <v>14</v>
      </c>
      <c r="AI4" s="143"/>
      <c r="AJ4" s="143"/>
      <c r="AK4" s="144"/>
      <c r="AL4" s="145" t="s">
        <v>15</v>
      </c>
      <c r="AM4" s="143"/>
      <c r="AN4" s="143"/>
      <c r="AO4" s="146"/>
      <c r="AP4" s="142" t="s">
        <v>16</v>
      </c>
      <c r="AQ4" s="143"/>
      <c r="AR4" s="143"/>
      <c r="AS4" s="144"/>
      <c r="AT4" s="145" t="s">
        <v>17</v>
      </c>
      <c r="AU4" s="143"/>
      <c r="AV4" s="143"/>
      <c r="AW4" s="146"/>
      <c r="AX4" s="115" t="s">
        <v>74</v>
      </c>
    </row>
    <row r="5" spans="1:50" ht="15" thickBot="1" x14ac:dyDescent="0.35">
      <c r="A5" s="3" t="s">
        <v>18</v>
      </c>
      <c r="B5" s="4">
        <v>1</v>
      </c>
      <c r="C5" s="5">
        <v>2</v>
      </c>
      <c r="D5" s="5">
        <v>3</v>
      </c>
      <c r="E5" s="6">
        <v>4</v>
      </c>
      <c r="F5" s="7">
        <v>1</v>
      </c>
      <c r="G5" s="5">
        <v>2</v>
      </c>
      <c r="H5" s="5">
        <v>3</v>
      </c>
      <c r="I5" s="8">
        <v>4</v>
      </c>
      <c r="J5" s="4">
        <v>1</v>
      </c>
      <c r="K5" s="5">
        <v>2</v>
      </c>
      <c r="L5" s="5">
        <v>3</v>
      </c>
      <c r="M5" s="6">
        <v>4</v>
      </c>
      <c r="N5" s="7">
        <v>1</v>
      </c>
      <c r="O5" s="5">
        <v>2</v>
      </c>
      <c r="P5" s="5">
        <v>3</v>
      </c>
      <c r="Q5" s="8">
        <v>4</v>
      </c>
      <c r="R5" s="4">
        <v>1</v>
      </c>
      <c r="S5" s="5">
        <v>2</v>
      </c>
      <c r="T5" s="5">
        <v>3</v>
      </c>
      <c r="U5" s="6">
        <v>4</v>
      </c>
      <c r="V5" s="7">
        <v>1</v>
      </c>
      <c r="W5" s="5">
        <v>2</v>
      </c>
      <c r="X5" s="5">
        <v>3</v>
      </c>
      <c r="Y5" s="8">
        <v>4</v>
      </c>
      <c r="Z5" s="4">
        <v>1</v>
      </c>
      <c r="AA5" s="5">
        <v>2</v>
      </c>
      <c r="AB5" s="5">
        <v>3</v>
      </c>
      <c r="AC5" s="6">
        <v>4</v>
      </c>
      <c r="AD5" s="7">
        <v>1</v>
      </c>
      <c r="AE5" s="5">
        <v>2</v>
      </c>
      <c r="AF5" s="5">
        <v>3</v>
      </c>
      <c r="AG5" s="8">
        <v>4</v>
      </c>
      <c r="AH5" s="4">
        <v>1</v>
      </c>
      <c r="AI5" s="5">
        <v>2</v>
      </c>
      <c r="AJ5" s="5">
        <v>3</v>
      </c>
      <c r="AK5" s="6">
        <v>4</v>
      </c>
      <c r="AL5" s="7">
        <v>1</v>
      </c>
      <c r="AM5" s="5">
        <v>2</v>
      </c>
      <c r="AN5" s="5">
        <v>3</v>
      </c>
      <c r="AO5" s="8">
        <v>4</v>
      </c>
      <c r="AP5" s="4">
        <v>1</v>
      </c>
      <c r="AQ5" s="5">
        <v>2</v>
      </c>
      <c r="AR5" s="5">
        <v>3</v>
      </c>
      <c r="AS5" s="6">
        <v>4</v>
      </c>
      <c r="AT5" s="7">
        <v>1</v>
      </c>
      <c r="AU5" s="5">
        <v>2</v>
      </c>
      <c r="AV5" s="5">
        <v>3</v>
      </c>
      <c r="AW5" s="8">
        <v>4</v>
      </c>
      <c r="AX5" s="115"/>
    </row>
    <row r="6" spans="1:50" ht="15" thickBot="1" x14ac:dyDescent="0.35">
      <c r="A6" s="9" t="s">
        <v>19</v>
      </c>
      <c r="B6" s="86">
        <v>1</v>
      </c>
      <c r="C6" s="84">
        <v>2</v>
      </c>
      <c r="D6" s="84">
        <v>1</v>
      </c>
      <c r="E6" s="85">
        <v>1</v>
      </c>
      <c r="F6" s="86">
        <v>1</v>
      </c>
      <c r="G6" s="30"/>
      <c r="H6" s="30"/>
      <c r="I6" s="110"/>
      <c r="J6" s="19"/>
      <c r="K6" s="15"/>
      <c r="L6" s="15"/>
      <c r="M6" s="16"/>
      <c r="N6" s="17"/>
      <c r="O6" s="15"/>
      <c r="P6" s="15"/>
      <c r="Q6" s="18"/>
      <c r="R6" s="19"/>
      <c r="S6" s="15"/>
      <c r="T6" s="15"/>
      <c r="U6" s="16"/>
      <c r="V6" s="17"/>
      <c r="W6" s="15"/>
      <c r="X6" s="15"/>
      <c r="Y6" s="18"/>
      <c r="Z6" s="19"/>
      <c r="AA6" s="15"/>
      <c r="AB6" s="15"/>
      <c r="AC6" s="16"/>
      <c r="AD6" s="17"/>
      <c r="AE6" s="15"/>
      <c r="AF6" s="15"/>
      <c r="AG6" s="18"/>
      <c r="AH6" s="19"/>
      <c r="AI6" s="15"/>
      <c r="AJ6" s="15"/>
      <c r="AK6" s="16"/>
      <c r="AL6" s="17"/>
      <c r="AM6" s="114">
        <v>2</v>
      </c>
      <c r="AN6" s="108">
        <v>1</v>
      </c>
      <c r="AO6" s="109">
        <v>1</v>
      </c>
      <c r="AP6" s="107">
        <v>1</v>
      </c>
      <c r="AQ6" s="108">
        <v>1</v>
      </c>
      <c r="AR6" s="108">
        <v>1</v>
      </c>
      <c r="AS6" s="109">
        <v>1</v>
      </c>
      <c r="AT6" s="107">
        <v>1</v>
      </c>
      <c r="AU6" s="108">
        <v>1</v>
      </c>
      <c r="AV6" s="108">
        <v>1</v>
      </c>
      <c r="AW6" s="108">
        <v>1</v>
      </c>
      <c r="AX6" s="92">
        <f>SUM(B6:AW6)</f>
        <v>18</v>
      </c>
    </row>
    <row r="7" spans="1:50" ht="15" thickBot="1" x14ac:dyDescent="0.35">
      <c r="A7" s="20" t="s">
        <v>18</v>
      </c>
      <c r="B7" s="21"/>
      <c r="C7" s="22"/>
      <c r="D7" s="22"/>
      <c r="E7" s="27"/>
      <c r="F7" s="21"/>
      <c r="G7" s="87">
        <v>5</v>
      </c>
      <c r="H7" s="88">
        <v>5</v>
      </c>
      <c r="I7" s="30"/>
      <c r="J7" s="30"/>
      <c r="K7" s="21"/>
      <c r="L7" s="22"/>
      <c r="M7" s="27"/>
      <c r="N7" s="21"/>
      <c r="O7" s="22"/>
      <c r="P7" s="22"/>
      <c r="Q7" s="28"/>
      <c r="R7" s="29"/>
      <c r="S7" s="22"/>
      <c r="T7" s="22"/>
      <c r="U7" s="27"/>
      <c r="V7" s="21"/>
      <c r="W7" s="22"/>
      <c r="X7" s="22"/>
      <c r="Y7" s="28"/>
      <c r="Z7" s="29"/>
      <c r="AA7" s="22"/>
      <c r="AB7" s="22"/>
      <c r="AC7" s="27"/>
      <c r="AD7" s="21"/>
      <c r="AE7" s="22"/>
      <c r="AF7" s="22"/>
      <c r="AG7" s="28"/>
      <c r="AH7" s="29"/>
      <c r="AI7" s="22"/>
      <c r="AJ7" s="22"/>
      <c r="AK7" s="27"/>
      <c r="AL7" s="21"/>
      <c r="AM7" s="22"/>
      <c r="AN7" s="22"/>
      <c r="AO7" s="28"/>
      <c r="AP7" s="29"/>
      <c r="AQ7" s="22"/>
      <c r="AR7" s="22"/>
      <c r="AS7" s="27"/>
      <c r="AT7" s="21"/>
      <c r="AU7" s="22"/>
      <c r="AV7" s="22"/>
      <c r="AW7" s="28"/>
      <c r="AX7" s="92">
        <f t="shared" ref="AX7:AX21" si="0">SUM(B7:AT7)</f>
        <v>10</v>
      </c>
    </row>
    <row r="8" spans="1:50" ht="15" thickBot="1" x14ac:dyDescent="0.35">
      <c r="A8" s="31" t="s">
        <v>20</v>
      </c>
      <c r="B8" s="32"/>
      <c r="C8" s="33"/>
      <c r="D8" s="33"/>
      <c r="E8" s="34"/>
      <c r="F8" s="32"/>
      <c r="G8" s="33"/>
      <c r="H8" s="33"/>
      <c r="I8" s="35"/>
      <c r="J8" s="36"/>
      <c r="K8" s="33"/>
      <c r="L8" s="33"/>
      <c r="M8" s="34"/>
      <c r="N8" s="32"/>
      <c r="O8" s="33"/>
      <c r="P8" s="33"/>
      <c r="Q8" s="35"/>
      <c r="R8" s="36"/>
      <c r="S8" s="33"/>
      <c r="T8" s="33"/>
      <c r="U8" s="34"/>
      <c r="V8" s="112">
        <v>6</v>
      </c>
      <c r="W8" s="113">
        <v>6</v>
      </c>
      <c r="X8" s="33"/>
      <c r="Y8" s="35"/>
      <c r="Z8" s="36"/>
      <c r="AA8" s="33"/>
      <c r="AB8" s="33"/>
      <c r="AC8" s="34"/>
      <c r="AD8" s="32"/>
      <c r="AE8" s="112">
        <v>6</v>
      </c>
      <c r="AF8" s="113">
        <v>7</v>
      </c>
      <c r="AG8" s="35"/>
      <c r="AH8" s="36"/>
      <c r="AI8" s="33"/>
      <c r="AJ8" s="33"/>
      <c r="AK8" s="34"/>
      <c r="AL8" s="32"/>
      <c r="AM8" s="33"/>
      <c r="AN8" s="33"/>
      <c r="AO8" s="35"/>
      <c r="AP8" s="36"/>
      <c r="AQ8" s="33"/>
      <c r="AR8" s="33"/>
      <c r="AS8" s="34"/>
      <c r="AT8" s="32"/>
      <c r="AU8" s="33"/>
      <c r="AV8" s="33"/>
      <c r="AW8" s="35"/>
      <c r="AX8" s="92">
        <f t="shared" si="0"/>
        <v>25</v>
      </c>
    </row>
    <row r="9" spans="1:50" ht="15" thickBot="1" x14ac:dyDescent="0.35">
      <c r="A9" s="39" t="s">
        <v>21</v>
      </c>
      <c r="B9" s="17"/>
      <c r="C9" s="15"/>
      <c r="D9" s="15"/>
      <c r="E9" s="16"/>
      <c r="F9" s="17"/>
      <c r="G9" s="15"/>
      <c r="H9" s="15"/>
      <c r="I9" s="18"/>
      <c r="J9" s="36"/>
      <c r="K9" s="36"/>
      <c r="L9" s="111">
        <v>27</v>
      </c>
      <c r="M9" s="111">
        <v>27</v>
      </c>
      <c r="N9" s="111">
        <v>27</v>
      </c>
      <c r="O9" s="111">
        <v>27</v>
      </c>
      <c r="P9" s="111">
        <v>27</v>
      </c>
      <c r="Q9" s="111">
        <v>27</v>
      </c>
      <c r="R9" s="111">
        <v>27</v>
      </c>
      <c r="S9" s="111">
        <v>27</v>
      </c>
      <c r="T9" s="15"/>
      <c r="U9" s="16"/>
      <c r="V9" s="17"/>
      <c r="W9" s="15"/>
      <c r="X9" s="15"/>
      <c r="Y9" s="18"/>
      <c r="Z9" s="19"/>
      <c r="AA9" s="15"/>
      <c r="AB9" s="15"/>
      <c r="AC9" s="16"/>
      <c r="AD9" s="17"/>
      <c r="AE9" s="15"/>
      <c r="AF9" s="15"/>
      <c r="AG9" s="18"/>
      <c r="AH9" s="19"/>
      <c r="AI9" s="15"/>
      <c r="AJ9" s="15"/>
      <c r="AK9" s="16"/>
      <c r="AL9" s="17"/>
      <c r="AM9" s="15"/>
      <c r="AN9" s="15"/>
      <c r="AO9" s="18"/>
      <c r="AP9" s="19"/>
      <c r="AQ9" s="15"/>
      <c r="AR9" s="15"/>
      <c r="AS9" s="16"/>
      <c r="AT9" s="17"/>
      <c r="AU9" s="15"/>
      <c r="AV9" s="15"/>
      <c r="AW9" s="18"/>
      <c r="AX9" s="92">
        <f t="shared" si="0"/>
        <v>216</v>
      </c>
    </row>
    <row r="10" spans="1:50" ht="15" thickBot="1" x14ac:dyDescent="0.35">
      <c r="A10" s="20" t="s">
        <v>22</v>
      </c>
      <c r="B10" s="21"/>
      <c r="C10" s="22"/>
      <c r="D10" s="22"/>
      <c r="E10" s="27"/>
      <c r="F10" s="21"/>
      <c r="G10" s="22"/>
      <c r="H10" s="22"/>
      <c r="I10" s="28"/>
      <c r="J10" s="29"/>
      <c r="K10" s="22"/>
      <c r="L10" s="22"/>
      <c r="M10" s="27"/>
      <c r="N10" s="21"/>
      <c r="O10" s="22"/>
      <c r="P10" s="22"/>
      <c r="Q10" s="28"/>
      <c r="R10" s="29"/>
      <c r="S10" s="22"/>
      <c r="T10" s="22"/>
      <c r="U10" s="27"/>
      <c r="V10" s="45">
        <v>5</v>
      </c>
      <c r="W10" s="22"/>
      <c r="X10" s="21"/>
      <c r="Y10" s="22"/>
      <c r="Z10" s="45">
        <v>5</v>
      </c>
      <c r="AA10" s="22"/>
      <c r="AB10" s="22"/>
      <c r="AC10" s="27"/>
      <c r="AD10" s="45">
        <v>5</v>
      </c>
      <c r="AE10" s="15"/>
      <c r="AF10" s="15"/>
      <c r="AG10" s="28"/>
      <c r="AH10" s="21"/>
      <c r="AI10" s="22"/>
      <c r="AJ10" s="22"/>
      <c r="AK10" s="27"/>
      <c r="AL10" s="21"/>
      <c r="AM10" s="22"/>
      <c r="AN10" s="22"/>
      <c r="AO10" s="28"/>
      <c r="AP10" s="29"/>
      <c r="AQ10" s="22"/>
      <c r="AR10" s="22"/>
      <c r="AS10" s="27"/>
      <c r="AT10" s="21"/>
      <c r="AU10" s="22"/>
      <c r="AV10" s="22"/>
      <c r="AW10" s="28"/>
      <c r="AX10" s="92">
        <f t="shared" si="0"/>
        <v>15</v>
      </c>
    </row>
    <row r="11" spans="1:50" ht="15" thickBot="1" x14ac:dyDescent="0.35">
      <c r="A11" s="49" t="s">
        <v>23</v>
      </c>
      <c r="B11" s="50"/>
      <c r="C11" s="51"/>
      <c r="D11" s="51"/>
      <c r="E11" s="52"/>
      <c r="F11" s="50"/>
      <c r="G11" s="51"/>
      <c r="H11" s="51"/>
      <c r="I11" s="53"/>
      <c r="J11" s="54"/>
      <c r="K11" s="51"/>
      <c r="L11" s="51"/>
      <c r="M11" s="52"/>
      <c r="N11" s="50"/>
      <c r="O11" s="51"/>
      <c r="P11" s="51"/>
      <c r="Q11" s="53"/>
      <c r="R11" s="54"/>
      <c r="S11" s="51"/>
      <c r="T11" s="51"/>
      <c r="U11" s="52"/>
      <c r="V11" s="50"/>
      <c r="W11" s="51"/>
      <c r="X11" s="51"/>
      <c r="Y11" s="53"/>
      <c r="Z11" s="29"/>
      <c r="AA11" s="22"/>
      <c r="AB11" s="29"/>
      <c r="AC11" s="22"/>
      <c r="AD11" s="50"/>
      <c r="AE11" s="51"/>
      <c r="AF11" s="51"/>
      <c r="AG11" s="53"/>
      <c r="AH11" s="129">
        <v>5</v>
      </c>
      <c r="AI11" s="130">
        <v>5</v>
      </c>
      <c r="AJ11" s="131">
        <v>5</v>
      </c>
      <c r="AK11" s="27"/>
      <c r="AL11" s="21"/>
      <c r="AM11" s="51"/>
      <c r="AN11" s="51"/>
      <c r="AO11" s="53"/>
      <c r="AP11" s="54"/>
      <c r="AQ11" s="51"/>
      <c r="AR11" s="51"/>
      <c r="AS11" s="52"/>
      <c r="AT11" s="50"/>
      <c r="AU11" s="51"/>
      <c r="AV11" s="51"/>
      <c r="AW11" s="53"/>
      <c r="AX11" s="92">
        <f t="shared" si="0"/>
        <v>15</v>
      </c>
    </row>
    <row r="12" spans="1:50" ht="15" thickBot="1" x14ac:dyDescent="0.35">
      <c r="A12" s="49" t="s">
        <v>24</v>
      </c>
      <c r="B12" s="50"/>
      <c r="C12" s="51"/>
      <c r="D12" s="51"/>
      <c r="E12" s="52"/>
      <c r="F12" s="50"/>
      <c r="G12" s="51"/>
      <c r="H12" s="51"/>
      <c r="I12" s="53"/>
      <c r="J12" s="54"/>
      <c r="K12" s="51"/>
      <c r="L12" s="51"/>
      <c r="M12" s="52"/>
      <c r="N12" s="50"/>
      <c r="O12" s="51"/>
      <c r="P12" s="51"/>
      <c r="Q12" s="53"/>
      <c r="R12" s="54"/>
      <c r="S12" s="51"/>
      <c r="T12" s="51"/>
      <c r="U12" s="52"/>
      <c r="V12" s="50"/>
      <c r="W12" s="51"/>
      <c r="X12" s="51"/>
      <c r="Y12" s="53"/>
      <c r="Z12" s="54"/>
      <c r="AA12" s="51"/>
      <c r="AB12" s="51"/>
      <c r="AC12" s="52"/>
      <c r="AD12" s="50"/>
      <c r="AE12" s="51"/>
      <c r="AF12" s="51"/>
      <c r="AG12" s="53"/>
      <c r="AH12" s="54"/>
      <c r="AI12" s="51"/>
      <c r="AJ12" s="51"/>
      <c r="AK12" s="52"/>
      <c r="AL12" s="50"/>
      <c r="AM12" s="51"/>
      <c r="AN12" s="51"/>
      <c r="AO12" s="53"/>
      <c r="AP12" s="54"/>
      <c r="AQ12" s="51"/>
      <c r="AR12" s="51"/>
      <c r="AS12" s="52"/>
      <c r="AT12" s="50"/>
      <c r="AU12" s="51"/>
      <c r="AV12" s="51"/>
      <c r="AW12" s="53"/>
      <c r="AX12" s="92">
        <f t="shared" si="0"/>
        <v>0</v>
      </c>
    </row>
    <row r="13" spans="1:50" ht="15" thickBot="1" x14ac:dyDescent="0.35">
      <c r="A13" s="49" t="s">
        <v>25</v>
      </c>
      <c r="B13" s="50"/>
      <c r="C13" s="51"/>
      <c r="D13" s="51"/>
      <c r="E13" s="52"/>
      <c r="F13" s="50"/>
      <c r="G13" s="51"/>
      <c r="H13" s="51"/>
      <c r="I13" s="53"/>
      <c r="J13" s="54"/>
      <c r="K13" s="51"/>
      <c r="L13" s="51"/>
      <c r="M13" s="52"/>
      <c r="N13" s="50"/>
      <c r="O13" s="51"/>
      <c r="P13" s="51"/>
      <c r="Q13" s="53"/>
      <c r="R13" s="54"/>
      <c r="S13" s="51"/>
      <c r="T13" s="51"/>
      <c r="U13" s="52"/>
      <c r="V13" s="50"/>
      <c r="W13" s="51"/>
      <c r="X13" s="22"/>
      <c r="Y13" s="53"/>
      <c r="Z13" s="54"/>
      <c r="AA13" s="133">
        <v>6</v>
      </c>
      <c r="AB13" s="51"/>
      <c r="AC13" s="52"/>
      <c r="AD13" s="50"/>
      <c r="AE13" s="51"/>
      <c r="AF13" s="51"/>
      <c r="AG13" s="53"/>
      <c r="AH13" s="72">
        <v>6</v>
      </c>
      <c r="AI13" s="51"/>
      <c r="AJ13" s="51"/>
      <c r="AK13" s="52"/>
      <c r="AL13" s="50"/>
      <c r="AM13" s="51"/>
      <c r="AN13" s="51"/>
      <c r="AO13" s="53"/>
      <c r="AP13" s="54"/>
      <c r="AQ13" s="51"/>
      <c r="AR13" s="51"/>
      <c r="AS13" s="52"/>
      <c r="AT13" s="50"/>
      <c r="AU13" s="51"/>
      <c r="AV13" s="51"/>
      <c r="AW13" s="53"/>
      <c r="AX13" s="92">
        <f t="shared" si="0"/>
        <v>12</v>
      </c>
    </row>
    <row r="14" spans="1:50" ht="15" thickBot="1" x14ac:dyDescent="0.35">
      <c r="A14" s="49" t="s">
        <v>26</v>
      </c>
      <c r="B14" s="50"/>
      <c r="C14" s="51"/>
      <c r="D14" s="51"/>
      <c r="E14" s="52"/>
      <c r="F14" s="50"/>
      <c r="G14" s="51"/>
      <c r="H14" s="132">
        <v>6</v>
      </c>
      <c r="I14" s="53"/>
      <c r="J14" s="54"/>
      <c r="K14" s="51"/>
      <c r="L14" s="51"/>
      <c r="M14" s="52"/>
      <c r="N14" s="50"/>
      <c r="O14" s="51"/>
      <c r="P14" s="51"/>
      <c r="Q14" s="53"/>
      <c r="R14" s="54"/>
      <c r="S14" s="51"/>
      <c r="T14" s="51"/>
      <c r="U14" s="52"/>
      <c r="V14" s="50"/>
      <c r="W14" s="51"/>
      <c r="X14" s="51"/>
      <c r="Y14" s="53"/>
      <c r="Z14" s="54"/>
      <c r="AA14" s="51"/>
      <c r="AB14" s="51"/>
      <c r="AC14" s="52"/>
      <c r="AD14" s="50"/>
      <c r="AE14" s="51"/>
      <c r="AF14" s="51"/>
      <c r="AG14" s="53"/>
      <c r="AH14" s="54"/>
      <c r="AI14" s="51"/>
      <c r="AJ14" s="51"/>
      <c r="AK14" s="52"/>
      <c r="AL14" s="50"/>
      <c r="AM14" s="51"/>
      <c r="AN14" s="51"/>
      <c r="AO14" s="53"/>
      <c r="AP14" s="54"/>
      <c r="AQ14" s="51"/>
      <c r="AR14" s="51"/>
      <c r="AS14" s="52"/>
      <c r="AT14" s="50"/>
      <c r="AU14" s="51"/>
      <c r="AV14" s="51"/>
      <c r="AW14" s="53"/>
      <c r="AX14" s="92">
        <f t="shared" si="0"/>
        <v>6</v>
      </c>
    </row>
    <row r="15" spans="1:50" ht="15" thickBot="1" x14ac:dyDescent="0.35">
      <c r="A15" s="39" t="s">
        <v>27</v>
      </c>
      <c r="B15" s="17"/>
      <c r="C15" s="15"/>
      <c r="D15" s="15"/>
      <c r="E15" s="16"/>
      <c r="F15" s="17"/>
      <c r="G15" s="15"/>
      <c r="H15" s="15"/>
      <c r="I15" s="18"/>
      <c r="J15" s="19"/>
      <c r="K15" s="15"/>
      <c r="L15" s="15"/>
      <c r="M15" s="16"/>
      <c r="N15" s="17"/>
      <c r="O15" s="15"/>
      <c r="P15" s="15"/>
      <c r="Q15" s="18"/>
      <c r="R15" s="19"/>
      <c r="S15" s="15"/>
      <c r="T15" s="15"/>
      <c r="U15" s="16"/>
      <c r="V15" s="17"/>
      <c r="W15" s="15"/>
      <c r="X15" s="15"/>
      <c r="Y15" s="18"/>
      <c r="Z15" s="19"/>
      <c r="AA15" s="58">
        <v>6</v>
      </c>
      <c r="AB15" s="15"/>
      <c r="AC15" s="16"/>
      <c r="AD15" s="17"/>
      <c r="AE15" s="15"/>
      <c r="AF15" s="15"/>
      <c r="AG15" s="18"/>
      <c r="AH15" s="58"/>
      <c r="AI15" s="15"/>
      <c r="AJ15" s="15"/>
      <c r="AK15" s="16"/>
      <c r="AL15" s="17"/>
      <c r="AM15" s="15"/>
      <c r="AN15" s="15"/>
      <c r="AO15" s="18"/>
      <c r="AP15" s="19"/>
      <c r="AQ15" s="15"/>
      <c r="AR15" s="15"/>
      <c r="AS15" s="16"/>
      <c r="AT15" s="17"/>
      <c r="AU15" s="15"/>
      <c r="AV15" s="15"/>
      <c r="AW15" s="18"/>
      <c r="AX15" s="92">
        <f t="shared" si="0"/>
        <v>6</v>
      </c>
    </row>
    <row r="16" spans="1:50" ht="15" thickBot="1" x14ac:dyDescent="0.35">
      <c r="A16" s="20" t="s">
        <v>28</v>
      </c>
      <c r="B16" s="21"/>
      <c r="C16" s="22"/>
      <c r="D16" s="22"/>
      <c r="E16" s="27"/>
      <c r="F16" s="21"/>
      <c r="G16" s="22"/>
      <c r="H16" s="22"/>
      <c r="I16" s="28"/>
      <c r="J16" s="29"/>
      <c r="K16" s="22"/>
      <c r="L16" s="22"/>
      <c r="M16" s="27"/>
      <c r="N16" s="21"/>
      <c r="O16" s="22"/>
      <c r="P16" s="22"/>
      <c r="Q16" s="28"/>
      <c r="R16" s="29"/>
      <c r="S16" s="22"/>
      <c r="T16" s="51"/>
      <c r="U16" s="52"/>
      <c r="V16" s="21"/>
      <c r="W16" s="22"/>
      <c r="X16" s="22"/>
      <c r="Y16" s="53"/>
      <c r="Z16" s="54"/>
      <c r="AA16" s="51"/>
      <c r="AB16" s="51"/>
      <c r="AC16" s="52"/>
      <c r="AD16" s="50"/>
      <c r="AE16" s="22"/>
      <c r="AF16" s="22"/>
      <c r="AG16" s="53"/>
      <c r="AH16" s="54"/>
      <c r="AI16" s="51"/>
      <c r="AJ16" s="51"/>
      <c r="AK16" s="52"/>
      <c r="AL16" s="61">
        <v>16</v>
      </c>
      <c r="AM16" s="22"/>
      <c r="AN16" s="51"/>
      <c r="AO16" s="53"/>
      <c r="AP16" s="29"/>
      <c r="AQ16" s="22"/>
      <c r="AR16" s="22"/>
      <c r="AS16" s="27"/>
      <c r="AT16" s="21"/>
      <c r="AU16" s="22"/>
      <c r="AV16" s="22"/>
      <c r="AW16" s="28"/>
      <c r="AX16" s="92">
        <f t="shared" si="0"/>
        <v>16</v>
      </c>
    </row>
    <row r="17" spans="1:50" ht="15" thickBot="1" x14ac:dyDescent="0.35">
      <c r="A17" s="39" t="s">
        <v>29</v>
      </c>
      <c r="B17" s="17"/>
      <c r="C17" s="15"/>
      <c r="D17" s="15"/>
      <c r="E17" s="16"/>
      <c r="F17" s="17"/>
      <c r="G17" s="15"/>
      <c r="H17" s="15"/>
      <c r="I17" s="18"/>
      <c r="J17" s="19"/>
      <c r="K17" s="15"/>
      <c r="L17" s="15"/>
      <c r="M17" s="16"/>
      <c r="N17" s="17"/>
      <c r="O17" s="15"/>
      <c r="P17" s="15"/>
      <c r="Q17" s="18"/>
      <c r="R17" s="19"/>
      <c r="S17" s="15"/>
      <c r="T17" s="15"/>
      <c r="U17" s="16"/>
      <c r="V17" s="17"/>
      <c r="W17" s="15"/>
      <c r="X17" s="15"/>
      <c r="Y17" s="18"/>
      <c r="Z17" s="19"/>
      <c r="AA17" s="15"/>
      <c r="AB17" s="15"/>
      <c r="AC17" s="16"/>
      <c r="AD17" s="17"/>
      <c r="AE17" s="15"/>
      <c r="AF17" s="15"/>
      <c r="AG17" s="18"/>
      <c r="AH17" s="19"/>
      <c r="AI17" s="15"/>
      <c r="AJ17" s="15"/>
      <c r="AK17" s="16"/>
      <c r="AL17" s="17"/>
      <c r="AM17" s="15"/>
      <c r="AN17" s="134">
        <f>70/7</f>
        <v>10</v>
      </c>
      <c r="AO17" s="18"/>
      <c r="AP17" s="19"/>
      <c r="AQ17" s="15"/>
      <c r="AR17" s="15"/>
      <c r="AS17" s="16"/>
      <c r="AT17" s="17"/>
      <c r="AU17" s="15"/>
      <c r="AV17" s="15"/>
      <c r="AW17" s="18"/>
      <c r="AX17" s="92">
        <f t="shared" si="0"/>
        <v>10</v>
      </c>
    </row>
    <row r="18" spans="1:50" ht="15" thickBot="1" x14ac:dyDescent="0.35">
      <c r="A18" s="20" t="s">
        <v>30</v>
      </c>
      <c r="B18" s="21"/>
      <c r="C18" s="22"/>
      <c r="D18" s="22"/>
      <c r="E18" s="27"/>
      <c r="F18" s="21"/>
      <c r="G18" s="22"/>
      <c r="H18" s="22"/>
      <c r="I18" s="28"/>
      <c r="J18" s="29"/>
      <c r="K18" s="22"/>
      <c r="L18" s="22"/>
      <c r="M18" s="27"/>
      <c r="N18" s="21"/>
      <c r="O18" s="22"/>
      <c r="P18" s="22"/>
      <c r="Q18" s="28"/>
      <c r="R18" s="29"/>
      <c r="S18" s="22"/>
      <c r="T18" s="22"/>
      <c r="U18" s="27"/>
      <c r="V18" s="21"/>
      <c r="W18" s="22"/>
      <c r="X18" s="22"/>
      <c r="Y18" s="28"/>
      <c r="Z18" s="29"/>
      <c r="AA18" s="22"/>
      <c r="AB18" s="22"/>
      <c r="AC18" s="27"/>
      <c r="AD18" s="21"/>
      <c r="AE18" s="22"/>
      <c r="AF18" s="22"/>
      <c r="AG18" s="28"/>
      <c r="AH18" s="29"/>
      <c r="AI18" s="22"/>
      <c r="AJ18" s="22"/>
      <c r="AK18" s="27"/>
      <c r="AL18" s="21"/>
      <c r="AM18" s="22"/>
      <c r="AN18" s="22"/>
      <c r="AO18" s="28"/>
      <c r="AP18" s="29"/>
      <c r="AQ18" s="22"/>
      <c r="AR18" s="22"/>
      <c r="AS18" s="27"/>
      <c r="AT18" s="21"/>
      <c r="AU18" s="22"/>
      <c r="AV18" s="22"/>
      <c r="AW18" s="28"/>
      <c r="AX18" s="92">
        <f t="shared" si="0"/>
        <v>0</v>
      </c>
    </row>
    <row r="19" spans="1:50" x14ac:dyDescent="0.3">
      <c r="A19" s="39" t="s">
        <v>31</v>
      </c>
      <c r="B19" s="17"/>
      <c r="C19" s="15"/>
      <c r="D19" s="15"/>
      <c r="E19" s="16"/>
      <c r="F19" s="17"/>
      <c r="G19" s="15"/>
      <c r="H19" s="15"/>
      <c r="I19" s="18"/>
      <c r="J19" s="19"/>
      <c r="K19" s="15"/>
      <c r="L19" s="15"/>
      <c r="M19" s="16"/>
      <c r="N19" s="17"/>
      <c r="O19" s="15"/>
      <c r="P19" s="15"/>
      <c r="Q19" s="18"/>
      <c r="R19" s="19"/>
      <c r="S19" s="15"/>
      <c r="T19" s="15"/>
      <c r="U19" s="16"/>
      <c r="V19" s="17"/>
      <c r="W19" s="15"/>
      <c r="X19" s="15"/>
      <c r="Y19" s="18"/>
      <c r="Z19" s="19"/>
      <c r="AA19" s="15"/>
      <c r="AB19" s="15"/>
      <c r="AC19" s="16"/>
      <c r="AD19" s="17"/>
      <c r="AE19" s="15"/>
      <c r="AF19" s="15"/>
      <c r="AG19" s="18"/>
      <c r="AH19" s="19"/>
      <c r="AI19" s="15"/>
      <c r="AJ19" s="15"/>
      <c r="AK19" s="16"/>
      <c r="AL19" s="17"/>
      <c r="AM19" s="15"/>
      <c r="AN19" s="15"/>
      <c r="AO19" s="18"/>
      <c r="AP19" s="19"/>
      <c r="AQ19" s="15"/>
      <c r="AR19" s="15"/>
      <c r="AS19" s="16"/>
      <c r="AT19" s="17"/>
      <c r="AU19" s="15"/>
      <c r="AV19" s="15"/>
      <c r="AW19" s="18"/>
      <c r="AX19" s="92">
        <f t="shared" si="0"/>
        <v>0</v>
      </c>
    </row>
    <row r="20" spans="1:50" ht="15" thickBot="1" x14ac:dyDescent="0.35">
      <c r="A20" s="39" t="s">
        <v>34</v>
      </c>
      <c r="B20" s="17"/>
      <c r="C20" s="15"/>
      <c r="D20" s="15"/>
      <c r="E20" s="16"/>
      <c r="F20" s="17"/>
      <c r="G20" s="15"/>
      <c r="H20" s="15"/>
      <c r="I20" s="18"/>
      <c r="J20" s="19"/>
      <c r="K20" s="15"/>
      <c r="L20" s="15"/>
      <c r="M20" s="16"/>
      <c r="N20" s="17"/>
      <c r="O20" s="15"/>
      <c r="P20" s="15"/>
      <c r="Q20" s="18"/>
      <c r="R20" s="19"/>
      <c r="S20" s="15"/>
      <c r="T20" s="15"/>
      <c r="U20" s="16"/>
      <c r="V20" s="17"/>
      <c r="W20" s="15"/>
      <c r="X20" s="15"/>
      <c r="Y20" s="18"/>
      <c r="Z20" s="19"/>
      <c r="AA20" s="15"/>
      <c r="AB20" s="15"/>
      <c r="AC20" s="16"/>
      <c r="AD20" s="17"/>
      <c r="AE20" s="15"/>
      <c r="AF20" s="15"/>
      <c r="AG20" s="18"/>
      <c r="AH20" s="19"/>
      <c r="AI20" s="15"/>
      <c r="AJ20" s="15"/>
      <c r="AK20" s="16"/>
      <c r="AL20" s="17"/>
      <c r="AM20" s="15"/>
      <c r="AN20" s="15"/>
      <c r="AO20" s="18"/>
      <c r="AP20" s="19"/>
      <c r="AQ20" s="15"/>
      <c r="AR20" s="15"/>
      <c r="AS20" s="16"/>
      <c r="AT20" s="17"/>
      <c r="AU20" s="15"/>
      <c r="AV20" s="15"/>
      <c r="AW20" s="18"/>
      <c r="AX20" s="92">
        <f t="shared" si="0"/>
        <v>0</v>
      </c>
    </row>
    <row r="21" spans="1:50" ht="15" thickBot="1" x14ac:dyDescent="0.35">
      <c r="A21" s="20" t="s">
        <v>32</v>
      </c>
      <c r="B21" s="121"/>
      <c r="C21" s="122"/>
      <c r="D21" s="122"/>
      <c r="E21" s="123"/>
      <c r="F21" s="124"/>
      <c r="G21" s="122"/>
      <c r="H21" s="122"/>
      <c r="I21" s="125"/>
      <c r="J21" s="121"/>
      <c r="K21" s="122"/>
      <c r="L21" s="122"/>
      <c r="M21" s="123"/>
      <c r="N21" s="124"/>
      <c r="O21" s="122"/>
      <c r="P21" s="122"/>
      <c r="Q21" s="125"/>
      <c r="R21" s="121"/>
      <c r="S21" s="122"/>
      <c r="T21" s="122"/>
      <c r="U21" s="123"/>
      <c r="V21" s="124"/>
      <c r="W21" s="122"/>
      <c r="X21" s="122"/>
      <c r="Y21" s="125"/>
      <c r="Z21" s="121"/>
      <c r="AA21" s="122"/>
      <c r="AB21" s="122"/>
      <c r="AC21" s="123"/>
      <c r="AD21" s="124"/>
      <c r="AE21" s="122"/>
      <c r="AF21" s="122"/>
      <c r="AG21" s="125"/>
      <c r="AH21" s="121"/>
      <c r="AI21" s="122"/>
      <c r="AJ21" s="122"/>
      <c r="AK21" s="123"/>
      <c r="AL21" s="124"/>
      <c r="AM21" s="122"/>
      <c r="AN21" s="122"/>
      <c r="AO21" s="125"/>
      <c r="AP21" s="126">
        <v>2</v>
      </c>
      <c r="AQ21" s="127">
        <v>2</v>
      </c>
      <c r="AR21" s="127">
        <v>2</v>
      </c>
      <c r="AS21" s="123"/>
      <c r="AT21" s="124"/>
      <c r="AU21" s="122"/>
      <c r="AV21" s="122"/>
      <c r="AW21" s="125"/>
      <c r="AX21" s="128">
        <f t="shared" si="0"/>
        <v>6</v>
      </c>
    </row>
    <row r="22" spans="1:50" ht="15" thickBot="1" x14ac:dyDescent="0.35">
      <c r="A22" s="20" t="s">
        <v>72</v>
      </c>
      <c r="B22" s="116">
        <f>SUM(B6:B21)</f>
        <v>1</v>
      </c>
      <c r="C22" s="117">
        <f>SUM(C6:C21)</f>
        <v>2</v>
      </c>
      <c r="D22" s="116">
        <f t="shared" ref="D22:AW22" si="1">SUM(D6:D21)</f>
        <v>1</v>
      </c>
      <c r="E22" s="117">
        <f t="shared" si="1"/>
        <v>1</v>
      </c>
      <c r="F22" s="116">
        <f t="shared" si="1"/>
        <v>1</v>
      </c>
      <c r="G22" s="117">
        <f t="shared" si="1"/>
        <v>5</v>
      </c>
      <c r="H22" s="116">
        <f t="shared" si="1"/>
        <v>11</v>
      </c>
      <c r="I22" s="117">
        <f t="shared" si="1"/>
        <v>0</v>
      </c>
      <c r="J22" s="116">
        <f t="shared" si="1"/>
        <v>0</v>
      </c>
      <c r="K22" s="117">
        <f t="shared" si="1"/>
        <v>0</v>
      </c>
      <c r="L22" s="116">
        <f t="shared" si="1"/>
        <v>27</v>
      </c>
      <c r="M22" s="117">
        <f t="shared" si="1"/>
        <v>27</v>
      </c>
      <c r="N22" s="116">
        <f t="shared" si="1"/>
        <v>27</v>
      </c>
      <c r="O22" s="117">
        <f t="shared" si="1"/>
        <v>27</v>
      </c>
      <c r="P22" s="116">
        <f t="shared" si="1"/>
        <v>27</v>
      </c>
      <c r="Q22" s="117">
        <f t="shared" si="1"/>
        <v>27</v>
      </c>
      <c r="R22" s="116">
        <f t="shared" si="1"/>
        <v>27</v>
      </c>
      <c r="S22" s="117">
        <f t="shared" si="1"/>
        <v>27</v>
      </c>
      <c r="T22" s="116">
        <f t="shared" si="1"/>
        <v>0</v>
      </c>
      <c r="U22" s="117">
        <f t="shared" si="1"/>
        <v>0</v>
      </c>
      <c r="V22" s="116">
        <f t="shared" si="1"/>
        <v>11</v>
      </c>
      <c r="W22" s="117">
        <f t="shared" si="1"/>
        <v>6</v>
      </c>
      <c r="X22" s="116">
        <f t="shared" si="1"/>
        <v>0</v>
      </c>
      <c r="Y22" s="117">
        <f t="shared" si="1"/>
        <v>0</v>
      </c>
      <c r="Z22" s="116">
        <f t="shared" si="1"/>
        <v>5</v>
      </c>
      <c r="AA22" s="117">
        <f t="shared" si="1"/>
        <v>12</v>
      </c>
      <c r="AB22" s="116">
        <f t="shared" si="1"/>
        <v>0</v>
      </c>
      <c r="AC22" s="117">
        <f t="shared" si="1"/>
        <v>0</v>
      </c>
      <c r="AD22" s="116">
        <f t="shared" si="1"/>
        <v>5</v>
      </c>
      <c r="AE22" s="117">
        <f t="shared" si="1"/>
        <v>6</v>
      </c>
      <c r="AF22" s="116">
        <f t="shared" si="1"/>
        <v>7</v>
      </c>
      <c r="AG22" s="117">
        <f t="shared" si="1"/>
        <v>0</v>
      </c>
      <c r="AH22" s="116">
        <f t="shared" si="1"/>
        <v>11</v>
      </c>
      <c r="AI22" s="117">
        <f t="shared" si="1"/>
        <v>5</v>
      </c>
      <c r="AJ22" s="116">
        <f t="shared" si="1"/>
        <v>5</v>
      </c>
      <c r="AK22" s="117">
        <f t="shared" si="1"/>
        <v>0</v>
      </c>
      <c r="AL22" s="116">
        <f t="shared" si="1"/>
        <v>16</v>
      </c>
      <c r="AM22" s="117">
        <f t="shared" si="1"/>
        <v>2</v>
      </c>
      <c r="AN22" s="116">
        <f t="shared" si="1"/>
        <v>11</v>
      </c>
      <c r="AO22" s="117">
        <f t="shared" si="1"/>
        <v>1</v>
      </c>
      <c r="AP22" s="116">
        <f t="shared" si="1"/>
        <v>3</v>
      </c>
      <c r="AQ22" s="117">
        <f t="shared" si="1"/>
        <v>3</v>
      </c>
      <c r="AR22" s="116">
        <f t="shared" si="1"/>
        <v>3</v>
      </c>
      <c r="AS22" s="117">
        <f t="shared" si="1"/>
        <v>1</v>
      </c>
      <c r="AT22" s="116">
        <f t="shared" si="1"/>
        <v>1</v>
      </c>
      <c r="AU22" s="117">
        <f t="shared" si="1"/>
        <v>1</v>
      </c>
      <c r="AV22" s="116">
        <f t="shared" si="1"/>
        <v>1</v>
      </c>
      <c r="AW22" s="119">
        <f t="shared" si="1"/>
        <v>1</v>
      </c>
      <c r="AX22" s="120">
        <f>SUM(B22:AW22)</f>
        <v>355</v>
      </c>
    </row>
    <row r="23" spans="1:50" ht="15" thickBot="1" x14ac:dyDescent="0.35">
      <c r="A23" s="31" t="s">
        <v>73</v>
      </c>
      <c r="B23" s="116"/>
      <c r="C23" s="117"/>
      <c r="D23" s="117"/>
      <c r="E23" s="118">
        <f>SUM(B22:E22)</f>
        <v>5</v>
      </c>
      <c r="F23" s="116"/>
      <c r="G23" s="117"/>
      <c r="H23" s="117"/>
      <c r="I23" s="119">
        <f>SUM(F22:I22)</f>
        <v>17</v>
      </c>
      <c r="J23" s="116"/>
      <c r="K23" s="117"/>
      <c r="L23" s="117"/>
      <c r="M23" s="118">
        <f t="shared" ref="M23" si="2">SUM(J22:M22)</f>
        <v>54</v>
      </c>
      <c r="N23" s="116"/>
      <c r="O23" s="117"/>
      <c r="P23" s="117"/>
      <c r="Q23" s="119">
        <f t="shared" ref="Q23" si="3">SUM(N22:Q22)</f>
        <v>108</v>
      </c>
      <c r="R23" s="116"/>
      <c r="S23" s="117"/>
      <c r="T23" s="117"/>
      <c r="U23" s="118">
        <f t="shared" ref="U23" si="4">SUM(R22:U22)</f>
        <v>54</v>
      </c>
      <c r="V23" s="116"/>
      <c r="W23" s="117"/>
      <c r="X23" s="117"/>
      <c r="Y23" s="119">
        <f t="shared" ref="Y23" si="5">SUM(V22:Y22)</f>
        <v>17</v>
      </c>
      <c r="Z23" s="116"/>
      <c r="AA23" s="117"/>
      <c r="AB23" s="117"/>
      <c r="AC23" s="118">
        <f t="shared" ref="AC23" si="6">SUM(Z22:AC22)</f>
        <v>17</v>
      </c>
      <c r="AD23" s="116"/>
      <c r="AE23" s="117"/>
      <c r="AF23" s="117"/>
      <c r="AG23" s="119">
        <f t="shared" ref="AG23" si="7">SUM(AD22:AG22)</f>
        <v>18</v>
      </c>
      <c r="AH23" s="116"/>
      <c r="AI23" s="117"/>
      <c r="AJ23" s="117"/>
      <c r="AK23" s="118">
        <f t="shared" ref="AK23" si="8">SUM(AH22:AK22)</f>
        <v>21</v>
      </c>
      <c r="AL23" s="116"/>
      <c r="AM23" s="117"/>
      <c r="AN23" s="117"/>
      <c r="AO23" s="119">
        <f t="shared" ref="AO23" si="9">SUM(AL22:AO22)</f>
        <v>30</v>
      </c>
      <c r="AP23" s="116"/>
      <c r="AQ23" s="117"/>
      <c r="AR23" s="117"/>
      <c r="AS23" s="118">
        <f t="shared" ref="AS23" si="10">SUM(AP22:AS22)</f>
        <v>10</v>
      </c>
      <c r="AT23" s="116"/>
      <c r="AU23" s="117"/>
      <c r="AV23" s="117"/>
      <c r="AW23" s="119">
        <f t="shared" ref="AW23" si="11">SUM(AT22:AW22)</f>
        <v>4</v>
      </c>
      <c r="AX23" s="102">
        <f>SUM(AX6:AX21)</f>
        <v>355</v>
      </c>
    </row>
    <row r="24" spans="1:50" x14ac:dyDescent="0.3">
      <c r="A24" s="39" t="s">
        <v>77</v>
      </c>
      <c r="AX24" s="135">
        <f>+AX23/15</f>
        <v>23.666666666666668</v>
      </c>
    </row>
    <row r="25" spans="1:50" x14ac:dyDescent="0.3">
      <c r="AW25" t="s">
        <v>78</v>
      </c>
      <c r="AX25">
        <v>22.85</v>
      </c>
    </row>
  </sheetData>
  <mergeCells count="12">
    <mergeCell ref="AP4:AS4"/>
    <mergeCell ref="AT4:AW4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3EAB-C736-4EFB-ADB7-5BE0C410BAA6}">
  <dimension ref="A1:AX22"/>
  <sheetViews>
    <sheetView workbookViewId="0">
      <selection activeCell="C3" sqref="C3"/>
    </sheetView>
  </sheetViews>
  <sheetFormatPr baseColWidth="10" defaultRowHeight="14.4" x14ac:dyDescent="0.3"/>
  <sheetData>
    <row r="1" spans="1:50" x14ac:dyDescent="0.3">
      <c r="A1" t="s">
        <v>0</v>
      </c>
      <c r="B1" t="s">
        <v>4</v>
      </c>
      <c r="C1" t="s">
        <v>5</v>
      </c>
    </row>
    <row r="2" spans="1:50" x14ac:dyDescent="0.3">
      <c r="A2" t="s">
        <v>1</v>
      </c>
      <c r="B2">
        <v>5</v>
      </c>
      <c r="C2" s="83" t="s">
        <v>35</v>
      </c>
    </row>
    <row r="3" spans="1:50" ht="15" thickBot="1" x14ac:dyDescent="0.35"/>
    <row r="4" spans="1:50" x14ac:dyDescent="0.3">
      <c r="A4" s="1"/>
      <c r="B4" s="142" t="s">
        <v>6</v>
      </c>
      <c r="C4" s="143"/>
      <c r="D4" s="143"/>
      <c r="E4" s="144"/>
      <c r="F4" s="145" t="s">
        <v>7</v>
      </c>
      <c r="G4" s="143"/>
      <c r="H4" s="143"/>
      <c r="I4" s="146"/>
      <c r="J4" s="142" t="s">
        <v>8</v>
      </c>
      <c r="K4" s="143"/>
      <c r="L4" s="143"/>
      <c r="M4" s="144"/>
      <c r="N4" s="145" t="s">
        <v>9</v>
      </c>
      <c r="O4" s="143"/>
      <c r="P4" s="143"/>
      <c r="Q4" s="146"/>
      <c r="R4" s="142" t="s">
        <v>10</v>
      </c>
      <c r="S4" s="143"/>
      <c r="T4" s="143"/>
      <c r="U4" s="144"/>
      <c r="V4" s="145" t="s">
        <v>11</v>
      </c>
      <c r="W4" s="143"/>
      <c r="X4" s="143"/>
      <c r="Y4" s="146"/>
      <c r="Z4" s="142" t="s">
        <v>12</v>
      </c>
      <c r="AA4" s="143"/>
      <c r="AB4" s="143"/>
      <c r="AC4" s="144"/>
      <c r="AD4" s="145" t="s">
        <v>13</v>
      </c>
      <c r="AE4" s="143"/>
      <c r="AF4" s="143"/>
      <c r="AG4" s="146"/>
      <c r="AH4" s="142" t="s">
        <v>14</v>
      </c>
      <c r="AI4" s="143"/>
      <c r="AJ4" s="143"/>
      <c r="AK4" s="144"/>
      <c r="AL4" s="145" t="s">
        <v>15</v>
      </c>
      <c r="AM4" s="143"/>
      <c r="AN4" s="143"/>
      <c r="AO4" s="146"/>
      <c r="AP4" s="142" t="s">
        <v>16</v>
      </c>
      <c r="AQ4" s="143"/>
      <c r="AR4" s="143"/>
      <c r="AS4" s="144"/>
      <c r="AT4" s="145" t="s">
        <v>17</v>
      </c>
      <c r="AU4" s="143"/>
      <c r="AV4" s="143"/>
      <c r="AW4" s="144"/>
      <c r="AX4" s="2"/>
    </row>
    <row r="5" spans="1:50" ht="15" thickBot="1" x14ac:dyDescent="0.35">
      <c r="A5" s="3" t="s">
        <v>18</v>
      </c>
      <c r="B5" s="4">
        <v>1</v>
      </c>
      <c r="C5" s="5">
        <v>2</v>
      </c>
      <c r="D5" s="5">
        <v>3</v>
      </c>
      <c r="E5" s="6">
        <v>4</v>
      </c>
      <c r="F5" s="7">
        <v>1</v>
      </c>
      <c r="G5" s="5">
        <v>2</v>
      </c>
      <c r="H5" s="5">
        <v>3</v>
      </c>
      <c r="I5" s="8">
        <v>4</v>
      </c>
      <c r="J5" s="4">
        <v>1</v>
      </c>
      <c r="K5" s="5">
        <v>2</v>
      </c>
      <c r="L5" s="5">
        <v>3</v>
      </c>
      <c r="M5" s="6">
        <v>4</v>
      </c>
      <c r="N5" s="7">
        <v>1</v>
      </c>
      <c r="O5" s="5">
        <v>2</v>
      </c>
      <c r="P5" s="5">
        <v>3</v>
      </c>
      <c r="Q5" s="8">
        <v>4</v>
      </c>
      <c r="R5" s="4">
        <v>1</v>
      </c>
      <c r="S5" s="5">
        <v>2</v>
      </c>
      <c r="T5" s="5">
        <v>3</v>
      </c>
      <c r="U5" s="6">
        <v>4</v>
      </c>
      <c r="V5" s="7">
        <v>1</v>
      </c>
      <c r="W5" s="5">
        <v>2</v>
      </c>
      <c r="X5" s="5">
        <v>3</v>
      </c>
      <c r="Y5" s="8">
        <v>4</v>
      </c>
      <c r="Z5" s="4">
        <v>1</v>
      </c>
      <c r="AA5" s="5">
        <v>2</v>
      </c>
      <c r="AB5" s="5">
        <v>3</v>
      </c>
      <c r="AC5" s="6">
        <v>4</v>
      </c>
      <c r="AD5" s="7">
        <v>1</v>
      </c>
      <c r="AE5" s="5">
        <v>2</v>
      </c>
      <c r="AF5" s="5">
        <v>3</v>
      </c>
      <c r="AG5" s="8">
        <v>4</v>
      </c>
      <c r="AH5" s="4">
        <v>1</v>
      </c>
      <c r="AI5" s="5">
        <v>2</v>
      </c>
      <c r="AJ5" s="5">
        <v>3</v>
      </c>
      <c r="AK5" s="6">
        <v>4</v>
      </c>
      <c r="AL5" s="7">
        <v>1</v>
      </c>
      <c r="AM5" s="5">
        <v>2</v>
      </c>
      <c r="AN5" s="5">
        <v>3</v>
      </c>
      <c r="AO5" s="8">
        <v>4</v>
      </c>
      <c r="AP5" s="4">
        <v>1</v>
      </c>
      <c r="AQ5" s="5">
        <v>2</v>
      </c>
      <c r="AR5" s="5">
        <v>3</v>
      </c>
      <c r="AS5" s="6">
        <v>4</v>
      </c>
      <c r="AT5" s="7">
        <v>1</v>
      </c>
      <c r="AU5" s="5">
        <v>2</v>
      </c>
      <c r="AV5" s="5">
        <v>3</v>
      </c>
      <c r="AW5" s="6">
        <v>4</v>
      </c>
      <c r="AX5" s="2"/>
    </row>
    <row r="6" spans="1:50" ht="15" thickBot="1" x14ac:dyDescent="0.35">
      <c r="A6" s="9" t="s">
        <v>19</v>
      </c>
      <c r="B6" s="10"/>
      <c r="C6" s="11"/>
      <c r="D6" s="11"/>
      <c r="E6" s="12"/>
      <c r="F6" s="10"/>
      <c r="G6" s="11"/>
      <c r="H6" s="11"/>
      <c r="I6" s="13"/>
      <c r="J6" s="14"/>
      <c r="K6" s="11"/>
      <c r="L6" s="15"/>
      <c r="M6" s="16"/>
      <c r="N6" s="17"/>
      <c r="O6" s="15"/>
      <c r="P6" s="15"/>
      <c r="Q6" s="18"/>
      <c r="R6" s="19"/>
      <c r="S6" s="15"/>
      <c r="T6" s="15"/>
      <c r="U6" s="16"/>
      <c r="V6" s="17"/>
      <c r="W6" s="15"/>
      <c r="X6" s="15"/>
      <c r="Y6" s="18"/>
      <c r="Z6" s="19"/>
      <c r="AA6" s="15"/>
      <c r="AB6" s="15"/>
      <c r="AC6" s="16"/>
      <c r="AD6" s="17"/>
      <c r="AE6" s="15"/>
      <c r="AF6" s="15"/>
      <c r="AG6" s="18"/>
      <c r="AH6" s="19"/>
      <c r="AI6" s="15"/>
      <c r="AJ6" s="15"/>
      <c r="AK6" s="16"/>
      <c r="AL6" s="17"/>
      <c r="AM6" s="15"/>
      <c r="AN6" s="15"/>
      <c r="AO6" s="18"/>
      <c r="AP6" s="19"/>
      <c r="AQ6" s="15"/>
      <c r="AR6" s="11"/>
      <c r="AS6" s="12"/>
      <c r="AT6" s="10"/>
      <c r="AU6" s="11"/>
      <c r="AV6" s="11"/>
      <c r="AW6" s="13"/>
    </row>
    <row r="7" spans="1:50" ht="15" thickBot="1" x14ac:dyDescent="0.35">
      <c r="A7" s="20" t="s">
        <v>18</v>
      </c>
      <c r="B7" s="21"/>
      <c r="C7" s="22"/>
      <c r="D7" s="22"/>
      <c r="E7" s="23"/>
      <c r="F7" s="21"/>
      <c r="G7" s="22"/>
      <c r="H7" s="24"/>
      <c r="I7" s="25"/>
      <c r="J7" s="26"/>
      <c r="K7" s="24"/>
      <c r="L7" s="22"/>
      <c r="M7" s="27"/>
      <c r="N7" s="21"/>
      <c r="O7" s="22"/>
      <c r="P7" s="22"/>
      <c r="Q7" s="28"/>
      <c r="R7" s="29"/>
      <c r="S7" s="22"/>
      <c r="T7" s="22"/>
      <c r="U7" s="27"/>
      <c r="V7" s="21"/>
      <c r="W7" s="22"/>
      <c r="X7" s="22"/>
      <c r="Y7" s="28"/>
      <c r="Z7" s="29"/>
      <c r="AA7" s="22"/>
      <c r="AB7" s="22"/>
      <c r="AC7" s="27"/>
      <c r="AD7" s="21"/>
      <c r="AE7" s="22"/>
      <c r="AF7" s="22"/>
      <c r="AG7" s="28"/>
      <c r="AH7" s="29"/>
      <c r="AI7" s="22"/>
      <c r="AJ7" s="22"/>
      <c r="AK7" s="27"/>
      <c r="AL7" s="21"/>
      <c r="AM7" s="22"/>
      <c r="AN7" s="22"/>
      <c r="AO7" s="28"/>
      <c r="AP7" s="29"/>
      <c r="AQ7" s="22"/>
      <c r="AR7" s="22"/>
      <c r="AS7" s="27"/>
      <c r="AT7" s="21"/>
      <c r="AU7" s="22"/>
      <c r="AV7" s="22"/>
      <c r="AW7" s="27"/>
      <c r="AX7" s="30"/>
    </row>
    <row r="8" spans="1:50" ht="15" thickBot="1" x14ac:dyDescent="0.35">
      <c r="A8" s="31" t="s">
        <v>20</v>
      </c>
      <c r="B8" s="32"/>
      <c r="C8" s="33"/>
      <c r="D8" s="33"/>
      <c r="E8" s="34"/>
      <c r="F8" s="32"/>
      <c r="G8" s="33"/>
      <c r="H8" s="33"/>
      <c r="I8" s="35"/>
      <c r="J8" s="36"/>
      <c r="K8" s="33"/>
      <c r="L8" s="33"/>
      <c r="M8" s="34"/>
      <c r="N8" s="32"/>
      <c r="O8" s="33"/>
      <c r="P8" s="33"/>
      <c r="Q8" s="35"/>
      <c r="R8" s="36"/>
      <c r="S8" s="33"/>
      <c r="T8" s="33"/>
      <c r="U8" s="34"/>
      <c r="V8" s="32"/>
      <c r="W8" s="33"/>
      <c r="X8" s="33"/>
      <c r="Y8" s="35"/>
      <c r="Z8" s="36"/>
      <c r="AA8" s="33"/>
      <c r="AB8" s="33"/>
      <c r="AC8" s="34"/>
      <c r="AD8" s="32"/>
      <c r="AE8" s="33"/>
      <c r="AF8" s="33"/>
      <c r="AG8" s="35"/>
      <c r="AH8" s="37"/>
      <c r="AI8" s="38"/>
      <c r="AJ8" s="33"/>
      <c r="AK8" s="34"/>
      <c r="AL8" s="32"/>
      <c r="AM8" s="33"/>
      <c r="AN8" s="33"/>
      <c r="AO8" s="35"/>
      <c r="AP8" s="36"/>
      <c r="AQ8" s="33"/>
      <c r="AR8" s="33"/>
      <c r="AS8" s="34"/>
      <c r="AT8" s="32"/>
      <c r="AU8" s="33"/>
      <c r="AV8" s="33"/>
      <c r="AW8" s="34"/>
    </row>
    <row r="9" spans="1:50" ht="15" thickBot="1" x14ac:dyDescent="0.35">
      <c r="A9" s="39" t="s">
        <v>21</v>
      </c>
      <c r="B9" s="17"/>
      <c r="C9" s="15"/>
      <c r="D9" s="15"/>
      <c r="E9" s="16"/>
      <c r="F9" s="17"/>
      <c r="G9" s="15"/>
      <c r="H9" s="15"/>
      <c r="I9" s="18"/>
      <c r="J9" s="19"/>
      <c r="K9" s="15"/>
      <c r="L9" s="40"/>
      <c r="M9" s="41"/>
      <c r="N9" s="42"/>
      <c r="O9" s="40"/>
      <c r="P9" s="40"/>
      <c r="Q9" s="43"/>
      <c r="R9" s="44"/>
      <c r="S9" s="40"/>
      <c r="T9" s="15"/>
      <c r="U9" s="16"/>
      <c r="V9" s="17"/>
      <c r="W9" s="15"/>
      <c r="X9" s="15"/>
      <c r="Y9" s="18"/>
      <c r="Z9" s="19"/>
      <c r="AA9" s="15"/>
      <c r="AB9" s="15"/>
      <c r="AC9" s="16"/>
      <c r="AD9" s="17"/>
      <c r="AE9" s="15"/>
      <c r="AF9" s="15"/>
      <c r="AG9" s="18"/>
      <c r="AH9" s="19"/>
      <c r="AI9" s="15"/>
      <c r="AJ9" s="15"/>
      <c r="AK9" s="16"/>
      <c r="AL9" s="17"/>
      <c r="AM9" s="15"/>
      <c r="AN9" s="15"/>
      <c r="AO9" s="18"/>
      <c r="AP9" s="19"/>
      <c r="AQ9" s="15"/>
      <c r="AR9" s="15"/>
      <c r="AS9" s="16"/>
      <c r="AT9" s="17"/>
      <c r="AU9" s="15"/>
      <c r="AV9" s="15"/>
      <c r="AW9" s="16"/>
    </row>
    <row r="10" spans="1:50" ht="15" thickBot="1" x14ac:dyDescent="0.35">
      <c r="A10" s="20" t="s">
        <v>22</v>
      </c>
      <c r="B10" s="21"/>
      <c r="C10" s="22"/>
      <c r="D10" s="22"/>
      <c r="E10" s="27"/>
      <c r="F10" s="45"/>
      <c r="G10" s="22"/>
      <c r="H10" s="22"/>
      <c r="I10" s="28"/>
      <c r="J10" s="29"/>
      <c r="K10" s="22"/>
      <c r="L10" s="22"/>
      <c r="M10" s="27"/>
      <c r="N10" s="21"/>
      <c r="O10" s="22"/>
      <c r="P10" s="22"/>
      <c r="Q10" s="28"/>
      <c r="R10" s="29"/>
      <c r="S10" s="22"/>
      <c r="T10" s="46"/>
      <c r="U10" s="47"/>
      <c r="V10" s="45"/>
      <c r="W10" s="46"/>
      <c r="X10" s="22"/>
      <c r="Y10" s="28"/>
      <c r="Z10" s="29"/>
      <c r="AA10" s="22"/>
      <c r="AB10" s="22"/>
      <c r="AC10" s="27"/>
      <c r="AD10" s="45"/>
      <c r="AE10" s="46"/>
      <c r="AF10" s="46"/>
      <c r="AG10" s="48"/>
      <c r="AH10" s="29"/>
      <c r="AI10" s="22"/>
      <c r="AJ10" s="22"/>
      <c r="AK10" s="27"/>
      <c r="AL10" s="45"/>
      <c r="AM10" s="46"/>
      <c r="AN10" s="46"/>
      <c r="AO10" s="48"/>
      <c r="AP10" s="29"/>
      <c r="AQ10" s="22"/>
      <c r="AR10" s="22"/>
      <c r="AS10" s="27"/>
      <c r="AT10" s="21"/>
      <c r="AU10" s="22"/>
      <c r="AV10" s="22"/>
      <c r="AW10" s="27"/>
      <c r="AX10" s="30"/>
    </row>
    <row r="11" spans="1:50" ht="15" thickBot="1" x14ac:dyDescent="0.35">
      <c r="A11" s="49" t="s">
        <v>23</v>
      </c>
      <c r="B11" s="50"/>
      <c r="C11" s="51"/>
      <c r="D11" s="51"/>
      <c r="E11" s="52"/>
      <c r="F11" s="50"/>
      <c r="G11" s="51"/>
      <c r="H11" s="51"/>
      <c r="I11" s="53"/>
      <c r="J11" s="54"/>
      <c r="K11" s="51"/>
      <c r="L11" s="51"/>
      <c r="M11" s="52"/>
      <c r="N11" s="50"/>
      <c r="O11" s="51"/>
      <c r="P11" s="51"/>
      <c r="Q11" s="53"/>
      <c r="R11" s="54"/>
      <c r="S11" s="51"/>
      <c r="T11" s="51"/>
      <c r="U11" s="52"/>
      <c r="V11" s="50"/>
      <c r="W11" s="51"/>
      <c r="X11" s="51"/>
      <c r="Y11" s="53"/>
      <c r="Z11" s="54"/>
      <c r="AA11" s="51"/>
      <c r="AB11" s="51"/>
      <c r="AC11" s="52"/>
      <c r="AD11" s="50"/>
      <c r="AE11" s="51"/>
      <c r="AF11" s="51"/>
      <c r="AG11" s="53"/>
      <c r="AH11" s="54"/>
      <c r="AI11" s="51"/>
      <c r="AJ11" s="51"/>
      <c r="AK11" s="52"/>
      <c r="AL11" s="50"/>
      <c r="AM11" s="51"/>
      <c r="AN11" s="51"/>
      <c r="AO11" s="53"/>
      <c r="AP11" s="54"/>
      <c r="AQ11" s="51"/>
      <c r="AR11" s="51"/>
      <c r="AS11" s="52"/>
      <c r="AT11" s="50"/>
      <c r="AU11" s="51"/>
      <c r="AV11" s="51"/>
      <c r="AW11" s="52"/>
      <c r="AX11" s="55"/>
    </row>
    <row r="12" spans="1:50" ht="15" thickBot="1" x14ac:dyDescent="0.35">
      <c r="A12" s="49" t="s">
        <v>24</v>
      </c>
      <c r="B12" s="50"/>
      <c r="C12" s="51"/>
      <c r="D12" s="51"/>
      <c r="E12" s="52"/>
      <c r="F12" s="50"/>
      <c r="G12" s="51"/>
      <c r="H12" s="51"/>
      <c r="I12" s="53"/>
      <c r="J12" s="54"/>
      <c r="K12" s="51"/>
      <c r="L12" s="51"/>
      <c r="M12" s="52"/>
      <c r="N12" s="50"/>
      <c r="O12" s="51"/>
      <c r="P12" s="51"/>
      <c r="Q12" s="53"/>
      <c r="R12" s="54"/>
      <c r="S12" s="51"/>
      <c r="T12" s="51"/>
      <c r="U12" s="52"/>
      <c r="V12" s="50"/>
      <c r="W12" s="51"/>
      <c r="X12" s="51"/>
      <c r="Y12" s="53"/>
      <c r="Z12" s="54"/>
      <c r="AA12" s="51"/>
      <c r="AB12" s="51"/>
      <c r="AC12" s="52"/>
      <c r="AD12" s="50"/>
      <c r="AE12" s="51"/>
      <c r="AF12" s="51"/>
      <c r="AG12" s="53"/>
      <c r="AH12" s="54"/>
      <c r="AI12" s="51"/>
      <c r="AJ12" s="51"/>
      <c r="AK12" s="52"/>
      <c r="AL12" s="50"/>
      <c r="AM12" s="51"/>
      <c r="AN12" s="51"/>
      <c r="AO12" s="53"/>
      <c r="AP12" s="54"/>
      <c r="AQ12" s="51"/>
      <c r="AR12" s="51"/>
      <c r="AS12" s="52"/>
      <c r="AT12" s="50"/>
      <c r="AU12" s="51"/>
      <c r="AV12" s="51"/>
      <c r="AW12" s="52"/>
      <c r="AX12" s="55"/>
    </row>
    <row r="13" spans="1:50" ht="15" thickBot="1" x14ac:dyDescent="0.35">
      <c r="A13" s="49" t="s">
        <v>25</v>
      </c>
      <c r="B13" s="50"/>
      <c r="C13" s="51"/>
      <c r="D13" s="51"/>
      <c r="E13" s="52"/>
      <c r="F13" s="50"/>
      <c r="G13" s="51"/>
      <c r="H13" s="51"/>
      <c r="I13" s="53"/>
      <c r="J13" s="54"/>
      <c r="K13" s="51"/>
      <c r="L13" s="51"/>
      <c r="M13" s="52"/>
      <c r="N13" s="50"/>
      <c r="O13" s="51"/>
      <c r="P13" s="51"/>
      <c r="Q13" s="53"/>
      <c r="R13" s="54"/>
      <c r="S13" s="51"/>
      <c r="T13" s="51"/>
      <c r="U13" s="52"/>
      <c r="V13" s="50"/>
      <c r="W13" s="51"/>
      <c r="X13" s="51"/>
      <c r="Y13" s="53"/>
      <c r="Z13" s="54"/>
      <c r="AA13" s="51"/>
      <c r="AB13" s="51"/>
      <c r="AC13" s="52"/>
      <c r="AD13" s="50"/>
      <c r="AE13" s="51"/>
      <c r="AF13" s="51"/>
      <c r="AG13" s="53"/>
      <c r="AH13" s="54"/>
      <c r="AI13" s="51"/>
      <c r="AJ13" s="51"/>
      <c r="AK13" s="52"/>
      <c r="AL13" s="50"/>
      <c r="AM13" s="51"/>
      <c r="AN13" s="51"/>
      <c r="AO13" s="53"/>
      <c r="AP13" s="54"/>
      <c r="AQ13" s="51"/>
      <c r="AR13" s="51"/>
      <c r="AS13" s="52"/>
      <c r="AT13" s="50"/>
      <c r="AU13" s="51"/>
      <c r="AV13" s="51"/>
      <c r="AW13" s="52"/>
      <c r="AX13" s="55"/>
    </row>
    <row r="14" spans="1:50" ht="15" thickBot="1" x14ac:dyDescent="0.35">
      <c r="A14" s="49" t="s">
        <v>26</v>
      </c>
      <c r="B14" s="50"/>
      <c r="C14" s="51"/>
      <c r="D14" s="51"/>
      <c r="E14" s="52"/>
      <c r="F14" s="50"/>
      <c r="G14" s="51"/>
      <c r="H14" s="51"/>
      <c r="I14" s="53"/>
      <c r="J14" s="54"/>
      <c r="K14" s="51"/>
      <c r="L14" s="51"/>
      <c r="M14" s="52"/>
      <c r="N14" s="50"/>
      <c r="O14" s="51"/>
      <c r="P14" s="51"/>
      <c r="Q14" s="53"/>
      <c r="R14" s="54"/>
      <c r="S14" s="51"/>
      <c r="T14" s="51"/>
      <c r="U14" s="52"/>
      <c r="V14" s="50"/>
      <c r="W14" s="51"/>
      <c r="X14" s="51"/>
      <c r="Y14" s="53"/>
      <c r="Z14" s="54"/>
      <c r="AA14" s="51"/>
      <c r="AB14" s="51"/>
      <c r="AC14" s="52"/>
      <c r="AD14" s="50"/>
      <c r="AE14" s="51"/>
      <c r="AF14" s="51"/>
      <c r="AG14" s="53"/>
      <c r="AH14" s="54"/>
      <c r="AI14" s="51"/>
      <c r="AJ14" s="51"/>
      <c r="AK14" s="52"/>
      <c r="AL14" s="50"/>
      <c r="AM14" s="51"/>
      <c r="AN14" s="51"/>
      <c r="AO14" s="53"/>
      <c r="AP14" s="54"/>
      <c r="AQ14" s="51"/>
      <c r="AR14" s="51"/>
      <c r="AS14" s="52"/>
      <c r="AT14" s="50"/>
      <c r="AU14" s="51"/>
      <c r="AV14" s="51"/>
      <c r="AW14" s="52"/>
      <c r="AX14" s="55"/>
    </row>
    <row r="15" spans="1:50" ht="15" thickBot="1" x14ac:dyDescent="0.35">
      <c r="A15" s="39" t="s">
        <v>27</v>
      </c>
      <c r="B15" s="17"/>
      <c r="C15" s="15"/>
      <c r="D15" s="15"/>
      <c r="E15" s="16"/>
      <c r="F15" s="17"/>
      <c r="G15" s="15"/>
      <c r="H15" s="15"/>
      <c r="I15" s="18"/>
      <c r="J15" s="19"/>
      <c r="K15" s="15"/>
      <c r="L15" s="15"/>
      <c r="M15" s="16"/>
      <c r="N15" s="17"/>
      <c r="O15" s="15"/>
      <c r="P15" s="15"/>
      <c r="Q15" s="18"/>
      <c r="R15" s="19"/>
      <c r="S15" s="15"/>
      <c r="T15" s="15"/>
      <c r="U15" s="56"/>
      <c r="V15" s="57"/>
      <c r="W15" s="58"/>
      <c r="X15" s="15"/>
      <c r="Y15" s="18"/>
      <c r="Z15" s="19"/>
      <c r="AA15" s="15"/>
      <c r="AB15" s="58"/>
      <c r="AC15" s="56"/>
      <c r="AD15" s="57"/>
      <c r="AE15" s="15"/>
      <c r="AF15" s="15"/>
      <c r="AG15" s="18"/>
      <c r="AH15" s="19"/>
      <c r="AI15" s="58"/>
      <c r="AJ15" s="58"/>
      <c r="AK15" s="56"/>
      <c r="AL15" s="17"/>
      <c r="AM15" s="15"/>
      <c r="AN15" s="15"/>
      <c r="AO15" s="18"/>
      <c r="AP15" s="59"/>
      <c r="AQ15" s="58"/>
      <c r="AR15" s="58"/>
      <c r="AS15" s="16"/>
      <c r="AT15" s="17"/>
      <c r="AU15" s="15"/>
      <c r="AV15" s="15"/>
      <c r="AW15" s="16"/>
    </row>
    <row r="16" spans="1:50" ht="15" thickBot="1" x14ac:dyDescent="0.35">
      <c r="A16" s="20" t="s">
        <v>28</v>
      </c>
      <c r="B16" s="21"/>
      <c r="C16" s="22"/>
      <c r="D16" s="22"/>
      <c r="E16" s="27"/>
      <c r="F16" s="21"/>
      <c r="G16" s="22"/>
      <c r="H16" s="22"/>
      <c r="I16" s="28"/>
      <c r="J16" s="29"/>
      <c r="K16" s="22"/>
      <c r="L16" s="22"/>
      <c r="M16" s="27"/>
      <c r="N16" s="21"/>
      <c r="O16" s="22"/>
      <c r="P16" s="22"/>
      <c r="Q16" s="28"/>
      <c r="R16" s="29"/>
      <c r="S16" s="22"/>
      <c r="T16" s="51"/>
      <c r="U16" s="52"/>
      <c r="V16" s="60"/>
      <c r="W16" s="61"/>
      <c r="X16" s="61"/>
      <c r="Y16" s="53"/>
      <c r="Z16" s="54"/>
      <c r="AA16" s="51"/>
      <c r="AB16" s="51"/>
      <c r="AC16" s="52"/>
      <c r="AD16" s="50"/>
      <c r="AE16" s="61"/>
      <c r="AF16" s="61"/>
      <c r="AG16" s="53"/>
      <c r="AH16" s="54"/>
      <c r="AI16" s="51"/>
      <c r="AJ16" s="51"/>
      <c r="AK16" s="52"/>
      <c r="AL16" s="61"/>
      <c r="AM16" s="61"/>
      <c r="AN16" s="51"/>
      <c r="AO16" s="53"/>
      <c r="AP16" s="62"/>
      <c r="AQ16" s="63"/>
      <c r="AR16" s="63"/>
      <c r="AS16" s="27"/>
      <c r="AT16" s="21"/>
      <c r="AU16" s="22"/>
      <c r="AV16" s="22"/>
      <c r="AW16" s="27"/>
      <c r="AX16" s="30"/>
    </row>
    <row r="17" spans="1:50" ht="15" thickBot="1" x14ac:dyDescent="0.35">
      <c r="A17" s="39" t="s">
        <v>29</v>
      </c>
      <c r="B17" s="17"/>
      <c r="C17" s="15"/>
      <c r="D17" s="15"/>
      <c r="E17" s="16"/>
      <c r="F17" s="17"/>
      <c r="G17" s="15"/>
      <c r="H17" s="15"/>
      <c r="I17" s="18"/>
      <c r="J17" s="19"/>
      <c r="K17" s="15"/>
      <c r="L17" s="15"/>
      <c r="M17" s="16"/>
      <c r="N17" s="17"/>
      <c r="O17" s="15"/>
      <c r="P17" s="15"/>
      <c r="Q17" s="18"/>
      <c r="R17" s="19"/>
      <c r="S17" s="15"/>
      <c r="T17" s="15"/>
      <c r="U17" s="16"/>
      <c r="V17" s="17"/>
      <c r="W17" s="15"/>
      <c r="X17" s="15"/>
      <c r="Y17" s="64"/>
      <c r="Z17" s="65"/>
      <c r="AA17" s="66"/>
      <c r="AB17" s="15"/>
      <c r="AC17" s="16"/>
      <c r="AD17" s="17"/>
      <c r="AE17" s="66"/>
      <c r="AF17" s="66"/>
      <c r="AG17" s="64"/>
      <c r="AH17" s="19"/>
      <c r="AI17" s="15"/>
      <c r="AJ17" s="15"/>
      <c r="AK17" s="67"/>
      <c r="AL17" s="68"/>
      <c r="AM17" s="66"/>
      <c r="AN17" s="15"/>
      <c r="AO17" s="18"/>
      <c r="AP17" s="19"/>
      <c r="AQ17" s="15"/>
      <c r="AR17" s="15"/>
      <c r="AS17" s="16"/>
      <c r="AT17" s="17"/>
      <c r="AU17" s="15"/>
      <c r="AV17" s="15"/>
      <c r="AW17" s="16"/>
    </row>
    <row r="18" spans="1:50" ht="15" thickBot="1" x14ac:dyDescent="0.35">
      <c r="A18" s="20" t="s">
        <v>30</v>
      </c>
      <c r="B18" s="21"/>
      <c r="C18" s="22"/>
      <c r="D18" s="22"/>
      <c r="E18" s="27"/>
      <c r="F18" s="21"/>
      <c r="G18" s="22"/>
      <c r="H18" s="22"/>
      <c r="I18" s="28"/>
      <c r="J18" s="29"/>
      <c r="K18" s="22"/>
      <c r="L18" s="22"/>
      <c r="M18" s="27"/>
      <c r="N18" s="21"/>
      <c r="O18" s="22"/>
      <c r="P18" s="22"/>
      <c r="Q18" s="28"/>
      <c r="R18" s="29"/>
      <c r="S18" s="22"/>
      <c r="T18" s="22"/>
      <c r="U18" s="27"/>
      <c r="V18" s="69"/>
      <c r="W18" s="70"/>
      <c r="X18" s="70"/>
      <c r="Y18" s="71"/>
      <c r="Z18" s="72"/>
      <c r="AA18" s="70"/>
      <c r="AB18" s="22"/>
      <c r="AC18" s="27"/>
      <c r="AD18" s="21"/>
      <c r="AE18" s="22"/>
      <c r="AF18" s="22"/>
      <c r="AG18" s="28"/>
      <c r="AH18" s="29"/>
      <c r="AI18" s="22"/>
      <c r="AJ18" s="22"/>
      <c r="AK18" s="27"/>
      <c r="AL18" s="21"/>
      <c r="AM18" s="22"/>
      <c r="AN18" s="22"/>
      <c r="AO18" s="28"/>
      <c r="AP18" s="29"/>
      <c r="AQ18" s="22"/>
      <c r="AR18" s="22"/>
      <c r="AS18" s="27"/>
      <c r="AT18" s="21"/>
      <c r="AU18" s="22"/>
      <c r="AV18" s="22"/>
      <c r="AW18" s="27"/>
      <c r="AX18" s="30"/>
    </row>
    <row r="19" spans="1:50" ht="15" thickBot="1" x14ac:dyDescent="0.35">
      <c r="A19" s="39" t="s">
        <v>31</v>
      </c>
      <c r="B19" s="17"/>
      <c r="C19" s="15"/>
      <c r="D19" s="15"/>
      <c r="E19" s="16"/>
      <c r="F19" s="17"/>
      <c r="G19" s="15"/>
      <c r="H19" s="15"/>
      <c r="I19" s="18"/>
      <c r="J19" s="19"/>
      <c r="K19" s="15"/>
      <c r="L19" s="15"/>
      <c r="M19" s="16"/>
      <c r="N19" s="17"/>
      <c r="O19" s="15"/>
      <c r="P19" s="15"/>
      <c r="Q19" s="18"/>
      <c r="R19" s="19"/>
      <c r="S19" s="15"/>
      <c r="T19" s="15"/>
      <c r="U19" s="16"/>
      <c r="V19" s="73"/>
      <c r="W19" s="74"/>
      <c r="X19" s="74"/>
      <c r="Y19" s="75"/>
      <c r="Z19" s="76"/>
      <c r="AA19" s="74"/>
      <c r="AB19" s="15"/>
      <c r="AC19" s="16"/>
      <c r="AD19" s="17"/>
      <c r="AE19" s="15"/>
      <c r="AF19" s="15"/>
      <c r="AG19" s="18"/>
      <c r="AH19" s="19"/>
      <c r="AI19" s="15"/>
      <c r="AJ19" s="15"/>
      <c r="AK19" s="16"/>
      <c r="AL19" s="17"/>
      <c r="AM19" s="15"/>
      <c r="AN19" s="15"/>
      <c r="AO19" s="18"/>
      <c r="AP19" s="19"/>
      <c r="AQ19" s="15"/>
      <c r="AR19" s="15"/>
      <c r="AS19" s="16"/>
      <c r="AT19" s="17"/>
      <c r="AU19" s="15"/>
      <c r="AV19" s="15"/>
      <c r="AW19" s="16"/>
    </row>
    <row r="20" spans="1:50" ht="15" thickBot="1" x14ac:dyDescent="0.35">
      <c r="A20" s="20" t="s">
        <v>32</v>
      </c>
      <c r="B20" s="21"/>
      <c r="C20" s="22"/>
      <c r="D20" s="22"/>
      <c r="E20" s="27"/>
      <c r="F20" s="21"/>
      <c r="G20" s="22"/>
      <c r="H20" s="22"/>
      <c r="I20" s="28"/>
      <c r="J20" s="29"/>
      <c r="K20" s="22"/>
      <c r="L20" s="22"/>
      <c r="M20" s="27"/>
      <c r="N20" s="21"/>
      <c r="O20" s="22"/>
      <c r="P20" s="22"/>
      <c r="Q20" s="28"/>
      <c r="R20" s="29"/>
      <c r="S20" s="22"/>
      <c r="T20" s="22"/>
      <c r="U20" s="27"/>
      <c r="V20" s="21"/>
      <c r="W20" s="22"/>
      <c r="X20" s="22"/>
      <c r="Y20" s="28"/>
      <c r="Z20" s="29"/>
      <c r="AA20" s="22"/>
      <c r="AB20" s="22"/>
      <c r="AC20" s="27"/>
      <c r="AD20" s="21"/>
      <c r="AE20" s="22"/>
      <c r="AF20" s="22"/>
      <c r="AG20" s="28"/>
      <c r="AH20" s="29"/>
      <c r="AI20" s="22"/>
      <c r="AJ20" s="22"/>
      <c r="AK20" s="27"/>
      <c r="AL20" s="21"/>
      <c r="AM20" s="22"/>
      <c r="AN20" s="22"/>
      <c r="AO20" s="28"/>
      <c r="AP20" s="77"/>
      <c r="AQ20" s="78"/>
      <c r="AR20" s="78"/>
      <c r="AS20" s="79"/>
      <c r="AT20" s="21"/>
      <c r="AU20" s="22"/>
      <c r="AV20" s="22"/>
      <c r="AW20" s="27"/>
      <c r="AX20" s="30"/>
    </row>
    <row r="21" spans="1:50" ht="15" thickBot="1" x14ac:dyDescent="0.35">
      <c r="A21" s="20" t="s">
        <v>33</v>
      </c>
      <c r="B21" s="80"/>
      <c r="C21" s="81"/>
      <c r="D21" s="22"/>
      <c r="E21" s="27"/>
      <c r="F21" s="21"/>
      <c r="G21" s="22"/>
      <c r="H21" s="22"/>
      <c r="I21" s="28"/>
      <c r="J21" s="29"/>
      <c r="K21" s="22"/>
      <c r="L21" s="22"/>
      <c r="M21" s="27"/>
      <c r="N21" s="21"/>
      <c r="O21" s="22"/>
      <c r="P21" s="22"/>
      <c r="Q21" s="28"/>
      <c r="R21" s="29"/>
      <c r="S21" s="22"/>
      <c r="T21" s="22"/>
      <c r="U21" s="27"/>
      <c r="V21" s="21"/>
      <c r="W21" s="22"/>
      <c r="X21" s="22"/>
      <c r="Y21" s="28"/>
      <c r="Z21" s="29"/>
      <c r="AA21" s="22"/>
      <c r="AB21" s="22"/>
      <c r="AC21" s="27"/>
      <c r="AD21" s="21"/>
      <c r="AE21" s="22"/>
      <c r="AF21" s="22"/>
      <c r="AG21" s="28"/>
      <c r="AH21" s="29"/>
      <c r="AI21" s="22"/>
      <c r="AJ21" s="22"/>
      <c r="AK21" s="27"/>
      <c r="AL21" s="21"/>
      <c r="AM21" s="22"/>
      <c r="AN21" s="22"/>
      <c r="AO21" s="28"/>
      <c r="AP21" s="29"/>
      <c r="AQ21" s="22"/>
      <c r="AR21" s="22"/>
      <c r="AS21" s="27"/>
      <c r="AT21" s="21"/>
      <c r="AU21" s="22"/>
      <c r="AV21" s="22"/>
      <c r="AW21" s="82"/>
      <c r="AX21" s="30"/>
    </row>
    <row r="22" spans="1:50" ht="15" thickBot="1" x14ac:dyDescent="0.35">
      <c r="A22" s="31"/>
      <c r="B22" s="32"/>
      <c r="C22" s="33"/>
      <c r="D22" s="33"/>
      <c r="E22" s="34"/>
      <c r="F22" s="32"/>
      <c r="G22" s="33"/>
      <c r="H22" s="33"/>
      <c r="I22" s="35"/>
      <c r="J22" s="36"/>
      <c r="K22" s="33"/>
      <c r="L22" s="33"/>
      <c r="M22" s="34"/>
      <c r="N22" s="32"/>
      <c r="O22" s="33"/>
      <c r="P22" s="33"/>
      <c r="Q22" s="35"/>
      <c r="R22" s="36"/>
      <c r="S22" s="33"/>
      <c r="T22" s="33"/>
      <c r="U22" s="34"/>
      <c r="V22" s="32"/>
      <c r="W22" s="33"/>
      <c r="X22" s="33"/>
      <c r="Y22" s="35"/>
      <c r="Z22" s="36"/>
      <c r="AA22" s="33"/>
      <c r="AB22" s="33"/>
      <c r="AC22" s="34"/>
      <c r="AD22" s="32"/>
      <c r="AE22" s="33"/>
      <c r="AF22" s="33"/>
      <c r="AG22" s="35"/>
      <c r="AH22" s="36"/>
      <c r="AI22" s="33"/>
      <c r="AJ22" s="33"/>
      <c r="AK22" s="34"/>
      <c r="AL22" s="32"/>
      <c r="AM22" s="33"/>
      <c r="AN22" s="33"/>
      <c r="AO22" s="35"/>
      <c r="AP22" s="36"/>
      <c r="AQ22" s="33"/>
      <c r="AR22" s="33"/>
      <c r="AS22" s="34"/>
      <c r="AT22" s="32"/>
      <c r="AU22" s="33"/>
      <c r="AV22" s="33"/>
      <c r="AW22" s="34"/>
    </row>
  </sheetData>
  <mergeCells count="12">
    <mergeCell ref="AT4:AW4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BDE9-ED73-4F0A-9C7B-0DCF6CDBAADB}">
  <dimension ref="A2:AX21"/>
  <sheetViews>
    <sheetView workbookViewId="0">
      <pane xSplit="1" topLeftCell="Y1" activePane="topRight" state="frozen"/>
      <selection pane="topRight" activeCell="Z14" sqref="Z14"/>
    </sheetView>
  </sheetViews>
  <sheetFormatPr baseColWidth="10" defaultRowHeight="14.4" x14ac:dyDescent="0.3"/>
  <cols>
    <col min="1" max="1" width="39.21875" bestFit="1" customWidth="1"/>
  </cols>
  <sheetData>
    <row r="2" spans="1:50" ht="15" thickBot="1" x14ac:dyDescent="0.35"/>
    <row r="3" spans="1:50" x14ac:dyDescent="0.3">
      <c r="A3" s="1"/>
      <c r="B3" s="142" t="s">
        <v>6</v>
      </c>
      <c r="C3" s="143"/>
      <c r="D3" s="143"/>
      <c r="E3" s="144"/>
      <c r="F3" s="145" t="s">
        <v>7</v>
      </c>
      <c r="G3" s="143"/>
      <c r="H3" s="143"/>
      <c r="I3" s="146"/>
      <c r="J3" s="142" t="s">
        <v>8</v>
      </c>
      <c r="K3" s="143"/>
      <c r="L3" s="143"/>
      <c r="M3" s="144"/>
      <c r="N3" s="145" t="s">
        <v>9</v>
      </c>
      <c r="O3" s="143"/>
      <c r="P3" s="143"/>
      <c r="Q3" s="146"/>
      <c r="R3" s="142" t="s">
        <v>10</v>
      </c>
      <c r="S3" s="143"/>
      <c r="T3" s="143"/>
      <c r="U3" s="144"/>
      <c r="V3" s="145" t="s">
        <v>11</v>
      </c>
      <c r="W3" s="143"/>
      <c r="X3" s="143"/>
      <c r="Y3" s="146"/>
      <c r="Z3" s="142" t="s">
        <v>12</v>
      </c>
      <c r="AA3" s="143"/>
      <c r="AB3" s="143"/>
      <c r="AC3" s="144"/>
      <c r="AD3" s="145" t="s">
        <v>13</v>
      </c>
      <c r="AE3" s="143"/>
      <c r="AF3" s="143"/>
      <c r="AG3" s="146"/>
      <c r="AH3" s="142" t="s">
        <v>14</v>
      </c>
      <c r="AI3" s="143"/>
      <c r="AJ3" s="143"/>
      <c r="AK3" s="144"/>
      <c r="AL3" s="145" t="s">
        <v>15</v>
      </c>
      <c r="AM3" s="143"/>
      <c r="AN3" s="143"/>
      <c r="AO3" s="146"/>
      <c r="AP3" s="142" t="s">
        <v>16</v>
      </c>
      <c r="AQ3" s="143"/>
      <c r="AR3" s="143"/>
      <c r="AS3" s="144"/>
      <c r="AT3" s="145" t="s">
        <v>17</v>
      </c>
      <c r="AU3" s="143"/>
      <c r="AV3" s="143"/>
      <c r="AW3" s="144"/>
      <c r="AX3" s="2"/>
    </row>
    <row r="4" spans="1:50" ht="15" thickBot="1" x14ac:dyDescent="0.35">
      <c r="A4" s="3" t="s">
        <v>18</v>
      </c>
      <c r="B4" s="4">
        <v>1</v>
      </c>
      <c r="C4" s="5">
        <v>2</v>
      </c>
      <c r="D4" s="5">
        <v>3</v>
      </c>
      <c r="E4" s="6">
        <v>4</v>
      </c>
      <c r="F4" s="7">
        <v>1</v>
      </c>
      <c r="G4" s="5">
        <v>2</v>
      </c>
      <c r="H4" s="5">
        <v>3</v>
      </c>
      <c r="I4" s="8">
        <v>4</v>
      </c>
      <c r="J4" s="4">
        <v>1</v>
      </c>
      <c r="K4" s="5">
        <v>2</v>
      </c>
      <c r="L4" s="5">
        <v>3</v>
      </c>
      <c r="M4" s="6">
        <v>4</v>
      </c>
      <c r="N4" s="7">
        <v>1</v>
      </c>
      <c r="O4" s="5">
        <v>2</v>
      </c>
      <c r="P4" s="5">
        <v>3</v>
      </c>
      <c r="Q4" s="8">
        <v>4</v>
      </c>
      <c r="R4" s="4">
        <v>1</v>
      </c>
      <c r="S4" s="5">
        <v>2</v>
      </c>
      <c r="T4" s="5">
        <v>3</v>
      </c>
      <c r="U4" s="6">
        <v>4</v>
      </c>
      <c r="V4" s="7">
        <v>1</v>
      </c>
      <c r="W4" s="5">
        <v>2</v>
      </c>
      <c r="X4" s="5">
        <v>3</v>
      </c>
      <c r="Y4" s="8">
        <v>4</v>
      </c>
      <c r="Z4" s="4">
        <v>1</v>
      </c>
      <c r="AA4" s="5">
        <v>2</v>
      </c>
      <c r="AB4" s="5">
        <v>3</v>
      </c>
      <c r="AC4" s="6">
        <v>4</v>
      </c>
      <c r="AD4" s="7">
        <v>1</v>
      </c>
      <c r="AE4" s="5">
        <v>2</v>
      </c>
      <c r="AF4" s="5">
        <v>3</v>
      </c>
      <c r="AG4" s="8">
        <v>4</v>
      </c>
      <c r="AH4" s="4">
        <v>1</v>
      </c>
      <c r="AI4" s="5">
        <v>2</v>
      </c>
      <c r="AJ4" s="5">
        <v>3</v>
      </c>
      <c r="AK4" s="6">
        <v>4</v>
      </c>
      <c r="AL4" s="7">
        <v>1</v>
      </c>
      <c r="AM4" s="5">
        <v>2</v>
      </c>
      <c r="AN4" s="5">
        <v>3</v>
      </c>
      <c r="AO4" s="8">
        <v>4</v>
      </c>
      <c r="AP4" s="4">
        <v>1</v>
      </c>
      <c r="AQ4" s="5">
        <v>2</v>
      </c>
      <c r="AR4" s="5">
        <v>3</v>
      </c>
      <c r="AS4" s="6">
        <v>4</v>
      </c>
      <c r="AT4" s="7">
        <v>1</v>
      </c>
      <c r="AU4" s="5">
        <v>2</v>
      </c>
      <c r="AV4" s="5">
        <v>3</v>
      </c>
      <c r="AW4" s="6">
        <v>4</v>
      </c>
      <c r="AX4" s="2"/>
    </row>
    <row r="5" spans="1:50" ht="15" thickBot="1" x14ac:dyDescent="0.35">
      <c r="A5" s="9" t="s">
        <v>19</v>
      </c>
      <c r="B5" s="10"/>
      <c r="C5" s="11"/>
      <c r="D5" s="11"/>
      <c r="E5" s="12"/>
      <c r="F5" s="10"/>
      <c r="G5" s="11"/>
      <c r="H5" s="11"/>
      <c r="I5" s="13"/>
      <c r="J5" s="19"/>
      <c r="K5" s="15"/>
      <c r="L5" s="15"/>
      <c r="M5" s="16"/>
      <c r="N5" s="17"/>
      <c r="O5" s="15"/>
      <c r="P5" s="15"/>
      <c r="Q5" s="18"/>
      <c r="R5" s="19"/>
      <c r="S5" s="15"/>
      <c r="T5" s="15"/>
      <c r="U5" s="16"/>
      <c r="V5" s="17"/>
      <c r="W5" s="15"/>
      <c r="X5" s="15"/>
      <c r="Y5" s="18"/>
      <c r="Z5" s="19"/>
      <c r="AA5" s="15"/>
      <c r="AB5" s="15"/>
      <c r="AC5" s="16"/>
      <c r="AD5" s="17"/>
      <c r="AE5" s="15"/>
      <c r="AF5" s="15"/>
      <c r="AG5" s="18"/>
      <c r="AH5" s="19"/>
      <c r="AI5" s="15"/>
      <c r="AJ5" s="15"/>
      <c r="AK5" s="16"/>
      <c r="AL5" s="17"/>
      <c r="AM5" s="15"/>
      <c r="AN5" s="15"/>
      <c r="AO5" s="18"/>
      <c r="AP5" s="19"/>
      <c r="AQ5" s="15"/>
      <c r="AR5" s="15"/>
      <c r="AS5" s="12"/>
      <c r="AT5" s="10"/>
      <c r="AU5" s="11"/>
      <c r="AV5" s="11"/>
      <c r="AW5" s="13"/>
    </row>
    <row r="6" spans="1:50" ht="15" thickBot="1" x14ac:dyDescent="0.35">
      <c r="A6" s="20" t="s">
        <v>18</v>
      </c>
      <c r="B6" s="21"/>
      <c r="C6" s="22"/>
      <c r="D6" s="22"/>
      <c r="E6" s="27"/>
      <c r="F6" s="21"/>
      <c r="G6" s="24">
        <v>4</v>
      </c>
      <c r="H6" s="24">
        <v>4</v>
      </c>
      <c r="I6" s="25">
        <v>4</v>
      </c>
      <c r="J6" s="29"/>
      <c r="K6" s="22"/>
      <c r="L6" s="22"/>
      <c r="M6" s="27"/>
      <c r="N6" s="21"/>
      <c r="O6" s="22"/>
      <c r="P6" s="22"/>
      <c r="Q6" s="28"/>
      <c r="R6" s="29"/>
      <c r="S6" s="22"/>
      <c r="T6" s="22"/>
      <c r="U6" s="27"/>
      <c r="V6" s="21"/>
      <c r="W6" s="22"/>
      <c r="X6" s="22"/>
      <c r="Y6" s="28"/>
      <c r="Z6" s="29"/>
      <c r="AA6" s="22"/>
      <c r="AB6" s="22"/>
      <c r="AC6" s="27"/>
      <c r="AD6" s="21"/>
      <c r="AE6" s="22"/>
      <c r="AF6" s="22"/>
      <c r="AG6" s="28"/>
      <c r="AH6" s="29"/>
      <c r="AI6" s="22"/>
      <c r="AJ6" s="22"/>
      <c r="AK6" s="27"/>
      <c r="AL6" s="21"/>
      <c r="AM6" s="22"/>
      <c r="AN6" s="22"/>
      <c r="AO6" s="28"/>
      <c r="AP6" s="29"/>
      <c r="AQ6" s="22"/>
      <c r="AR6" s="22"/>
      <c r="AS6" s="27"/>
      <c r="AT6" s="21"/>
      <c r="AU6" s="22"/>
      <c r="AV6" s="22"/>
      <c r="AW6" s="27"/>
      <c r="AX6" s="30"/>
    </row>
    <row r="7" spans="1:50" ht="15" thickBot="1" x14ac:dyDescent="0.35">
      <c r="A7" s="31" t="s">
        <v>20</v>
      </c>
      <c r="B7" s="32"/>
      <c r="C7" s="33"/>
      <c r="D7" s="33"/>
      <c r="E7" s="34"/>
      <c r="F7" s="32"/>
      <c r="G7" s="33"/>
      <c r="H7" s="33"/>
      <c r="I7" s="35"/>
      <c r="J7" s="36"/>
      <c r="K7" s="33"/>
      <c r="L7" s="33"/>
      <c r="M7" s="34"/>
      <c r="N7" s="32"/>
      <c r="O7" s="33"/>
      <c r="P7" s="33"/>
      <c r="Q7" s="35"/>
      <c r="R7" s="36"/>
      <c r="S7" s="33"/>
      <c r="T7" s="33"/>
      <c r="U7" s="34"/>
      <c r="V7" s="32"/>
      <c r="W7" s="38">
        <v>12</v>
      </c>
      <c r="X7" s="33"/>
      <c r="Y7" s="35"/>
      <c r="Z7" s="36"/>
      <c r="AA7" s="33"/>
      <c r="AB7" s="33"/>
      <c r="AC7" s="34"/>
      <c r="AD7" s="38">
        <v>12</v>
      </c>
      <c r="AE7" s="33"/>
      <c r="AF7" s="33"/>
      <c r="AG7" s="35"/>
      <c r="AH7" s="37"/>
      <c r="AI7" s="38"/>
      <c r="AJ7" s="33"/>
      <c r="AK7" s="34"/>
      <c r="AL7" s="32"/>
      <c r="AM7" s="33"/>
      <c r="AN7" s="33"/>
      <c r="AO7" s="35"/>
      <c r="AP7" s="36"/>
      <c r="AQ7" s="33"/>
      <c r="AR7" s="33"/>
      <c r="AS7" s="34"/>
      <c r="AT7" s="32"/>
      <c r="AU7" s="33"/>
      <c r="AV7" s="33"/>
      <c r="AW7" s="34"/>
    </row>
    <row r="8" spans="1:50" ht="15" thickBot="1" x14ac:dyDescent="0.35">
      <c r="A8" s="39" t="s">
        <v>21</v>
      </c>
      <c r="B8" s="17"/>
      <c r="C8" s="15"/>
      <c r="D8" s="15"/>
      <c r="E8" s="16"/>
      <c r="F8" s="17"/>
      <c r="G8" s="15"/>
      <c r="H8" s="15"/>
      <c r="I8" s="18"/>
      <c r="J8" s="19"/>
      <c r="K8" s="15"/>
      <c r="L8" s="15"/>
      <c r="M8" s="136">
        <v>32</v>
      </c>
      <c r="N8" s="136">
        <v>32</v>
      </c>
      <c r="O8" s="136">
        <v>32</v>
      </c>
      <c r="P8" s="136">
        <v>32</v>
      </c>
      <c r="Q8" s="136">
        <v>32</v>
      </c>
      <c r="R8" s="136">
        <v>32</v>
      </c>
      <c r="S8" s="136">
        <v>32</v>
      </c>
      <c r="T8" s="15"/>
      <c r="U8" s="16"/>
      <c r="V8" s="17"/>
      <c r="W8" s="15"/>
      <c r="X8" s="15"/>
      <c r="Y8" s="18"/>
      <c r="Z8" s="19"/>
      <c r="AA8" s="15"/>
      <c r="AB8" s="15"/>
      <c r="AC8" s="16"/>
      <c r="AD8" s="17"/>
      <c r="AE8" s="15"/>
      <c r="AF8" s="15"/>
      <c r="AG8" s="18"/>
      <c r="AH8" s="19"/>
      <c r="AI8" s="15"/>
      <c r="AJ8" s="15"/>
      <c r="AK8" s="16"/>
      <c r="AL8" s="17"/>
      <c r="AM8" s="15"/>
      <c r="AN8" s="15"/>
      <c r="AO8" s="18"/>
      <c r="AP8" s="19"/>
      <c r="AQ8" s="15"/>
      <c r="AR8" s="15"/>
      <c r="AS8" s="16"/>
      <c r="AT8" s="17"/>
      <c r="AU8" s="15"/>
      <c r="AV8" s="15"/>
      <c r="AW8" s="16"/>
    </row>
    <row r="9" spans="1:50" ht="15" thickBot="1" x14ac:dyDescent="0.35">
      <c r="A9" s="20" t="s">
        <v>22</v>
      </c>
      <c r="B9" s="21"/>
      <c r="C9" s="22"/>
      <c r="D9" s="22"/>
      <c r="E9" s="27"/>
      <c r="F9" s="21"/>
      <c r="G9" s="22"/>
      <c r="H9" s="22"/>
      <c r="I9" s="28"/>
      <c r="J9" s="29"/>
      <c r="K9" s="22"/>
      <c r="L9" s="22"/>
      <c r="M9" s="27"/>
      <c r="N9" s="21"/>
      <c r="O9" s="22"/>
      <c r="P9" s="22"/>
      <c r="Q9" s="28"/>
      <c r="R9" s="29"/>
      <c r="S9" s="22"/>
      <c r="T9" s="22"/>
      <c r="U9" s="27"/>
      <c r="V9" s="45">
        <v>24</v>
      </c>
      <c r="W9" s="22"/>
      <c r="X9" s="22"/>
      <c r="Y9" s="28"/>
      <c r="Z9" s="21"/>
      <c r="AA9" s="22"/>
      <c r="AB9" s="22"/>
      <c r="AC9" s="27"/>
      <c r="AD9" s="45">
        <v>24</v>
      </c>
      <c r="AE9" s="22"/>
      <c r="AF9" s="22"/>
      <c r="AG9" s="28"/>
      <c r="AH9" s="29"/>
      <c r="AI9" s="22"/>
      <c r="AJ9" s="22"/>
      <c r="AK9" s="27"/>
      <c r="AL9" s="21"/>
      <c r="AM9" s="22"/>
      <c r="AN9" s="22"/>
      <c r="AO9" s="28"/>
      <c r="AP9" s="29"/>
      <c r="AQ9" s="22"/>
      <c r="AR9" s="22"/>
      <c r="AS9" s="27"/>
      <c r="AT9" s="21"/>
      <c r="AU9" s="22"/>
      <c r="AV9" s="22"/>
      <c r="AW9" s="27"/>
      <c r="AX9" s="30"/>
    </row>
    <row r="10" spans="1:50" ht="15" thickBot="1" x14ac:dyDescent="0.35">
      <c r="A10" s="49" t="s">
        <v>23</v>
      </c>
      <c r="B10" s="50"/>
      <c r="C10" s="51"/>
      <c r="D10" s="51"/>
      <c r="E10" s="52"/>
      <c r="F10" s="50"/>
      <c r="G10" s="51"/>
      <c r="H10" s="51"/>
      <c r="I10" s="53"/>
      <c r="J10" s="54"/>
      <c r="K10" s="51"/>
      <c r="L10" s="51"/>
      <c r="M10" s="52"/>
      <c r="N10" s="50"/>
      <c r="O10" s="51"/>
      <c r="P10" s="51"/>
      <c r="Q10" s="53"/>
      <c r="R10" s="54"/>
      <c r="S10" s="51"/>
      <c r="T10" s="51"/>
      <c r="U10" s="52"/>
      <c r="V10" s="50"/>
      <c r="W10" s="51"/>
      <c r="X10" s="51"/>
      <c r="Y10" s="53"/>
      <c r="Z10" s="129">
        <v>12</v>
      </c>
      <c r="AA10" s="51"/>
      <c r="AB10" s="51"/>
      <c r="AC10" s="52"/>
      <c r="AD10" s="50"/>
      <c r="AE10" s="51"/>
      <c r="AF10" s="51"/>
      <c r="AG10" s="53"/>
      <c r="AH10" s="54"/>
      <c r="AI10" s="51"/>
      <c r="AJ10" s="130">
        <v>12</v>
      </c>
      <c r="AK10" s="52"/>
      <c r="AL10" s="50"/>
      <c r="AM10" s="51"/>
      <c r="AN10" s="51"/>
      <c r="AO10" s="53"/>
      <c r="AP10" s="54"/>
      <c r="AQ10" s="51"/>
      <c r="AR10" s="51"/>
      <c r="AS10" s="52"/>
      <c r="AT10" s="50"/>
      <c r="AU10" s="51"/>
      <c r="AV10" s="51"/>
      <c r="AW10" s="52"/>
      <c r="AX10" s="55"/>
    </row>
    <row r="11" spans="1:50" ht="15" thickBot="1" x14ac:dyDescent="0.35">
      <c r="A11" s="49" t="s">
        <v>24</v>
      </c>
      <c r="B11" s="50"/>
      <c r="C11" s="51"/>
      <c r="D11" s="51"/>
      <c r="E11" s="52"/>
      <c r="F11" s="50"/>
      <c r="G11" s="51"/>
      <c r="H11" s="51"/>
      <c r="I11" s="53"/>
      <c r="J11" s="54"/>
      <c r="K11" s="51"/>
      <c r="L11" s="51"/>
      <c r="M11" s="52"/>
      <c r="N11" s="50"/>
      <c r="O11" s="51"/>
      <c r="P11" s="51"/>
      <c r="Q11" s="53"/>
      <c r="R11" s="54"/>
      <c r="S11" s="51"/>
      <c r="T11" s="51"/>
      <c r="U11" s="52"/>
      <c r="V11" s="50"/>
      <c r="W11" s="51"/>
      <c r="X11" s="51"/>
      <c r="Y11" s="53"/>
      <c r="Z11" s="54"/>
      <c r="AA11" s="51"/>
      <c r="AB11" s="51"/>
      <c r="AC11" s="52"/>
      <c r="AD11" s="50"/>
      <c r="AE11" s="51"/>
      <c r="AF11" s="51"/>
      <c r="AG11" s="53"/>
      <c r="AH11" s="54"/>
      <c r="AI11" s="51"/>
      <c r="AJ11" s="51"/>
      <c r="AK11" s="52"/>
      <c r="AL11" s="50"/>
      <c r="AM11" s="51"/>
      <c r="AN11" s="51"/>
      <c r="AO11" s="53"/>
      <c r="AP11" s="54"/>
      <c r="AQ11" s="51"/>
      <c r="AR11" s="51"/>
      <c r="AS11" s="52"/>
      <c r="AT11" s="50"/>
      <c r="AU11" s="51"/>
      <c r="AV11" s="51"/>
      <c r="AW11" s="52"/>
      <c r="AX11" s="55"/>
    </row>
    <row r="12" spans="1:50" ht="15" thickBot="1" x14ac:dyDescent="0.35">
      <c r="A12" s="49" t="s">
        <v>25</v>
      </c>
      <c r="B12" s="50"/>
      <c r="C12" s="51"/>
      <c r="D12" s="51"/>
      <c r="E12" s="52"/>
      <c r="F12" s="50"/>
      <c r="G12" s="51"/>
      <c r="H12" s="51"/>
      <c r="I12" s="53"/>
      <c r="J12" s="54"/>
      <c r="K12" s="51"/>
      <c r="L12" s="51"/>
      <c r="M12" s="52"/>
      <c r="N12" s="50"/>
      <c r="O12" s="51"/>
      <c r="P12" s="51"/>
      <c r="Q12" s="53"/>
      <c r="R12" s="54"/>
      <c r="S12" s="51"/>
      <c r="T12" s="51"/>
      <c r="U12" s="52"/>
      <c r="V12" s="50"/>
      <c r="W12" s="51"/>
      <c r="X12" s="51"/>
      <c r="Y12" s="53"/>
      <c r="Z12" s="137">
        <f>7.2/2</f>
        <v>3.6</v>
      </c>
      <c r="AA12" s="51"/>
      <c r="AB12" s="51"/>
      <c r="AC12" s="52"/>
      <c r="AD12" s="50"/>
      <c r="AE12" s="51"/>
      <c r="AF12" s="51"/>
      <c r="AG12" s="53"/>
      <c r="AH12" s="137">
        <v>3.6</v>
      </c>
      <c r="AI12" s="51"/>
      <c r="AJ12" s="51"/>
      <c r="AK12" s="52"/>
      <c r="AL12" s="50"/>
      <c r="AM12" s="51"/>
      <c r="AN12" s="51"/>
      <c r="AO12" s="53"/>
      <c r="AP12" s="54"/>
      <c r="AQ12" s="51"/>
      <c r="AR12" s="51"/>
      <c r="AS12" s="52"/>
      <c r="AT12" s="50"/>
      <c r="AU12" s="51"/>
      <c r="AV12" s="51"/>
      <c r="AW12" s="52"/>
      <c r="AX12" s="55"/>
    </row>
    <row r="13" spans="1:50" ht="15" thickBot="1" x14ac:dyDescent="0.35">
      <c r="A13" s="49" t="s">
        <v>26</v>
      </c>
      <c r="B13" s="50"/>
      <c r="C13" s="51"/>
      <c r="D13" s="51"/>
      <c r="E13" s="52"/>
      <c r="F13" s="50"/>
      <c r="G13" s="51"/>
      <c r="H13" s="51"/>
      <c r="I13" s="53"/>
      <c r="J13" s="54"/>
      <c r="K13" s="51"/>
      <c r="L13" s="51"/>
      <c r="M13" s="52"/>
      <c r="N13" s="50"/>
      <c r="O13" s="51"/>
      <c r="P13" s="51"/>
      <c r="Q13" s="53"/>
      <c r="R13" s="54"/>
      <c r="S13" s="51"/>
      <c r="T13" s="51"/>
      <c r="U13" s="52"/>
      <c r="V13" s="50"/>
      <c r="W13" s="51"/>
      <c r="X13" s="51"/>
      <c r="Y13" s="53"/>
      <c r="Z13" s="54"/>
      <c r="AA13" s="51"/>
      <c r="AB13" s="51"/>
      <c r="AC13" s="52"/>
      <c r="AD13" s="50"/>
      <c r="AE13" s="51"/>
      <c r="AF13" s="51"/>
      <c r="AG13" s="53"/>
      <c r="AH13" s="54"/>
      <c r="AI13" s="51"/>
      <c r="AJ13" s="51"/>
      <c r="AK13" s="52"/>
      <c r="AL13" s="50"/>
      <c r="AM13" s="51"/>
      <c r="AN13" s="51"/>
      <c r="AO13" s="53"/>
      <c r="AP13" s="54"/>
      <c r="AQ13" s="51"/>
      <c r="AR13" s="51"/>
      <c r="AS13" s="52"/>
      <c r="AT13" s="50"/>
      <c r="AU13" s="51"/>
      <c r="AV13" s="51"/>
      <c r="AW13" s="52"/>
      <c r="AX13" s="55"/>
    </row>
    <row r="14" spans="1:50" ht="15" thickBot="1" x14ac:dyDescent="0.35">
      <c r="A14" s="39" t="s">
        <v>27</v>
      </c>
      <c r="B14" s="17"/>
      <c r="C14" s="15"/>
      <c r="D14" s="15"/>
      <c r="E14" s="16"/>
      <c r="F14" s="17"/>
      <c r="G14" s="15"/>
      <c r="H14" s="15"/>
      <c r="I14" s="18"/>
      <c r="J14" s="19"/>
      <c r="K14" s="15"/>
      <c r="L14" s="15"/>
      <c r="M14" s="16"/>
      <c r="N14" s="17"/>
      <c r="O14" s="15"/>
      <c r="P14" s="15"/>
      <c r="Q14" s="18"/>
      <c r="R14" s="19"/>
      <c r="S14" s="15"/>
      <c r="T14" s="15"/>
      <c r="U14" s="56"/>
      <c r="V14" s="57"/>
      <c r="W14" s="58"/>
      <c r="X14" s="15"/>
      <c r="Y14" s="18"/>
      <c r="Z14" s="19"/>
      <c r="AA14" s="15"/>
      <c r="AB14" s="58"/>
      <c r="AC14" s="56"/>
      <c r="AD14" s="57"/>
      <c r="AE14" s="15"/>
      <c r="AF14" s="15"/>
      <c r="AG14" s="18"/>
      <c r="AH14" s="19"/>
      <c r="AI14" s="58"/>
      <c r="AJ14" s="58"/>
      <c r="AK14" s="56"/>
      <c r="AL14" s="17"/>
      <c r="AM14" s="15"/>
      <c r="AN14" s="15"/>
      <c r="AO14" s="18"/>
      <c r="AP14" s="59"/>
      <c r="AQ14" s="58"/>
      <c r="AR14" s="58"/>
      <c r="AS14" s="16"/>
      <c r="AT14" s="17"/>
      <c r="AU14" s="15"/>
      <c r="AV14" s="15"/>
      <c r="AW14" s="16"/>
    </row>
    <row r="15" spans="1:50" ht="15" thickBot="1" x14ac:dyDescent="0.35">
      <c r="A15" s="20" t="s">
        <v>28</v>
      </c>
      <c r="B15" s="21"/>
      <c r="C15" s="22"/>
      <c r="D15" s="22"/>
      <c r="E15" s="27"/>
      <c r="F15" s="21"/>
      <c r="G15" s="22"/>
      <c r="H15" s="22"/>
      <c r="I15" s="28"/>
      <c r="J15" s="29"/>
      <c r="K15" s="22"/>
      <c r="L15" s="22"/>
      <c r="M15" s="27"/>
      <c r="N15" s="21"/>
      <c r="O15" s="22"/>
      <c r="P15" s="22"/>
      <c r="Q15" s="28"/>
      <c r="R15" s="29"/>
      <c r="S15" s="22"/>
      <c r="T15" s="51"/>
      <c r="U15" s="52"/>
      <c r="V15" s="60"/>
      <c r="W15" s="61"/>
      <c r="X15" s="61"/>
      <c r="Y15" s="53"/>
      <c r="Z15" s="54"/>
      <c r="AA15" s="51"/>
      <c r="AB15" s="51"/>
      <c r="AC15" s="52"/>
      <c r="AD15" s="50"/>
      <c r="AE15" s="61"/>
      <c r="AF15" s="61"/>
      <c r="AG15" s="53"/>
      <c r="AH15" s="54"/>
      <c r="AI15" s="51"/>
      <c r="AJ15" s="51"/>
      <c r="AK15" s="52"/>
      <c r="AL15" s="61"/>
      <c r="AM15" s="61"/>
      <c r="AN15" s="51"/>
      <c r="AO15" s="53"/>
      <c r="AP15" s="62"/>
      <c r="AQ15" s="63"/>
      <c r="AR15" s="63"/>
      <c r="AS15" s="27"/>
      <c r="AT15" s="21"/>
      <c r="AU15" s="22"/>
      <c r="AV15" s="22"/>
      <c r="AW15" s="27"/>
      <c r="AX15" s="30"/>
    </row>
    <row r="16" spans="1:50" ht="15" thickBot="1" x14ac:dyDescent="0.35">
      <c r="A16" s="39" t="s">
        <v>29</v>
      </c>
      <c r="B16" s="17"/>
      <c r="C16" s="15"/>
      <c r="D16" s="15"/>
      <c r="E16" s="16"/>
      <c r="F16" s="17"/>
      <c r="G16" s="15"/>
      <c r="H16" s="15"/>
      <c r="I16" s="18"/>
      <c r="J16" s="19"/>
      <c r="K16" s="15"/>
      <c r="L16" s="15"/>
      <c r="M16" s="16"/>
      <c r="N16" s="17"/>
      <c r="O16" s="15"/>
      <c r="P16" s="15"/>
      <c r="Q16" s="18"/>
      <c r="R16" s="19"/>
      <c r="S16" s="15"/>
      <c r="T16" s="15"/>
      <c r="U16" s="16"/>
      <c r="V16" s="17"/>
      <c r="W16" s="15"/>
      <c r="X16" s="15"/>
      <c r="Y16" s="64"/>
      <c r="Z16" s="65"/>
      <c r="AA16" s="66"/>
      <c r="AB16" s="15"/>
      <c r="AC16" s="16"/>
      <c r="AD16" s="17"/>
      <c r="AE16" s="66"/>
      <c r="AF16" s="66"/>
      <c r="AG16" s="64"/>
      <c r="AH16" s="19"/>
      <c r="AI16" s="15"/>
      <c r="AJ16" s="15"/>
      <c r="AK16" s="67"/>
      <c r="AL16" s="68"/>
      <c r="AM16" s="66"/>
      <c r="AN16" s="15"/>
      <c r="AO16" s="18"/>
      <c r="AP16" s="19"/>
      <c r="AQ16" s="15"/>
      <c r="AR16" s="15"/>
      <c r="AS16" s="16"/>
      <c r="AT16" s="17"/>
      <c r="AU16" s="15"/>
      <c r="AV16" s="15"/>
      <c r="AW16" s="16"/>
    </row>
    <row r="17" spans="1:50" ht="15" thickBot="1" x14ac:dyDescent="0.35">
      <c r="A17" s="20" t="s">
        <v>30</v>
      </c>
      <c r="B17" s="21"/>
      <c r="C17" s="22"/>
      <c r="D17" s="22"/>
      <c r="E17" s="27"/>
      <c r="F17" s="21"/>
      <c r="G17" s="22"/>
      <c r="H17" s="22"/>
      <c r="I17" s="28"/>
      <c r="J17" s="29"/>
      <c r="K17" s="22"/>
      <c r="L17" s="22"/>
      <c r="M17" s="27"/>
      <c r="N17" s="21"/>
      <c r="O17" s="22"/>
      <c r="P17" s="22"/>
      <c r="Q17" s="28"/>
      <c r="R17" s="29"/>
      <c r="S17" s="22"/>
      <c r="T17" s="22"/>
      <c r="U17" s="27"/>
      <c r="V17" s="69"/>
      <c r="W17" s="70"/>
      <c r="X17" s="70"/>
      <c r="Y17" s="71"/>
      <c r="Z17" s="72"/>
      <c r="AA17" s="70"/>
      <c r="AB17" s="22"/>
      <c r="AC17" s="27"/>
      <c r="AD17" s="21"/>
      <c r="AE17" s="22"/>
      <c r="AF17" s="22"/>
      <c r="AG17" s="28"/>
      <c r="AH17" s="29"/>
      <c r="AI17" s="22"/>
      <c r="AJ17" s="22"/>
      <c r="AK17" s="27"/>
      <c r="AL17" s="21"/>
      <c r="AM17" s="22"/>
      <c r="AN17" s="22"/>
      <c r="AO17" s="28"/>
      <c r="AP17" s="29"/>
      <c r="AQ17" s="22"/>
      <c r="AR17" s="22"/>
      <c r="AS17" s="27"/>
      <c r="AT17" s="21"/>
      <c r="AU17" s="22"/>
      <c r="AV17" s="22"/>
      <c r="AW17" s="27"/>
      <c r="AX17" s="30"/>
    </row>
    <row r="18" spans="1:50" ht="15" thickBot="1" x14ac:dyDescent="0.35">
      <c r="A18" s="39" t="s">
        <v>31</v>
      </c>
      <c r="B18" s="17"/>
      <c r="C18" s="15"/>
      <c r="D18" s="15"/>
      <c r="E18" s="16"/>
      <c r="F18" s="17"/>
      <c r="G18" s="15"/>
      <c r="H18" s="15"/>
      <c r="I18" s="18"/>
      <c r="J18" s="19"/>
      <c r="K18" s="15"/>
      <c r="L18" s="15"/>
      <c r="M18" s="16"/>
      <c r="N18" s="17"/>
      <c r="O18" s="15"/>
      <c r="P18" s="15"/>
      <c r="Q18" s="18"/>
      <c r="R18" s="19"/>
      <c r="S18" s="15"/>
      <c r="T18" s="15"/>
      <c r="U18" s="16"/>
      <c r="V18" s="73"/>
      <c r="W18" s="74"/>
      <c r="X18" s="74"/>
      <c r="Y18" s="75"/>
      <c r="Z18" s="76"/>
      <c r="AA18" s="74"/>
      <c r="AB18" s="15"/>
      <c r="AC18" s="16"/>
      <c r="AD18" s="17"/>
      <c r="AE18" s="15"/>
      <c r="AF18" s="15"/>
      <c r="AG18" s="18"/>
      <c r="AH18" s="19"/>
      <c r="AI18" s="15"/>
      <c r="AJ18" s="15"/>
      <c r="AK18" s="16"/>
      <c r="AL18" s="17"/>
      <c r="AM18" s="15"/>
      <c r="AN18" s="15"/>
      <c r="AO18" s="18"/>
      <c r="AP18" s="19"/>
      <c r="AQ18" s="15"/>
      <c r="AR18" s="15"/>
      <c r="AS18" s="16"/>
      <c r="AT18" s="17"/>
      <c r="AU18" s="15"/>
      <c r="AV18" s="15"/>
      <c r="AW18" s="16"/>
    </row>
    <row r="19" spans="1:50" ht="15" thickBot="1" x14ac:dyDescent="0.35">
      <c r="A19" s="20" t="s">
        <v>32</v>
      </c>
      <c r="B19" s="21"/>
      <c r="C19" s="22"/>
      <c r="D19" s="22"/>
      <c r="E19" s="27"/>
      <c r="F19" s="21"/>
      <c r="G19" s="22"/>
      <c r="H19" s="22"/>
      <c r="I19" s="28"/>
      <c r="J19" s="29"/>
      <c r="K19" s="22"/>
      <c r="L19" s="22"/>
      <c r="M19" s="27"/>
      <c r="N19" s="21"/>
      <c r="O19" s="22"/>
      <c r="P19" s="22"/>
      <c r="Q19" s="28"/>
      <c r="R19" s="29"/>
      <c r="S19" s="22"/>
      <c r="T19" s="22"/>
      <c r="U19" s="27"/>
      <c r="V19" s="21"/>
      <c r="W19" s="22"/>
      <c r="X19" s="22"/>
      <c r="Y19" s="28"/>
      <c r="Z19" s="29"/>
      <c r="AA19" s="22"/>
      <c r="AB19" s="22"/>
      <c r="AC19" s="27"/>
      <c r="AD19" s="21"/>
      <c r="AE19" s="22"/>
      <c r="AF19" s="22"/>
      <c r="AG19" s="28"/>
      <c r="AH19" s="29"/>
      <c r="AI19" s="22"/>
      <c r="AJ19" s="22"/>
      <c r="AK19" s="27"/>
      <c r="AL19" s="21"/>
      <c r="AM19" s="22"/>
      <c r="AN19" s="22"/>
      <c r="AO19" s="28"/>
      <c r="AP19" s="77"/>
      <c r="AQ19" s="78"/>
      <c r="AR19" s="78"/>
      <c r="AS19" s="79"/>
      <c r="AT19" s="21"/>
      <c r="AU19" s="22"/>
      <c r="AV19" s="22"/>
      <c r="AW19" s="27"/>
      <c r="AX19" s="30"/>
    </row>
    <row r="20" spans="1:50" ht="15" thickBot="1" x14ac:dyDescent="0.35">
      <c r="A20" s="20" t="s">
        <v>33</v>
      </c>
      <c r="B20" s="80"/>
      <c r="C20" s="81"/>
      <c r="D20" s="22"/>
      <c r="E20" s="27"/>
      <c r="F20" s="21"/>
      <c r="G20" s="22"/>
      <c r="H20" s="22"/>
      <c r="I20" s="28"/>
      <c r="J20" s="29"/>
      <c r="K20" s="22"/>
      <c r="L20" s="22"/>
      <c r="M20" s="27"/>
      <c r="N20" s="21"/>
      <c r="O20" s="22"/>
      <c r="P20" s="22"/>
      <c r="Q20" s="28"/>
      <c r="R20" s="29"/>
      <c r="S20" s="22"/>
      <c r="T20" s="22"/>
      <c r="U20" s="27"/>
      <c r="V20" s="21"/>
      <c r="W20" s="22"/>
      <c r="X20" s="22"/>
      <c r="Y20" s="28"/>
      <c r="Z20" s="29"/>
      <c r="AA20" s="22"/>
      <c r="AB20" s="22"/>
      <c r="AC20" s="27"/>
      <c r="AD20" s="21"/>
      <c r="AE20" s="22"/>
      <c r="AF20" s="22"/>
      <c r="AG20" s="28"/>
      <c r="AH20" s="29"/>
      <c r="AI20" s="22"/>
      <c r="AJ20" s="22"/>
      <c r="AK20" s="27"/>
      <c r="AL20" s="21"/>
      <c r="AM20" s="22"/>
      <c r="AN20" s="22"/>
      <c r="AO20" s="28"/>
      <c r="AP20" s="29"/>
      <c r="AQ20" s="22"/>
      <c r="AR20" s="22"/>
      <c r="AS20" s="27"/>
      <c r="AT20" s="21"/>
      <c r="AU20" s="22"/>
      <c r="AV20" s="22"/>
      <c r="AW20" s="82"/>
      <c r="AX20" s="30"/>
    </row>
    <row r="21" spans="1:50" ht="15" thickBot="1" x14ac:dyDescent="0.35">
      <c r="A21" s="31"/>
      <c r="B21" s="32"/>
      <c r="C21" s="33"/>
      <c r="D21" s="33"/>
      <c r="E21" s="34"/>
      <c r="F21" s="32"/>
      <c r="G21" s="33"/>
      <c r="H21" s="33"/>
      <c r="I21" s="35"/>
      <c r="J21" s="36"/>
      <c r="K21" s="33"/>
      <c r="L21" s="33"/>
      <c r="M21" s="34"/>
      <c r="N21" s="32"/>
      <c r="O21" s="33"/>
      <c r="P21" s="33"/>
      <c r="Q21" s="35"/>
      <c r="R21" s="36"/>
      <c r="S21" s="33"/>
      <c r="T21" s="33"/>
      <c r="U21" s="34"/>
      <c r="V21" s="32"/>
      <c r="W21" s="33"/>
      <c r="X21" s="33"/>
      <c r="Y21" s="35"/>
      <c r="Z21" s="36"/>
      <c r="AA21" s="33"/>
      <c r="AB21" s="33"/>
      <c r="AC21" s="34"/>
      <c r="AD21" s="32"/>
      <c r="AE21" s="33"/>
      <c r="AF21" s="33"/>
      <c r="AG21" s="35"/>
      <c r="AH21" s="36"/>
      <c r="AI21" s="33"/>
      <c r="AJ21" s="33"/>
      <c r="AK21" s="34"/>
      <c r="AL21" s="32"/>
      <c r="AM21" s="33"/>
      <c r="AN21" s="33"/>
      <c r="AO21" s="35"/>
      <c r="AP21" s="36"/>
      <c r="AQ21" s="33"/>
      <c r="AR21" s="33"/>
      <c r="AS21" s="34"/>
      <c r="AT21" s="32"/>
      <c r="AU21" s="33"/>
      <c r="AV21" s="33"/>
      <c r="AW21" s="34"/>
    </row>
  </sheetData>
  <mergeCells count="12">
    <mergeCell ref="AT3:AW3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B10C-EF29-4498-BA7D-797367139A35}">
  <dimension ref="A1:AX21"/>
  <sheetViews>
    <sheetView workbookViewId="0">
      <selection activeCell="A3" sqref="A3:AX21"/>
    </sheetView>
  </sheetViews>
  <sheetFormatPr baseColWidth="10" defaultRowHeight="14.4" x14ac:dyDescent="0.3"/>
  <sheetData>
    <row r="1" spans="1:50" x14ac:dyDescent="0.3">
      <c r="A1" t="s">
        <v>3</v>
      </c>
    </row>
    <row r="2" spans="1:50" ht="15" thickBot="1" x14ac:dyDescent="0.35"/>
    <row r="3" spans="1:50" x14ac:dyDescent="0.3">
      <c r="A3" s="1"/>
      <c r="B3" s="142" t="s">
        <v>6</v>
      </c>
      <c r="C3" s="143"/>
      <c r="D3" s="143"/>
      <c r="E3" s="144"/>
      <c r="F3" s="145" t="s">
        <v>7</v>
      </c>
      <c r="G3" s="143"/>
      <c r="H3" s="143"/>
      <c r="I3" s="146"/>
      <c r="J3" s="142" t="s">
        <v>8</v>
      </c>
      <c r="K3" s="143"/>
      <c r="L3" s="143"/>
      <c r="M3" s="144"/>
      <c r="N3" s="145" t="s">
        <v>9</v>
      </c>
      <c r="O3" s="143"/>
      <c r="P3" s="143"/>
      <c r="Q3" s="146"/>
      <c r="R3" s="142" t="s">
        <v>10</v>
      </c>
      <c r="S3" s="143"/>
      <c r="T3" s="143"/>
      <c r="U3" s="144"/>
      <c r="V3" s="145" t="s">
        <v>11</v>
      </c>
      <c r="W3" s="143"/>
      <c r="X3" s="143"/>
      <c r="Y3" s="146"/>
      <c r="Z3" s="142" t="s">
        <v>12</v>
      </c>
      <c r="AA3" s="143"/>
      <c r="AB3" s="143"/>
      <c r="AC3" s="144"/>
      <c r="AD3" s="145" t="s">
        <v>13</v>
      </c>
      <c r="AE3" s="143"/>
      <c r="AF3" s="143"/>
      <c r="AG3" s="146"/>
      <c r="AH3" s="142" t="s">
        <v>14</v>
      </c>
      <c r="AI3" s="143"/>
      <c r="AJ3" s="143"/>
      <c r="AK3" s="144"/>
      <c r="AL3" s="145" t="s">
        <v>15</v>
      </c>
      <c r="AM3" s="143"/>
      <c r="AN3" s="143"/>
      <c r="AO3" s="146"/>
      <c r="AP3" s="142" t="s">
        <v>16</v>
      </c>
      <c r="AQ3" s="143"/>
      <c r="AR3" s="143"/>
      <c r="AS3" s="144"/>
      <c r="AT3" s="145" t="s">
        <v>17</v>
      </c>
      <c r="AU3" s="143"/>
      <c r="AV3" s="143"/>
      <c r="AW3" s="144"/>
      <c r="AX3" s="2"/>
    </row>
    <row r="4" spans="1:50" ht="15" thickBot="1" x14ac:dyDescent="0.35">
      <c r="A4" s="3" t="s">
        <v>18</v>
      </c>
      <c r="B4" s="4">
        <v>1</v>
      </c>
      <c r="C4" s="5">
        <v>2</v>
      </c>
      <c r="D4" s="5">
        <v>3</v>
      </c>
      <c r="E4" s="6">
        <v>4</v>
      </c>
      <c r="F4" s="7">
        <v>1</v>
      </c>
      <c r="G4" s="5">
        <v>2</v>
      </c>
      <c r="H4" s="5">
        <v>3</v>
      </c>
      <c r="I4" s="8">
        <v>4</v>
      </c>
      <c r="J4" s="4">
        <v>1</v>
      </c>
      <c r="K4" s="5">
        <v>2</v>
      </c>
      <c r="L4" s="5">
        <v>3</v>
      </c>
      <c r="M4" s="6">
        <v>4</v>
      </c>
      <c r="N4" s="7">
        <v>1</v>
      </c>
      <c r="O4" s="5">
        <v>2</v>
      </c>
      <c r="P4" s="5">
        <v>3</v>
      </c>
      <c r="Q4" s="8">
        <v>4</v>
      </c>
      <c r="R4" s="4">
        <v>1</v>
      </c>
      <c r="S4" s="5">
        <v>2</v>
      </c>
      <c r="T4" s="5">
        <v>3</v>
      </c>
      <c r="U4" s="6">
        <v>4</v>
      </c>
      <c r="V4" s="7">
        <v>1</v>
      </c>
      <c r="W4" s="5">
        <v>2</v>
      </c>
      <c r="X4" s="5">
        <v>3</v>
      </c>
      <c r="Y4" s="8">
        <v>4</v>
      </c>
      <c r="Z4" s="4">
        <v>1</v>
      </c>
      <c r="AA4" s="5">
        <v>2</v>
      </c>
      <c r="AB4" s="5">
        <v>3</v>
      </c>
      <c r="AC4" s="6">
        <v>4</v>
      </c>
      <c r="AD4" s="7">
        <v>1</v>
      </c>
      <c r="AE4" s="5">
        <v>2</v>
      </c>
      <c r="AF4" s="5">
        <v>3</v>
      </c>
      <c r="AG4" s="8">
        <v>4</v>
      </c>
      <c r="AH4" s="4">
        <v>1</v>
      </c>
      <c r="AI4" s="5">
        <v>2</v>
      </c>
      <c r="AJ4" s="5">
        <v>3</v>
      </c>
      <c r="AK4" s="6">
        <v>4</v>
      </c>
      <c r="AL4" s="7">
        <v>1</v>
      </c>
      <c r="AM4" s="5">
        <v>2</v>
      </c>
      <c r="AN4" s="5">
        <v>3</v>
      </c>
      <c r="AO4" s="8">
        <v>4</v>
      </c>
      <c r="AP4" s="4">
        <v>1</v>
      </c>
      <c r="AQ4" s="5">
        <v>2</v>
      </c>
      <c r="AR4" s="5">
        <v>3</v>
      </c>
      <c r="AS4" s="6">
        <v>4</v>
      </c>
      <c r="AT4" s="7">
        <v>1</v>
      </c>
      <c r="AU4" s="5">
        <v>2</v>
      </c>
      <c r="AV4" s="5">
        <v>3</v>
      </c>
      <c r="AW4" s="6">
        <v>4</v>
      </c>
      <c r="AX4" s="2"/>
    </row>
    <row r="5" spans="1:50" ht="15" thickBot="1" x14ac:dyDescent="0.35">
      <c r="A5" s="9" t="s">
        <v>19</v>
      </c>
      <c r="B5" s="10"/>
      <c r="C5" s="11"/>
      <c r="D5" s="11"/>
      <c r="E5" s="12"/>
      <c r="F5" s="10"/>
      <c r="G5" s="11"/>
      <c r="H5" s="11"/>
      <c r="I5" s="13"/>
      <c r="J5" s="14"/>
      <c r="K5" s="11"/>
      <c r="L5" s="15"/>
      <c r="M5" s="16"/>
      <c r="N5" s="17"/>
      <c r="O5" s="15"/>
      <c r="P5" s="15"/>
      <c r="Q5" s="18"/>
      <c r="R5" s="19"/>
      <c r="S5" s="15"/>
      <c r="T5" s="15"/>
      <c r="U5" s="16"/>
      <c r="V5" s="17"/>
      <c r="W5" s="15"/>
      <c r="X5" s="15"/>
      <c r="Y5" s="18"/>
      <c r="Z5" s="19"/>
      <c r="AA5" s="15"/>
      <c r="AB5" s="15"/>
      <c r="AC5" s="16"/>
      <c r="AD5" s="17"/>
      <c r="AE5" s="15"/>
      <c r="AF5" s="15"/>
      <c r="AG5" s="18"/>
      <c r="AH5" s="19"/>
      <c r="AI5" s="15"/>
      <c r="AJ5" s="15"/>
      <c r="AK5" s="16"/>
      <c r="AL5" s="17"/>
      <c r="AM5" s="15"/>
      <c r="AN5" s="15"/>
      <c r="AO5" s="18"/>
      <c r="AP5" s="19"/>
      <c r="AQ5" s="15"/>
      <c r="AR5" s="11"/>
      <c r="AS5" s="12"/>
      <c r="AT5" s="10"/>
      <c r="AU5" s="11"/>
      <c r="AV5" s="11"/>
      <c r="AW5" s="13"/>
    </row>
    <row r="6" spans="1:50" ht="15" thickBot="1" x14ac:dyDescent="0.35">
      <c r="A6" s="20" t="s">
        <v>18</v>
      </c>
      <c r="B6" s="21"/>
      <c r="C6" s="22"/>
      <c r="D6" s="22"/>
      <c r="E6" s="23"/>
      <c r="F6" s="21"/>
      <c r="G6" s="22"/>
      <c r="H6" s="24"/>
      <c r="I6" s="25"/>
      <c r="J6" s="26"/>
      <c r="K6" s="24"/>
      <c r="L6" s="22"/>
      <c r="M6" s="27"/>
      <c r="N6" s="21"/>
      <c r="O6" s="22"/>
      <c r="P6" s="22"/>
      <c r="Q6" s="28"/>
      <c r="R6" s="29"/>
      <c r="S6" s="22"/>
      <c r="T6" s="22"/>
      <c r="U6" s="27"/>
      <c r="V6" s="21"/>
      <c r="W6" s="22"/>
      <c r="X6" s="22"/>
      <c r="Y6" s="28"/>
      <c r="Z6" s="29"/>
      <c r="AA6" s="22"/>
      <c r="AB6" s="22"/>
      <c r="AC6" s="27"/>
      <c r="AD6" s="21"/>
      <c r="AE6" s="22"/>
      <c r="AF6" s="22"/>
      <c r="AG6" s="28"/>
      <c r="AH6" s="29"/>
      <c r="AI6" s="22"/>
      <c r="AJ6" s="22"/>
      <c r="AK6" s="27"/>
      <c r="AL6" s="21"/>
      <c r="AM6" s="22"/>
      <c r="AN6" s="22"/>
      <c r="AO6" s="28"/>
      <c r="AP6" s="29"/>
      <c r="AQ6" s="22"/>
      <c r="AR6" s="22"/>
      <c r="AS6" s="27"/>
      <c r="AT6" s="21"/>
      <c r="AU6" s="22"/>
      <c r="AV6" s="22"/>
      <c r="AW6" s="27"/>
      <c r="AX6" s="30"/>
    </row>
    <row r="7" spans="1:50" ht="15" thickBot="1" x14ac:dyDescent="0.35">
      <c r="A7" s="31" t="s">
        <v>20</v>
      </c>
      <c r="B7" s="32"/>
      <c r="C7" s="33"/>
      <c r="D7" s="33"/>
      <c r="E7" s="34"/>
      <c r="F7" s="32"/>
      <c r="G7" s="33"/>
      <c r="H7" s="33"/>
      <c r="I7" s="35"/>
      <c r="J7" s="36"/>
      <c r="K7" s="33"/>
      <c r="L7" s="33"/>
      <c r="M7" s="34"/>
      <c r="N7" s="32"/>
      <c r="O7" s="33"/>
      <c r="P7" s="33"/>
      <c r="Q7" s="35"/>
      <c r="R7" s="36"/>
      <c r="S7" s="33"/>
      <c r="T7" s="33"/>
      <c r="U7" s="34"/>
      <c r="V7" s="32"/>
      <c r="W7" s="33"/>
      <c r="X7" s="33"/>
      <c r="Y7" s="35"/>
      <c r="Z7" s="36"/>
      <c r="AA7" s="33"/>
      <c r="AB7" s="33"/>
      <c r="AC7" s="34"/>
      <c r="AD7" s="32"/>
      <c r="AE7" s="33"/>
      <c r="AF7" s="33"/>
      <c r="AG7" s="35"/>
      <c r="AH7" s="37"/>
      <c r="AI7" s="38"/>
      <c r="AJ7" s="33"/>
      <c r="AK7" s="34"/>
      <c r="AL7" s="32"/>
      <c r="AM7" s="33"/>
      <c r="AN7" s="33"/>
      <c r="AO7" s="35"/>
      <c r="AP7" s="36"/>
      <c r="AQ7" s="33"/>
      <c r="AR7" s="33"/>
      <c r="AS7" s="34"/>
      <c r="AT7" s="32"/>
      <c r="AU7" s="33"/>
      <c r="AV7" s="33"/>
      <c r="AW7" s="34"/>
    </row>
    <row r="8" spans="1:50" ht="15" thickBot="1" x14ac:dyDescent="0.35">
      <c r="A8" s="39" t="s">
        <v>21</v>
      </c>
      <c r="B8" s="17"/>
      <c r="C8" s="15"/>
      <c r="D8" s="15"/>
      <c r="E8" s="16"/>
      <c r="F8" s="17"/>
      <c r="G8" s="15"/>
      <c r="H8" s="15"/>
      <c r="I8" s="18"/>
      <c r="J8" s="19"/>
      <c r="K8" s="15"/>
      <c r="L8" s="40"/>
      <c r="M8" s="41"/>
      <c r="N8" s="42"/>
      <c r="O8" s="40"/>
      <c r="P8" s="40"/>
      <c r="Q8" s="43"/>
      <c r="R8" s="44"/>
      <c r="S8" s="40"/>
      <c r="T8" s="15"/>
      <c r="U8" s="16"/>
      <c r="V8" s="17"/>
      <c r="W8" s="15"/>
      <c r="X8" s="15"/>
      <c r="Y8" s="18"/>
      <c r="Z8" s="19"/>
      <c r="AA8" s="15"/>
      <c r="AB8" s="15"/>
      <c r="AC8" s="16"/>
      <c r="AD8" s="17"/>
      <c r="AE8" s="15"/>
      <c r="AF8" s="15"/>
      <c r="AG8" s="18"/>
      <c r="AH8" s="19"/>
      <c r="AI8" s="15"/>
      <c r="AJ8" s="15"/>
      <c r="AK8" s="16"/>
      <c r="AL8" s="17"/>
      <c r="AM8" s="15"/>
      <c r="AN8" s="15"/>
      <c r="AO8" s="18"/>
      <c r="AP8" s="19"/>
      <c r="AQ8" s="15"/>
      <c r="AR8" s="15"/>
      <c r="AS8" s="16"/>
      <c r="AT8" s="17"/>
      <c r="AU8" s="15"/>
      <c r="AV8" s="15"/>
      <c r="AW8" s="16"/>
    </row>
    <row r="9" spans="1:50" ht="15" thickBot="1" x14ac:dyDescent="0.35">
      <c r="A9" s="20" t="s">
        <v>22</v>
      </c>
      <c r="B9" s="21"/>
      <c r="C9" s="22"/>
      <c r="D9" s="22"/>
      <c r="E9" s="27"/>
      <c r="F9" s="45"/>
      <c r="G9" s="22"/>
      <c r="H9" s="22"/>
      <c r="I9" s="28"/>
      <c r="J9" s="29"/>
      <c r="K9" s="22"/>
      <c r="L9" s="22"/>
      <c r="M9" s="27"/>
      <c r="N9" s="21"/>
      <c r="O9" s="22"/>
      <c r="P9" s="22"/>
      <c r="Q9" s="28"/>
      <c r="R9" s="29"/>
      <c r="S9" s="22"/>
      <c r="T9" s="46"/>
      <c r="U9" s="47"/>
      <c r="V9" s="45"/>
      <c r="W9" s="46"/>
      <c r="X9" s="22"/>
      <c r="Y9" s="28"/>
      <c r="Z9" s="29"/>
      <c r="AA9" s="22"/>
      <c r="AB9" s="22"/>
      <c r="AC9" s="27"/>
      <c r="AD9" s="45"/>
      <c r="AE9" s="46"/>
      <c r="AF9" s="46"/>
      <c r="AG9" s="48"/>
      <c r="AH9" s="29"/>
      <c r="AI9" s="22"/>
      <c r="AJ9" s="22"/>
      <c r="AK9" s="27"/>
      <c r="AL9" s="45"/>
      <c r="AM9" s="46"/>
      <c r="AN9" s="46"/>
      <c r="AO9" s="48"/>
      <c r="AP9" s="29"/>
      <c r="AQ9" s="22"/>
      <c r="AR9" s="22"/>
      <c r="AS9" s="27"/>
      <c r="AT9" s="21"/>
      <c r="AU9" s="22"/>
      <c r="AV9" s="22"/>
      <c r="AW9" s="27"/>
      <c r="AX9" s="30"/>
    </row>
    <row r="10" spans="1:50" ht="15" thickBot="1" x14ac:dyDescent="0.35">
      <c r="A10" s="49" t="s">
        <v>23</v>
      </c>
      <c r="B10" s="50"/>
      <c r="C10" s="51"/>
      <c r="D10" s="51"/>
      <c r="E10" s="52"/>
      <c r="F10" s="50"/>
      <c r="G10" s="51"/>
      <c r="H10" s="51"/>
      <c r="I10" s="53"/>
      <c r="J10" s="54"/>
      <c r="K10" s="51"/>
      <c r="L10" s="51"/>
      <c r="M10" s="52"/>
      <c r="N10" s="50"/>
      <c r="O10" s="51"/>
      <c r="P10" s="51"/>
      <c r="Q10" s="53"/>
      <c r="R10" s="54"/>
      <c r="S10" s="51"/>
      <c r="T10" s="51"/>
      <c r="U10" s="52"/>
      <c r="V10" s="50"/>
      <c r="W10" s="51"/>
      <c r="X10" s="51"/>
      <c r="Y10" s="53"/>
      <c r="Z10" s="54"/>
      <c r="AA10" s="51"/>
      <c r="AB10" s="51"/>
      <c r="AC10" s="52"/>
      <c r="AD10" s="50"/>
      <c r="AE10" s="51"/>
      <c r="AF10" s="51"/>
      <c r="AG10" s="53"/>
      <c r="AH10" s="54"/>
      <c r="AI10" s="51"/>
      <c r="AJ10" s="51"/>
      <c r="AK10" s="52"/>
      <c r="AL10" s="50"/>
      <c r="AM10" s="51"/>
      <c r="AN10" s="51"/>
      <c r="AO10" s="53"/>
      <c r="AP10" s="54"/>
      <c r="AQ10" s="51"/>
      <c r="AR10" s="51"/>
      <c r="AS10" s="52"/>
      <c r="AT10" s="50"/>
      <c r="AU10" s="51"/>
      <c r="AV10" s="51"/>
      <c r="AW10" s="52"/>
      <c r="AX10" s="55"/>
    </row>
    <row r="11" spans="1:50" ht="15" thickBot="1" x14ac:dyDescent="0.35">
      <c r="A11" s="49" t="s">
        <v>24</v>
      </c>
      <c r="B11" s="50"/>
      <c r="C11" s="51"/>
      <c r="D11" s="51"/>
      <c r="E11" s="52"/>
      <c r="F11" s="50"/>
      <c r="G11" s="51"/>
      <c r="H11" s="51"/>
      <c r="I11" s="53"/>
      <c r="J11" s="54"/>
      <c r="K11" s="51"/>
      <c r="L11" s="51"/>
      <c r="M11" s="52"/>
      <c r="N11" s="50"/>
      <c r="O11" s="51"/>
      <c r="P11" s="51"/>
      <c r="Q11" s="53"/>
      <c r="R11" s="54"/>
      <c r="S11" s="51"/>
      <c r="T11" s="51"/>
      <c r="U11" s="52"/>
      <c r="V11" s="50"/>
      <c r="W11" s="51"/>
      <c r="X11" s="51"/>
      <c r="Y11" s="53"/>
      <c r="Z11" s="54"/>
      <c r="AA11" s="51"/>
      <c r="AB11" s="51"/>
      <c r="AC11" s="52"/>
      <c r="AD11" s="50"/>
      <c r="AE11" s="51"/>
      <c r="AF11" s="51"/>
      <c r="AG11" s="53"/>
      <c r="AH11" s="54"/>
      <c r="AI11" s="51"/>
      <c r="AJ11" s="51"/>
      <c r="AK11" s="52"/>
      <c r="AL11" s="50"/>
      <c r="AM11" s="51"/>
      <c r="AN11" s="51"/>
      <c r="AO11" s="53"/>
      <c r="AP11" s="54"/>
      <c r="AQ11" s="51"/>
      <c r="AR11" s="51"/>
      <c r="AS11" s="52"/>
      <c r="AT11" s="50"/>
      <c r="AU11" s="51"/>
      <c r="AV11" s="51"/>
      <c r="AW11" s="52"/>
      <c r="AX11" s="55"/>
    </row>
    <row r="12" spans="1:50" ht="15" thickBot="1" x14ac:dyDescent="0.35">
      <c r="A12" s="49" t="s">
        <v>25</v>
      </c>
      <c r="B12" s="50"/>
      <c r="C12" s="51"/>
      <c r="D12" s="51"/>
      <c r="E12" s="52"/>
      <c r="F12" s="50"/>
      <c r="G12" s="51"/>
      <c r="H12" s="51"/>
      <c r="I12" s="53"/>
      <c r="J12" s="54"/>
      <c r="K12" s="51"/>
      <c r="L12" s="51"/>
      <c r="M12" s="52"/>
      <c r="N12" s="50"/>
      <c r="O12" s="51"/>
      <c r="P12" s="51"/>
      <c r="Q12" s="53"/>
      <c r="R12" s="54"/>
      <c r="S12" s="51"/>
      <c r="T12" s="51"/>
      <c r="U12" s="52"/>
      <c r="V12" s="50"/>
      <c r="W12" s="51"/>
      <c r="X12" s="51"/>
      <c r="Y12" s="53"/>
      <c r="Z12" s="54"/>
      <c r="AA12" s="51"/>
      <c r="AB12" s="51"/>
      <c r="AC12" s="52"/>
      <c r="AD12" s="50"/>
      <c r="AE12" s="51"/>
      <c r="AF12" s="51"/>
      <c r="AG12" s="53"/>
      <c r="AH12" s="54"/>
      <c r="AI12" s="51"/>
      <c r="AJ12" s="51"/>
      <c r="AK12" s="52"/>
      <c r="AL12" s="50"/>
      <c r="AM12" s="51"/>
      <c r="AN12" s="51"/>
      <c r="AO12" s="53"/>
      <c r="AP12" s="54"/>
      <c r="AQ12" s="51"/>
      <c r="AR12" s="51"/>
      <c r="AS12" s="52"/>
      <c r="AT12" s="50"/>
      <c r="AU12" s="51"/>
      <c r="AV12" s="51"/>
      <c r="AW12" s="52"/>
      <c r="AX12" s="55"/>
    </row>
    <row r="13" spans="1:50" ht="15" thickBot="1" x14ac:dyDescent="0.35">
      <c r="A13" s="49" t="s">
        <v>26</v>
      </c>
      <c r="B13" s="50"/>
      <c r="C13" s="51"/>
      <c r="D13" s="51"/>
      <c r="E13" s="52"/>
      <c r="F13" s="50"/>
      <c r="G13" s="51"/>
      <c r="H13" s="51"/>
      <c r="I13" s="53"/>
      <c r="J13" s="54"/>
      <c r="K13" s="51"/>
      <c r="L13" s="51"/>
      <c r="M13" s="52"/>
      <c r="N13" s="50"/>
      <c r="O13" s="51"/>
      <c r="P13" s="51"/>
      <c r="Q13" s="53"/>
      <c r="R13" s="54"/>
      <c r="S13" s="51"/>
      <c r="T13" s="51"/>
      <c r="U13" s="52"/>
      <c r="V13" s="50"/>
      <c r="W13" s="51"/>
      <c r="X13" s="51"/>
      <c r="Y13" s="53"/>
      <c r="Z13" s="54"/>
      <c r="AA13" s="51"/>
      <c r="AB13" s="51"/>
      <c r="AC13" s="52"/>
      <c r="AD13" s="50"/>
      <c r="AE13" s="51"/>
      <c r="AF13" s="51"/>
      <c r="AG13" s="53"/>
      <c r="AH13" s="54"/>
      <c r="AI13" s="51"/>
      <c r="AJ13" s="51"/>
      <c r="AK13" s="52"/>
      <c r="AL13" s="50"/>
      <c r="AM13" s="51"/>
      <c r="AN13" s="51"/>
      <c r="AO13" s="53"/>
      <c r="AP13" s="54"/>
      <c r="AQ13" s="51"/>
      <c r="AR13" s="51"/>
      <c r="AS13" s="52"/>
      <c r="AT13" s="50"/>
      <c r="AU13" s="51"/>
      <c r="AV13" s="51"/>
      <c r="AW13" s="52"/>
      <c r="AX13" s="55"/>
    </row>
    <row r="14" spans="1:50" ht="15" thickBot="1" x14ac:dyDescent="0.35">
      <c r="A14" s="39" t="s">
        <v>27</v>
      </c>
      <c r="B14" s="17"/>
      <c r="C14" s="15"/>
      <c r="D14" s="15"/>
      <c r="E14" s="16"/>
      <c r="F14" s="17"/>
      <c r="G14" s="15"/>
      <c r="H14" s="15"/>
      <c r="I14" s="18"/>
      <c r="J14" s="19"/>
      <c r="K14" s="15"/>
      <c r="L14" s="15"/>
      <c r="M14" s="16"/>
      <c r="N14" s="17"/>
      <c r="O14" s="15"/>
      <c r="P14" s="15"/>
      <c r="Q14" s="18"/>
      <c r="R14" s="19"/>
      <c r="S14" s="15"/>
      <c r="T14" s="15"/>
      <c r="U14" s="56"/>
      <c r="V14" s="57"/>
      <c r="W14" s="58"/>
      <c r="X14" s="15"/>
      <c r="Y14" s="18"/>
      <c r="Z14" s="19"/>
      <c r="AA14" s="15"/>
      <c r="AB14" s="58"/>
      <c r="AC14" s="56"/>
      <c r="AD14" s="57"/>
      <c r="AE14" s="15"/>
      <c r="AF14" s="15"/>
      <c r="AG14" s="18"/>
      <c r="AH14" s="19"/>
      <c r="AI14" s="58"/>
      <c r="AJ14" s="58"/>
      <c r="AK14" s="56"/>
      <c r="AL14" s="17"/>
      <c r="AM14" s="15"/>
      <c r="AN14" s="15"/>
      <c r="AO14" s="18"/>
      <c r="AP14" s="59"/>
      <c r="AQ14" s="58"/>
      <c r="AR14" s="58"/>
      <c r="AS14" s="16"/>
      <c r="AT14" s="17"/>
      <c r="AU14" s="15"/>
      <c r="AV14" s="15"/>
      <c r="AW14" s="16"/>
    </row>
    <row r="15" spans="1:50" ht="15" thickBot="1" x14ac:dyDescent="0.35">
      <c r="A15" s="20" t="s">
        <v>28</v>
      </c>
      <c r="B15" s="21"/>
      <c r="C15" s="22"/>
      <c r="D15" s="22"/>
      <c r="E15" s="27"/>
      <c r="F15" s="21"/>
      <c r="G15" s="22"/>
      <c r="H15" s="22"/>
      <c r="I15" s="28"/>
      <c r="J15" s="29"/>
      <c r="K15" s="22"/>
      <c r="L15" s="22"/>
      <c r="M15" s="27"/>
      <c r="N15" s="21"/>
      <c r="O15" s="22"/>
      <c r="P15" s="22"/>
      <c r="Q15" s="28"/>
      <c r="R15" s="29"/>
      <c r="S15" s="22"/>
      <c r="T15" s="51"/>
      <c r="U15" s="52"/>
      <c r="V15" s="60"/>
      <c r="W15" s="61"/>
      <c r="X15" s="61"/>
      <c r="Y15" s="53"/>
      <c r="Z15" s="54"/>
      <c r="AA15" s="51"/>
      <c r="AB15" s="51"/>
      <c r="AC15" s="52"/>
      <c r="AD15" s="50"/>
      <c r="AE15" s="61"/>
      <c r="AF15" s="61"/>
      <c r="AG15" s="53"/>
      <c r="AH15" s="54"/>
      <c r="AI15" s="51"/>
      <c r="AJ15" s="51"/>
      <c r="AK15" s="52"/>
      <c r="AL15" s="61"/>
      <c r="AM15" s="61"/>
      <c r="AN15" s="51"/>
      <c r="AO15" s="53"/>
      <c r="AP15" s="62"/>
      <c r="AQ15" s="63"/>
      <c r="AR15" s="63"/>
      <c r="AS15" s="27"/>
      <c r="AT15" s="21"/>
      <c r="AU15" s="22"/>
      <c r="AV15" s="22"/>
      <c r="AW15" s="27"/>
      <c r="AX15" s="30"/>
    </row>
    <row r="16" spans="1:50" ht="15" thickBot="1" x14ac:dyDescent="0.35">
      <c r="A16" s="39" t="s">
        <v>29</v>
      </c>
      <c r="B16" s="17"/>
      <c r="C16" s="15"/>
      <c r="D16" s="15"/>
      <c r="E16" s="16"/>
      <c r="F16" s="17"/>
      <c r="G16" s="15"/>
      <c r="H16" s="15"/>
      <c r="I16" s="18"/>
      <c r="J16" s="19"/>
      <c r="K16" s="15"/>
      <c r="L16" s="15"/>
      <c r="M16" s="16"/>
      <c r="N16" s="17"/>
      <c r="O16" s="15"/>
      <c r="P16" s="15"/>
      <c r="Q16" s="18"/>
      <c r="R16" s="19"/>
      <c r="S16" s="15"/>
      <c r="T16" s="15"/>
      <c r="U16" s="16"/>
      <c r="V16" s="17"/>
      <c r="W16" s="15"/>
      <c r="X16" s="15"/>
      <c r="Y16" s="64"/>
      <c r="Z16" s="65"/>
      <c r="AA16" s="66"/>
      <c r="AB16" s="15"/>
      <c r="AC16" s="16"/>
      <c r="AD16" s="17"/>
      <c r="AE16" s="66"/>
      <c r="AF16" s="66"/>
      <c r="AG16" s="64"/>
      <c r="AH16" s="19"/>
      <c r="AI16" s="15"/>
      <c r="AJ16" s="15"/>
      <c r="AK16" s="67"/>
      <c r="AL16" s="68"/>
      <c r="AM16" s="66"/>
      <c r="AN16" s="15"/>
      <c r="AO16" s="18"/>
      <c r="AP16" s="19"/>
      <c r="AQ16" s="15"/>
      <c r="AR16" s="15"/>
      <c r="AS16" s="16"/>
      <c r="AT16" s="17"/>
      <c r="AU16" s="15"/>
      <c r="AV16" s="15"/>
      <c r="AW16" s="16"/>
    </row>
    <row r="17" spans="1:50" ht="15" thickBot="1" x14ac:dyDescent="0.35">
      <c r="A17" s="20" t="s">
        <v>30</v>
      </c>
      <c r="B17" s="21"/>
      <c r="C17" s="22"/>
      <c r="D17" s="22"/>
      <c r="E17" s="27"/>
      <c r="F17" s="21"/>
      <c r="G17" s="22"/>
      <c r="H17" s="22"/>
      <c r="I17" s="28"/>
      <c r="J17" s="29"/>
      <c r="K17" s="22"/>
      <c r="L17" s="22"/>
      <c r="M17" s="27"/>
      <c r="N17" s="21"/>
      <c r="O17" s="22"/>
      <c r="P17" s="22"/>
      <c r="Q17" s="28"/>
      <c r="R17" s="29"/>
      <c r="S17" s="22"/>
      <c r="T17" s="22"/>
      <c r="U17" s="27"/>
      <c r="V17" s="69"/>
      <c r="W17" s="70"/>
      <c r="X17" s="70"/>
      <c r="Y17" s="71"/>
      <c r="Z17" s="72"/>
      <c r="AA17" s="70"/>
      <c r="AB17" s="22"/>
      <c r="AC17" s="27"/>
      <c r="AD17" s="21"/>
      <c r="AE17" s="22"/>
      <c r="AF17" s="22"/>
      <c r="AG17" s="28"/>
      <c r="AH17" s="29"/>
      <c r="AI17" s="22"/>
      <c r="AJ17" s="22"/>
      <c r="AK17" s="27"/>
      <c r="AL17" s="21"/>
      <c r="AM17" s="22"/>
      <c r="AN17" s="22"/>
      <c r="AO17" s="28"/>
      <c r="AP17" s="29"/>
      <c r="AQ17" s="22"/>
      <c r="AR17" s="22"/>
      <c r="AS17" s="27"/>
      <c r="AT17" s="21"/>
      <c r="AU17" s="22"/>
      <c r="AV17" s="22"/>
      <c r="AW17" s="27"/>
      <c r="AX17" s="30"/>
    </row>
    <row r="18" spans="1:50" ht="15" thickBot="1" x14ac:dyDescent="0.35">
      <c r="A18" s="39" t="s">
        <v>31</v>
      </c>
      <c r="B18" s="17"/>
      <c r="C18" s="15"/>
      <c r="D18" s="15"/>
      <c r="E18" s="16"/>
      <c r="F18" s="17"/>
      <c r="G18" s="15"/>
      <c r="H18" s="15"/>
      <c r="I18" s="18"/>
      <c r="J18" s="19"/>
      <c r="K18" s="15"/>
      <c r="L18" s="15"/>
      <c r="M18" s="16"/>
      <c r="N18" s="17"/>
      <c r="O18" s="15"/>
      <c r="P18" s="15"/>
      <c r="Q18" s="18"/>
      <c r="R18" s="19"/>
      <c r="S18" s="15"/>
      <c r="T18" s="15"/>
      <c r="U18" s="16"/>
      <c r="V18" s="73"/>
      <c r="W18" s="74"/>
      <c r="X18" s="74"/>
      <c r="Y18" s="75"/>
      <c r="Z18" s="76"/>
      <c r="AA18" s="74"/>
      <c r="AB18" s="15"/>
      <c r="AC18" s="16"/>
      <c r="AD18" s="17"/>
      <c r="AE18" s="15"/>
      <c r="AF18" s="15"/>
      <c r="AG18" s="18"/>
      <c r="AH18" s="19"/>
      <c r="AI18" s="15"/>
      <c r="AJ18" s="15"/>
      <c r="AK18" s="16"/>
      <c r="AL18" s="17"/>
      <c r="AM18" s="15"/>
      <c r="AN18" s="15"/>
      <c r="AO18" s="18"/>
      <c r="AP18" s="19"/>
      <c r="AQ18" s="15"/>
      <c r="AR18" s="15"/>
      <c r="AS18" s="16"/>
      <c r="AT18" s="17"/>
      <c r="AU18" s="15"/>
      <c r="AV18" s="15"/>
      <c r="AW18" s="16"/>
    </row>
    <row r="19" spans="1:50" ht="15" thickBot="1" x14ac:dyDescent="0.35">
      <c r="A19" s="20" t="s">
        <v>32</v>
      </c>
      <c r="B19" s="21"/>
      <c r="C19" s="22"/>
      <c r="D19" s="22"/>
      <c r="E19" s="27"/>
      <c r="F19" s="21"/>
      <c r="G19" s="22"/>
      <c r="H19" s="22"/>
      <c r="I19" s="28"/>
      <c r="J19" s="29"/>
      <c r="K19" s="22"/>
      <c r="L19" s="22"/>
      <c r="M19" s="27"/>
      <c r="N19" s="21"/>
      <c r="O19" s="22"/>
      <c r="P19" s="22"/>
      <c r="Q19" s="28"/>
      <c r="R19" s="29"/>
      <c r="S19" s="22"/>
      <c r="T19" s="22"/>
      <c r="U19" s="27"/>
      <c r="V19" s="21"/>
      <c r="W19" s="22"/>
      <c r="X19" s="22"/>
      <c r="Y19" s="28"/>
      <c r="Z19" s="29"/>
      <c r="AA19" s="22"/>
      <c r="AB19" s="22"/>
      <c r="AC19" s="27"/>
      <c r="AD19" s="21"/>
      <c r="AE19" s="22"/>
      <c r="AF19" s="22"/>
      <c r="AG19" s="28"/>
      <c r="AH19" s="29"/>
      <c r="AI19" s="22"/>
      <c r="AJ19" s="22"/>
      <c r="AK19" s="27"/>
      <c r="AL19" s="21"/>
      <c r="AM19" s="22"/>
      <c r="AN19" s="22"/>
      <c r="AO19" s="28"/>
      <c r="AP19" s="77"/>
      <c r="AQ19" s="78"/>
      <c r="AR19" s="78"/>
      <c r="AS19" s="79"/>
      <c r="AT19" s="21"/>
      <c r="AU19" s="22"/>
      <c r="AV19" s="22"/>
      <c r="AW19" s="27"/>
      <c r="AX19" s="30"/>
    </row>
    <row r="20" spans="1:50" ht="15" thickBot="1" x14ac:dyDescent="0.35">
      <c r="A20" s="20" t="s">
        <v>33</v>
      </c>
      <c r="B20" s="80"/>
      <c r="C20" s="81"/>
      <c r="D20" s="22"/>
      <c r="E20" s="27"/>
      <c r="F20" s="21"/>
      <c r="G20" s="22"/>
      <c r="H20" s="22"/>
      <c r="I20" s="28"/>
      <c r="J20" s="29"/>
      <c r="K20" s="22"/>
      <c r="L20" s="22"/>
      <c r="M20" s="27"/>
      <c r="N20" s="21"/>
      <c r="O20" s="22"/>
      <c r="P20" s="22"/>
      <c r="Q20" s="28"/>
      <c r="R20" s="29"/>
      <c r="S20" s="22"/>
      <c r="T20" s="22"/>
      <c r="U20" s="27"/>
      <c r="V20" s="21"/>
      <c r="W20" s="22"/>
      <c r="X20" s="22"/>
      <c r="Y20" s="28"/>
      <c r="Z20" s="29"/>
      <c r="AA20" s="22"/>
      <c r="AB20" s="22"/>
      <c r="AC20" s="27"/>
      <c r="AD20" s="21"/>
      <c r="AE20" s="22"/>
      <c r="AF20" s="22"/>
      <c r="AG20" s="28"/>
      <c r="AH20" s="29"/>
      <c r="AI20" s="22"/>
      <c r="AJ20" s="22"/>
      <c r="AK20" s="27"/>
      <c r="AL20" s="21"/>
      <c r="AM20" s="22"/>
      <c r="AN20" s="22"/>
      <c r="AO20" s="28"/>
      <c r="AP20" s="29"/>
      <c r="AQ20" s="22"/>
      <c r="AR20" s="22"/>
      <c r="AS20" s="27"/>
      <c r="AT20" s="21"/>
      <c r="AU20" s="22"/>
      <c r="AV20" s="22"/>
      <c r="AW20" s="82"/>
      <c r="AX20" s="30"/>
    </row>
    <row r="21" spans="1:50" ht="15" thickBot="1" x14ac:dyDescent="0.35">
      <c r="A21" s="31"/>
      <c r="B21" s="32"/>
      <c r="C21" s="33"/>
      <c r="D21" s="33"/>
      <c r="E21" s="34"/>
      <c r="F21" s="32"/>
      <c r="G21" s="33"/>
      <c r="H21" s="33"/>
      <c r="I21" s="35"/>
      <c r="J21" s="36"/>
      <c r="K21" s="33"/>
      <c r="L21" s="33"/>
      <c r="M21" s="34"/>
      <c r="N21" s="32"/>
      <c r="O21" s="33"/>
      <c r="P21" s="33"/>
      <c r="Q21" s="35"/>
      <c r="R21" s="36"/>
      <c r="S21" s="33"/>
      <c r="T21" s="33"/>
      <c r="U21" s="34"/>
      <c r="V21" s="32"/>
      <c r="W21" s="33"/>
      <c r="X21" s="33"/>
      <c r="Y21" s="35"/>
      <c r="Z21" s="36"/>
      <c r="AA21" s="33"/>
      <c r="AB21" s="33"/>
      <c r="AC21" s="34"/>
      <c r="AD21" s="32"/>
      <c r="AE21" s="33"/>
      <c r="AF21" s="33"/>
      <c r="AG21" s="35"/>
      <c r="AH21" s="36"/>
      <c r="AI21" s="33"/>
      <c r="AJ21" s="33"/>
      <c r="AK21" s="34"/>
      <c r="AL21" s="32"/>
      <c r="AM21" s="33"/>
      <c r="AN21" s="33"/>
      <c r="AO21" s="35"/>
      <c r="AP21" s="36"/>
      <c r="AQ21" s="33"/>
      <c r="AR21" s="33"/>
      <c r="AS21" s="34"/>
      <c r="AT21" s="32"/>
      <c r="AU21" s="33"/>
      <c r="AV21" s="33"/>
      <c r="AW21" s="34"/>
    </row>
  </sheetData>
  <mergeCells count="12">
    <mergeCell ref="AT3:AW3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940D-09EF-437B-86D8-DDAA902897A3}">
  <dimension ref="A2:AX21"/>
  <sheetViews>
    <sheetView workbookViewId="0">
      <selection activeCell="A3" sqref="A3:AX21"/>
    </sheetView>
  </sheetViews>
  <sheetFormatPr baseColWidth="10" defaultRowHeight="14.4" x14ac:dyDescent="0.3"/>
  <sheetData>
    <row r="2" spans="1:50" ht="15" thickBot="1" x14ac:dyDescent="0.35"/>
    <row r="3" spans="1:50" x14ac:dyDescent="0.3">
      <c r="A3" s="1"/>
      <c r="B3" s="142" t="s">
        <v>6</v>
      </c>
      <c r="C3" s="143"/>
      <c r="D3" s="143"/>
      <c r="E3" s="144"/>
      <c r="F3" s="145" t="s">
        <v>7</v>
      </c>
      <c r="G3" s="143"/>
      <c r="H3" s="143"/>
      <c r="I3" s="146"/>
      <c r="J3" s="142" t="s">
        <v>8</v>
      </c>
      <c r="K3" s="143"/>
      <c r="L3" s="143"/>
      <c r="M3" s="144"/>
      <c r="N3" s="145" t="s">
        <v>9</v>
      </c>
      <c r="O3" s="143"/>
      <c r="P3" s="143"/>
      <c r="Q3" s="146"/>
      <c r="R3" s="142" t="s">
        <v>10</v>
      </c>
      <c r="S3" s="143"/>
      <c r="T3" s="143"/>
      <c r="U3" s="144"/>
      <c r="V3" s="145" t="s">
        <v>11</v>
      </c>
      <c r="W3" s="143"/>
      <c r="X3" s="143"/>
      <c r="Y3" s="146"/>
      <c r="Z3" s="142" t="s">
        <v>12</v>
      </c>
      <c r="AA3" s="143"/>
      <c r="AB3" s="143"/>
      <c r="AC3" s="144"/>
      <c r="AD3" s="145" t="s">
        <v>13</v>
      </c>
      <c r="AE3" s="143"/>
      <c r="AF3" s="143"/>
      <c r="AG3" s="146"/>
      <c r="AH3" s="142" t="s">
        <v>14</v>
      </c>
      <c r="AI3" s="143"/>
      <c r="AJ3" s="143"/>
      <c r="AK3" s="144"/>
      <c r="AL3" s="145" t="s">
        <v>15</v>
      </c>
      <c r="AM3" s="143"/>
      <c r="AN3" s="143"/>
      <c r="AO3" s="146"/>
      <c r="AP3" s="142" t="s">
        <v>16</v>
      </c>
      <c r="AQ3" s="143"/>
      <c r="AR3" s="143"/>
      <c r="AS3" s="144"/>
      <c r="AT3" s="145" t="s">
        <v>17</v>
      </c>
      <c r="AU3" s="143"/>
      <c r="AV3" s="143"/>
      <c r="AW3" s="144"/>
      <c r="AX3" s="2"/>
    </row>
    <row r="4" spans="1:50" ht="15" thickBot="1" x14ac:dyDescent="0.35">
      <c r="A4" s="3" t="s">
        <v>18</v>
      </c>
      <c r="B4" s="4">
        <v>1</v>
      </c>
      <c r="C4" s="5">
        <v>2</v>
      </c>
      <c r="D4" s="5">
        <v>3</v>
      </c>
      <c r="E4" s="6">
        <v>4</v>
      </c>
      <c r="F4" s="7">
        <v>1</v>
      </c>
      <c r="G4" s="5">
        <v>2</v>
      </c>
      <c r="H4" s="5">
        <v>3</v>
      </c>
      <c r="I4" s="8">
        <v>4</v>
      </c>
      <c r="J4" s="4">
        <v>1</v>
      </c>
      <c r="K4" s="5">
        <v>2</v>
      </c>
      <c r="L4" s="5">
        <v>3</v>
      </c>
      <c r="M4" s="6">
        <v>4</v>
      </c>
      <c r="N4" s="7">
        <v>1</v>
      </c>
      <c r="O4" s="5">
        <v>2</v>
      </c>
      <c r="P4" s="5">
        <v>3</v>
      </c>
      <c r="Q4" s="8">
        <v>4</v>
      </c>
      <c r="R4" s="4">
        <v>1</v>
      </c>
      <c r="S4" s="5">
        <v>2</v>
      </c>
      <c r="T4" s="5">
        <v>3</v>
      </c>
      <c r="U4" s="6">
        <v>4</v>
      </c>
      <c r="V4" s="7">
        <v>1</v>
      </c>
      <c r="W4" s="5">
        <v>2</v>
      </c>
      <c r="X4" s="5">
        <v>3</v>
      </c>
      <c r="Y4" s="8">
        <v>4</v>
      </c>
      <c r="Z4" s="4">
        <v>1</v>
      </c>
      <c r="AA4" s="5">
        <v>2</v>
      </c>
      <c r="AB4" s="5">
        <v>3</v>
      </c>
      <c r="AC4" s="6">
        <v>4</v>
      </c>
      <c r="AD4" s="7">
        <v>1</v>
      </c>
      <c r="AE4" s="5">
        <v>2</v>
      </c>
      <c r="AF4" s="5">
        <v>3</v>
      </c>
      <c r="AG4" s="8">
        <v>4</v>
      </c>
      <c r="AH4" s="4">
        <v>1</v>
      </c>
      <c r="AI4" s="5">
        <v>2</v>
      </c>
      <c r="AJ4" s="5">
        <v>3</v>
      </c>
      <c r="AK4" s="6">
        <v>4</v>
      </c>
      <c r="AL4" s="7">
        <v>1</v>
      </c>
      <c r="AM4" s="5">
        <v>2</v>
      </c>
      <c r="AN4" s="5">
        <v>3</v>
      </c>
      <c r="AO4" s="8">
        <v>4</v>
      </c>
      <c r="AP4" s="4">
        <v>1</v>
      </c>
      <c r="AQ4" s="5">
        <v>2</v>
      </c>
      <c r="AR4" s="5">
        <v>3</v>
      </c>
      <c r="AS4" s="6">
        <v>4</v>
      </c>
      <c r="AT4" s="7">
        <v>1</v>
      </c>
      <c r="AU4" s="5">
        <v>2</v>
      </c>
      <c r="AV4" s="5">
        <v>3</v>
      </c>
      <c r="AW4" s="6">
        <v>4</v>
      </c>
      <c r="AX4" s="2"/>
    </row>
    <row r="5" spans="1:50" ht="15" thickBot="1" x14ac:dyDescent="0.35">
      <c r="A5" s="9" t="s">
        <v>19</v>
      </c>
      <c r="B5" s="10"/>
      <c r="C5" s="11"/>
      <c r="D5" s="11"/>
      <c r="E5" s="12"/>
      <c r="F5" s="10"/>
      <c r="G5" s="11"/>
      <c r="H5" s="11"/>
      <c r="I5" s="13"/>
      <c r="J5" s="14"/>
      <c r="K5" s="11"/>
      <c r="L5" s="15"/>
      <c r="M5" s="16"/>
      <c r="N5" s="17"/>
      <c r="O5" s="15"/>
      <c r="P5" s="15"/>
      <c r="Q5" s="18"/>
      <c r="R5" s="19"/>
      <c r="S5" s="15"/>
      <c r="T5" s="15"/>
      <c r="U5" s="16"/>
      <c r="V5" s="17"/>
      <c r="W5" s="15"/>
      <c r="X5" s="15"/>
      <c r="Y5" s="18"/>
      <c r="Z5" s="19"/>
      <c r="AA5" s="15"/>
      <c r="AB5" s="15"/>
      <c r="AC5" s="16"/>
      <c r="AD5" s="17"/>
      <c r="AE5" s="15"/>
      <c r="AF5" s="15"/>
      <c r="AG5" s="18"/>
      <c r="AH5" s="19"/>
      <c r="AI5" s="15"/>
      <c r="AJ5" s="15"/>
      <c r="AK5" s="16"/>
      <c r="AL5" s="17"/>
      <c r="AM5" s="15"/>
      <c r="AN5" s="15"/>
      <c r="AO5" s="18"/>
      <c r="AP5" s="19"/>
      <c r="AQ5" s="15"/>
      <c r="AR5" s="11"/>
      <c r="AS5" s="12"/>
      <c r="AT5" s="10"/>
      <c r="AU5" s="11"/>
      <c r="AV5" s="11"/>
      <c r="AW5" s="13"/>
    </row>
    <row r="6" spans="1:50" ht="15" thickBot="1" x14ac:dyDescent="0.35">
      <c r="A6" s="20" t="s">
        <v>18</v>
      </c>
      <c r="B6" s="21"/>
      <c r="C6" s="22"/>
      <c r="D6" s="22"/>
      <c r="E6" s="23"/>
      <c r="F6" s="21"/>
      <c r="G6" s="22"/>
      <c r="H6" s="24"/>
      <c r="I6" s="25"/>
      <c r="J6" s="26"/>
      <c r="K6" s="24"/>
      <c r="L6" s="22"/>
      <c r="M6" s="27"/>
      <c r="N6" s="21"/>
      <c r="O6" s="22"/>
      <c r="P6" s="22"/>
      <c r="Q6" s="28"/>
      <c r="R6" s="29"/>
      <c r="S6" s="22"/>
      <c r="T6" s="22"/>
      <c r="U6" s="27"/>
      <c r="V6" s="21"/>
      <c r="W6" s="22"/>
      <c r="X6" s="22"/>
      <c r="Y6" s="28"/>
      <c r="Z6" s="29"/>
      <c r="AA6" s="22"/>
      <c r="AB6" s="22"/>
      <c r="AC6" s="27"/>
      <c r="AD6" s="21"/>
      <c r="AE6" s="22"/>
      <c r="AF6" s="22"/>
      <c r="AG6" s="28"/>
      <c r="AH6" s="29"/>
      <c r="AI6" s="22"/>
      <c r="AJ6" s="22"/>
      <c r="AK6" s="27"/>
      <c r="AL6" s="21"/>
      <c r="AM6" s="22"/>
      <c r="AN6" s="22"/>
      <c r="AO6" s="28"/>
      <c r="AP6" s="29"/>
      <c r="AQ6" s="22"/>
      <c r="AR6" s="22"/>
      <c r="AS6" s="27"/>
      <c r="AT6" s="21"/>
      <c r="AU6" s="22"/>
      <c r="AV6" s="22"/>
      <c r="AW6" s="27"/>
      <c r="AX6" s="30"/>
    </row>
    <row r="7" spans="1:50" ht="15" thickBot="1" x14ac:dyDescent="0.35">
      <c r="A7" s="31" t="s">
        <v>20</v>
      </c>
      <c r="B7" s="32"/>
      <c r="C7" s="33"/>
      <c r="D7" s="33"/>
      <c r="E7" s="34"/>
      <c r="F7" s="32"/>
      <c r="G7" s="33"/>
      <c r="H7" s="33"/>
      <c r="I7" s="35"/>
      <c r="J7" s="36"/>
      <c r="K7" s="33"/>
      <c r="L7" s="33"/>
      <c r="M7" s="34"/>
      <c r="N7" s="32"/>
      <c r="O7" s="33"/>
      <c r="P7" s="33"/>
      <c r="Q7" s="35"/>
      <c r="R7" s="36"/>
      <c r="S7" s="33"/>
      <c r="T7" s="33"/>
      <c r="U7" s="34"/>
      <c r="V7" s="32"/>
      <c r="W7" s="33"/>
      <c r="X7" s="33"/>
      <c r="Y7" s="35"/>
      <c r="Z7" s="36"/>
      <c r="AA7" s="33"/>
      <c r="AB7" s="33"/>
      <c r="AC7" s="34"/>
      <c r="AD7" s="32"/>
      <c r="AE7" s="33"/>
      <c r="AF7" s="33"/>
      <c r="AG7" s="35"/>
      <c r="AH7" s="37"/>
      <c r="AI7" s="38"/>
      <c r="AJ7" s="33"/>
      <c r="AK7" s="34"/>
      <c r="AL7" s="32"/>
      <c r="AM7" s="33"/>
      <c r="AN7" s="33"/>
      <c r="AO7" s="35"/>
      <c r="AP7" s="36"/>
      <c r="AQ7" s="33"/>
      <c r="AR7" s="33"/>
      <c r="AS7" s="34"/>
      <c r="AT7" s="32"/>
      <c r="AU7" s="33"/>
      <c r="AV7" s="33"/>
      <c r="AW7" s="34"/>
    </row>
    <row r="8" spans="1:50" ht="15" thickBot="1" x14ac:dyDescent="0.35">
      <c r="A8" s="39" t="s">
        <v>21</v>
      </c>
      <c r="B8" s="17"/>
      <c r="C8" s="15"/>
      <c r="D8" s="15"/>
      <c r="E8" s="16"/>
      <c r="F8" s="17"/>
      <c r="G8" s="15"/>
      <c r="H8" s="15"/>
      <c r="I8" s="18"/>
      <c r="J8" s="19"/>
      <c r="K8" s="15"/>
      <c r="L8" s="40"/>
      <c r="M8" s="41"/>
      <c r="N8" s="42"/>
      <c r="O8" s="40"/>
      <c r="P8" s="40"/>
      <c r="Q8" s="43"/>
      <c r="R8" s="44"/>
      <c r="S8" s="40"/>
      <c r="T8" s="15"/>
      <c r="U8" s="16"/>
      <c r="V8" s="17"/>
      <c r="W8" s="15"/>
      <c r="X8" s="15"/>
      <c r="Y8" s="18"/>
      <c r="Z8" s="19"/>
      <c r="AA8" s="15"/>
      <c r="AB8" s="15"/>
      <c r="AC8" s="16"/>
      <c r="AD8" s="17"/>
      <c r="AE8" s="15"/>
      <c r="AF8" s="15"/>
      <c r="AG8" s="18"/>
      <c r="AH8" s="19"/>
      <c r="AI8" s="15"/>
      <c r="AJ8" s="15"/>
      <c r="AK8" s="16"/>
      <c r="AL8" s="17"/>
      <c r="AM8" s="15"/>
      <c r="AN8" s="15"/>
      <c r="AO8" s="18"/>
      <c r="AP8" s="19"/>
      <c r="AQ8" s="15"/>
      <c r="AR8" s="15"/>
      <c r="AS8" s="16"/>
      <c r="AT8" s="17"/>
      <c r="AU8" s="15"/>
      <c r="AV8" s="15"/>
      <c r="AW8" s="16"/>
    </row>
    <row r="9" spans="1:50" ht="15" thickBot="1" x14ac:dyDescent="0.35">
      <c r="A9" s="20" t="s">
        <v>22</v>
      </c>
      <c r="B9" s="21"/>
      <c r="C9" s="22"/>
      <c r="D9" s="22"/>
      <c r="E9" s="27"/>
      <c r="F9" s="45"/>
      <c r="G9" s="22"/>
      <c r="H9" s="22"/>
      <c r="I9" s="28"/>
      <c r="J9" s="29"/>
      <c r="K9" s="22"/>
      <c r="L9" s="22"/>
      <c r="M9" s="27"/>
      <c r="N9" s="21"/>
      <c r="O9" s="22"/>
      <c r="P9" s="22"/>
      <c r="Q9" s="28"/>
      <c r="R9" s="29"/>
      <c r="S9" s="22"/>
      <c r="T9" s="46"/>
      <c r="U9" s="47"/>
      <c r="V9" s="45"/>
      <c r="W9" s="46"/>
      <c r="X9" s="22"/>
      <c r="Y9" s="28"/>
      <c r="Z9" s="29"/>
      <c r="AA9" s="22"/>
      <c r="AB9" s="22"/>
      <c r="AC9" s="27"/>
      <c r="AD9" s="45"/>
      <c r="AE9" s="46"/>
      <c r="AF9" s="46"/>
      <c r="AG9" s="48"/>
      <c r="AH9" s="29"/>
      <c r="AI9" s="22"/>
      <c r="AJ9" s="22"/>
      <c r="AK9" s="27"/>
      <c r="AL9" s="45"/>
      <c r="AM9" s="46"/>
      <c r="AN9" s="46"/>
      <c r="AO9" s="48"/>
      <c r="AP9" s="29"/>
      <c r="AQ9" s="22"/>
      <c r="AR9" s="22"/>
      <c r="AS9" s="27"/>
      <c r="AT9" s="21"/>
      <c r="AU9" s="22"/>
      <c r="AV9" s="22"/>
      <c r="AW9" s="27"/>
      <c r="AX9" s="30"/>
    </row>
    <row r="10" spans="1:50" ht="15" thickBot="1" x14ac:dyDescent="0.35">
      <c r="A10" s="49" t="s">
        <v>23</v>
      </c>
      <c r="B10" s="50"/>
      <c r="C10" s="51"/>
      <c r="D10" s="51"/>
      <c r="E10" s="52"/>
      <c r="F10" s="50"/>
      <c r="G10" s="51"/>
      <c r="H10" s="51"/>
      <c r="I10" s="53"/>
      <c r="J10" s="54"/>
      <c r="K10" s="51"/>
      <c r="L10" s="51"/>
      <c r="M10" s="52"/>
      <c r="N10" s="50"/>
      <c r="O10" s="51"/>
      <c r="P10" s="51"/>
      <c r="Q10" s="53"/>
      <c r="R10" s="54"/>
      <c r="S10" s="51"/>
      <c r="T10" s="51"/>
      <c r="U10" s="52"/>
      <c r="V10" s="50"/>
      <c r="W10" s="51"/>
      <c r="X10" s="51"/>
      <c r="Y10" s="53"/>
      <c r="Z10" s="54"/>
      <c r="AA10" s="51"/>
      <c r="AB10" s="51"/>
      <c r="AC10" s="52"/>
      <c r="AD10" s="50"/>
      <c r="AE10" s="51"/>
      <c r="AF10" s="51"/>
      <c r="AG10" s="53"/>
      <c r="AH10" s="54"/>
      <c r="AI10" s="51"/>
      <c r="AJ10" s="51"/>
      <c r="AK10" s="52"/>
      <c r="AL10" s="50"/>
      <c r="AM10" s="51"/>
      <c r="AN10" s="51"/>
      <c r="AO10" s="53"/>
      <c r="AP10" s="54"/>
      <c r="AQ10" s="51"/>
      <c r="AR10" s="51"/>
      <c r="AS10" s="52"/>
      <c r="AT10" s="50"/>
      <c r="AU10" s="51"/>
      <c r="AV10" s="51"/>
      <c r="AW10" s="52"/>
      <c r="AX10" s="55"/>
    </row>
    <row r="11" spans="1:50" ht="15" thickBot="1" x14ac:dyDescent="0.35">
      <c r="A11" s="49" t="s">
        <v>24</v>
      </c>
      <c r="B11" s="50"/>
      <c r="C11" s="51"/>
      <c r="D11" s="51"/>
      <c r="E11" s="52"/>
      <c r="F11" s="50"/>
      <c r="G11" s="51"/>
      <c r="H11" s="51"/>
      <c r="I11" s="53"/>
      <c r="J11" s="54"/>
      <c r="K11" s="51"/>
      <c r="L11" s="51"/>
      <c r="M11" s="52"/>
      <c r="N11" s="50"/>
      <c r="O11" s="51"/>
      <c r="P11" s="51"/>
      <c r="Q11" s="53"/>
      <c r="R11" s="54"/>
      <c r="S11" s="51"/>
      <c r="T11" s="51"/>
      <c r="U11" s="52"/>
      <c r="V11" s="50"/>
      <c r="W11" s="51"/>
      <c r="X11" s="51"/>
      <c r="Y11" s="53"/>
      <c r="Z11" s="54"/>
      <c r="AA11" s="51"/>
      <c r="AB11" s="51"/>
      <c r="AC11" s="52"/>
      <c r="AD11" s="50"/>
      <c r="AE11" s="51"/>
      <c r="AF11" s="51"/>
      <c r="AG11" s="53"/>
      <c r="AH11" s="54"/>
      <c r="AI11" s="51"/>
      <c r="AJ11" s="51"/>
      <c r="AK11" s="52"/>
      <c r="AL11" s="50"/>
      <c r="AM11" s="51"/>
      <c r="AN11" s="51"/>
      <c r="AO11" s="53"/>
      <c r="AP11" s="54"/>
      <c r="AQ11" s="51"/>
      <c r="AR11" s="51"/>
      <c r="AS11" s="52"/>
      <c r="AT11" s="50"/>
      <c r="AU11" s="51"/>
      <c r="AV11" s="51"/>
      <c r="AW11" s="52"/>
      <c r="AX11" s="55"/>
    </row>
    <row r="12" spans="1:50" ht="15" thickBot="1" x14ac:dyDescent="0.35">
      <c r="A12" s="49" t="s">
        <v>25</v>
      </c>
      <c r="B12" s="50"/>
      <c r="C12" s="51"/>
      <c r="D12" s="51"/>
      <c r="E12" s="52"/>
      <c r="F12" s="50"/>
      <c r="G12" s="51"/>
      <c r="H12" s="51"/>
      <c r="I12" s="53"/>
      <c r="J12" s="54"/>
      <c r="K12" s="51"/>
      <c r="L12" s="51"/>
      <c r="M12" s="52"/>
      <c r="N12" s="50"/>
      <c r="O12" s="51"/>
      <c r="P12" s="51"/>
      <c r="Q12" s="53"/>
      <c r="R12" s="54"/>
      <c r="S12" s="51"/>
      <c r="T12" s="51"/>
      <c r="U12" s="52"/>
      <c r="V12" s="50"/>
      <c r="W12" s="51"/>
      <c r="X12" s="51"/>
      <c r="Y12" s="53"/>
      <c r="Z12" s="54"/>
      <c r="AA12" s="51"/>
      <c r="AB12" s="51"/>
      <c r="AC12" s="52"/>
      <c r="AD12" s="50"/>
      <c r="AE12" s="51"/>
      <c r="AF12" s="51"/>
      <c r="AG12" s="53"/>
      <c r="AH12" s="54"/>
      <c r="AI12" s="51"/>
      <c r="AJ12" s="51"/>
      <c r="AK12" s="52"/>
      <c r="AL12" s="50"/>
      <c r="AM12" s="51"/>
      <c r="AN12" s="51"/>
      <c r="AO12" s="53"/>
      <c r="AP12" s="54"/>
      <c r="AQ12" s="51"/>
      <c r="AR12" s="51"/>
      <c r="AS12" s="52"/>
      <c r="AT12" s="50"/>
      <c r="AU12" s="51"/>
      <c r="AV12" s="51"/>
      <c r="AW12" s="52"/>
      <c r="AX12" s="55"/>
    </row>
    <row r="13" spans="1:50" ht="15" thickBot="1" x14ac:dyDescent="0.35">
      <c r="A13" s="49" t="s">
        <v>26</v>
      </c>
      <c r="B13" s="50"/>
      <c r="C13" s="51"/>
      <c r="D13" s="51"/>
      <c r="E13" s="52"/>
      <c r="F13" s="50"/>
      <c r="G13" s="51"/>
      <c r="H13" s="51"/>
      <c r="I13" s="53"/>
      <c r="J13" s="54"/>
      <c r="K13" s="51"/>
      <c r="L13" s="51"/>
      <c r="M13" s="52"/>
      <c r="N13" s="50"/>
      <c r="O13" s="51"/>
      <c r="P13" s="51"/>
      <c r="Q13" s="53"/>
      <c r="R13" s="54"/>
      <c r="S13" s="51"/>
      <c r="T13" s="51"/>
      <c r="U13" s="52"/>
      <c r="V13" s="50"/>
      <c r="W13" s="51"/>
      <c r="X13" s="51"/>
      <c r="Y13" s="53"/>
      <c r="Z13" s="54"/>
      <c r="AA13" s="51"/>
      <c r="AB13" s="51"/>
      <c r="AC13" s="52"/>
      <c r="AD13" s="50"/>
      <c r="AE13" s="51"/>
      <c r="AF13" s="51"/>
      <c r="AG13" s="53"/>
      <c r="AH13" s="54"/>
      <c r="AI13" s="51"/>
      <c r="AJ13" s="51"/>
      <c r="AK13" s="52"/>
      <c r="AL13" s="50"/>
      <c r="AM13" s="51"/>
      <c r="AN13" s="51"/>
      <c r="AO13" s="53"/>
      <c r="AP13" s="54"/>
      <c r="AQ13" s="51"/>
      <c r="AR13" s="51"/>
      <c r="AS13" s="52"/>
      <c r="AT13" s="50"/>
      <c r="AU13" s="51"/>
      <c r="AV13" s="51"/>
      <c r="AW13" s="52"/>
      <c r="AX13" s="55"/>
    </row>
    <row r="14" spans="1:50" ht="15" thickBot="1" x14ac:dyDescent="0.35">
      <c r="A14" s="39" t="s">
        <v>27</v>
      </c>
      <c r="B14" s="17"/>
      <c r="C14" s="15"/>
      <c r="D14" s="15"/>
      <c r="E14" s="16"/>
      <c r="F14" s="17"/>
      <c r="G14" s="15"/>
      <c r="H14" s="15"/>
      <c r="I14" s="18"/>
      <c r="J14" s="19"/>
      <c r="K14" s="15"/>
      <c r="L14" s="15"/>
      <c r="M14" s="16"/>
      <c r="N14" s="17"/>
      <c r="O14" s="15"/>
      <c r="P14" s="15"/>
      <c r="Q14" s="18"/>
      <c r="R14" s="19"/>
      <c r="S14" s="15"/>
      <c r="T14" s="15"/>
      <c r="U14" s="56"/>
      <c r="V14" s="57"/>
      <c r="W14" s="58"/>
      <c r="X14" s="15"/>
      <c r="Y14" s="18"/>
      <c r="Z14" s="19"/>
      <c r="AA14" s="15"/>
      <c r="AB14" s="58"/>
      <c r="AC14" s="56"/>
      <c r="AD14" s="57"/>
      <c r="AE14" s="15"/>
      <c r="AF14" s="15"/>
      <c r="AG14" s="18"/>
      <c r="AH14" s="19"/>
      <c r="AI14" s="58"/>
      <c r="AJ14" s="58"/>
      <c r="AK14" s="56"/>
      <c r="AL14" s="17"/>
      <c r="AM14" s="15"/>
      <c r="AN14" s="15"/>
      <c r="AO14" s="18"/>
      <c r="AP14" s="59"/>
      <c r="AQ14" s="58"/>
      <c r="AR14" s="58"/>
      <c r="AS14" s="16"/>
      <c r="AT14" s="17"/>
      <c r="AU14" s="15"/>
      <c r="AV14" s="15"/>
      <c r="AW14" s="16"/>
    </row>
    <row r="15" spans="1:50" ht="15" thickBot="1" x14ac:dyDescent="0.35">
      <c r="A15" s="20" t="s">
        <v>28</v>
      </c>
      <c r="B15" s="21"/>
      <c r="C15" s="22"/>
      <c r="D15" s="22"/>
      <c r="E15" s="27"/>
      <c r="F15" s="21"/>
      <c r="G15" s="22"/>
      <c r="H15" s="22"/>
      <c r="I15" s="28"/>
      <c r="J15" s="29"/>
      <c r="K15" s="22"/>
      <c r="L15" s="22"/>
      <c r="M15" s="27"/>
      <c r="N15" s="21"/>
      <c r="O15" s="22"/>
      <c r="P15" s="22"/>
      <c r="Q15" s="28"/>
      <c r="R15" s="29"/>
      <c r="S15" s="22"/>
      <c r="T15" s="51"/>
      <c r="U15" s="52"/>
      <c r="V15" s="60"/>
      <c r="W15" s="61"/>
      <c r="X15" s="61"/>
      <c r="Y15" s="53"/>
      <c r="Z15" s="54"/>
      <c r="AA15" s="51"/>
      <c r="AB15" s="51"/>
      <c r="AC15" s="52"/>
      <c r="AD15" s="50"/>
      <c r="AE15" s="61"/>
      <c r="AF15" s="61"/>
      <c r="AG15" s="53"/>
      <c r="AH15" s="54"/>
      <c r="AI15" s="51"/>
      <c r="AJ15" s="51"/>
      <c r="AK15" s="52"/>
      <c r="AL15" s="61"/>
      <c r="AM15" s="61"/>
      <c r="AN15" s="51"/>
      <c r="AO15" s="53"/>
      <c r="AP15" s="62"/>
      <c r="AQ15" s="63"/>
      <c r="AR15" s="63"/>
      <c r="AS15" s="27"/>
      <c r="AT15" s="21"/>
      <c r="AU15" s="22"/>
      <c r="AV15" s="22"/>
      <c r="AW15" s="27"/>
      <c r="AX15" s="30"/>
    </row>
    <row r="16" spans="1:50" ht="15" thickBot="1" x14ac:dyDescent="0.35">
      <c r="A16" s="39" t="s">
        <v>29</v>
      </c>
      <c r="B16" s="17"/>
      <c r="C16" s="15"/>
      <c r="D16" s="15"/>
      <c r="E16" s="16"/>
      <c r="F16" s="17"/>
      <c r="G16" s="15"/>
      <c r="H16" s="15"/>
      <c r="I16" s="18"/>
      <c r="J16" s="19"/>
      <c r="K16" s="15"/>
      <c r="L16" s="15"/>
      <c r="M16" s="16"/>
      <c r="N16" s="17"/>
      <c r="O16" s="15"/>
      <c r="P16" s="15"/>
      <c r="Q16" s="18"/>
      <c r="R16" s="19"/>
      <c r="S16" s="15"/>
      <c r="T16" s="15"/>
      <c r="U16" s="16"/>
      <c r="V16" s="17"/>
      <c r="W16" s="15"/>
      <c r="X16" s="15"/>
      <c r="Y16" s="64"/>
      <c r="Z16" s="65"/>
      <c r="AA16" s="66"/>
      <c r="AB16" s="15"/>
      <c r="AC16" s="16"/>
      <c r="AD16" s="17"/>
      <c r="AE16" s="66"/>
      <c r="AF16" s="66"/>
      <c r="AG16" s="64"/>
      <c r="AH16" s="19"/>
      <c r="AI16" s="15"/>
      <c r="AJ16" s="15"/>
      <c r="AK16" s="67"/>
      <c r="AL16" s="68"/>
      <c r="AM16" s="66"/>
      <c r="AN16" s="15"/>
      <c r="AO16" s="18"/>
      <c r="AP16" s="19"/>
      <c r="AQ16" s="15"/>
      <c r="AR16" s="15"/>
      <c r="AS16" s="16"/>
      <c r="AT16" s="17"/>
      <c r="AU16" s="15"/>
      <c r="AV16" s="15"/>
      <c r="AW16" s="16"/>
    </row>
    <row r="17" spans="1:50" ht="15" thickBot="1" x14ac:dyDescent="0.35">
      <c r="A17" s="20" t="s">
        <v>30</v>
      </c>
      <c r="B17" s="21"/>
      <c r="C17" s="22"/>
      <c r="D17" s="22"/>
      <c r="E17" s="27"/>
      <c r="F17" s="21"/>
      <c r="G17" s="22"/>
      <c r="H17" s="22"/>
      <c r="I17" s="28"/>
      <c r="J17" s="29"/>
      <c r="K17" s="22"/>
      <c r="L17" s="22"/>
      <c r="M17" s="27"/>
      <c r="N17" s="21"/>
      <c r="O17" s="22"/>
      <c r="P17" s="22"/>
      <c r="Q17" s="28"/>
      <c r="R17" s="29"/>
      <c r="S17" s="22"/>
      <c r="T17" s="22"/>
      <c r="U17" s="27"/>
      <c r="V17" s="69"/>
      <c r="W17" s="70"/>
      <c r="X17" s="70"/>
      <c r="Y17" s="71"/>
      <c r="Z17" s="72"/>
      <c r="AA17" s="70"/>
      <c r="AB17" s="22"/>
      <c r="AC17" s="27"/>
      <c r="AD17" s="21"/>
      <c r="AE17" s="22"/>
      <c r="AF17" s="22"/>
      <c r="AG17" s="28"/>
      <c r="AH17" s="29"/>
      <c r="AI17" s="22"/>
      <c r="AJ17" s="22"/>
      <c r="AK17" s="27"/>
      <c r="AL17" s="21"/>
      <c r="AM17" s="22"/>
      <c r="AN17" s="22"/>
      <c r="AO17" s="28"/>
      <c r="AP17" s="29"/>
      <c r="AQ17" s="22"/>
      <c r="AR17" s="22"/>
      <c r="AS17" s="27"/>
      <c r="AT17" s="21"/>
      <c r="AU17" s="22"/>
      <c r="AV17" s="22"/>
      <c r="AW17" s="27"/>
      <c r="AX17" s="30"/>
    </row>
    <row r="18" spans="1:50" ht="15" thickBot="1" x14ac:dyDescent="0.35">
      <c r="A18" s="39" t="s">
        <v>31</v>
      </c>
      <c r="B18" s="17"/>
      <c r="C18" s="15"/>
      <c r="D18" s="15"/>
      <c r="E18" s="16"/>
      <c r="F18" s="17"/>
      <c r="G18" s="15"/>
      <c r="H18" s="15"/>
      <c r="I18" s="18"/>
      <c r="J18" s="19"/>
      <c r="K18" s="15"/>
      <c r="L18" s="15"/>
      <c r="M18" s="16"/>
      <c r="N18" s="17"/>
      <c r="O18" s="15"/>
      <c r="P18" s="15"/>
      <c r="Q18" s="18"/>
      <c r="R18" s="19"/>
      <c r="S18" s="15"/>
      <c r="T18" s="15"/>
      <c r="U18" s="16"/>
      <c r="V18" s="73"/>
      <c r="W18" s="74"/>
      <c r="X18" s="74"/>
      <c r="Y18" s="75"/>
      <c r="Z18" s="76"/>
      <c r="AA18" s="74"/>
      <c r="AB18" s="15"/>
      <c r="AC18" s="16"/>
      <c r="AD18" s="17"/>
      <c r="AE18" s="15"/>
      <c r="AF18" s="15"/>
      <c r="AG18" s="18"/>
      <c r="AH18" s="19"/>
      <c r="AI18" s="15"/>
      <c r="AJ18" s="15"/>
      <c r="AK18" s="16"/>
      <c r="AL18" s="17"/>
      <c r="AM18" s="15"/>
      <c r="AN18" s="15"/>
      <c r="AO18" s="18"/>
      <c r="AP18" s="19"/>
      <c r="AQ18" s="15"/>
      <c r="AR18" s="15"/>
      <c r="AS18" s="16"/>
      <c r="AT18" s="17"/>
      <c r="AU18" s="15"/>
      <c r="AV18" s="15"/>
      <c r="AW18" s="16"/>
    </row>
    <row r="19" spans="1:50" ht="15" thickBot="1" x14ac:dyDescent="0.35">
      <c r="A19" s="20" t="s">
        <v>32</v>
      </c>
      <c r="B19" s="21"/>
      <c r="C19" s="22"/>
      <c r="D19" s="22"/>
      <c r="E19" s="27"/>
      <c r="F19" s="21"/>
      <c r="G19" s="22"/>
      <c r="H19" s="22"/>
      <c r="I19" s="28"/>
      <c r="J19" s="29"/>
      <c r="K19" s="22"/>
      <c r="L19" s="22"/>
      <c r="M19" s="27"/>
      <c r="N19" s="21"/>
      <c r="O19" s="22"/>
      <c r="P19" s="22"/>
      <c r="Q19" s="28"/>
      <c r="R19" s="29"/>
      <c r="S19" s="22"/>
      <c r="T19" s="22"/>
      <c r="U19" s="27"/>
      <c r="V19" s="21"/>
      <c r="W19" s="22"/>
      <c r="X19" s="22"/>
      <c r="Y19" s="28"/>
      <c r="Z19" s="29"/>
      <c r="AA19" s="22"/>
      <c r="AB19" s="22"/>
      <c r="AC19" s="27"/>
      <c r="AD19" s="21"/>
      <c r="AE19" s="22"/>
      <c r="AF19" s="22"/>
      <c r="AG19" s="28"/>
      <c r="AH19" s="29"/>
      <c r="AI19" s="22"/>
      <c r="AJ19" s="22"/>
      <c r="AK19" s="27"/>
      <c r="AL19" s="21"/>
      <c r="AM19" s="22"/>
      <c r="AN19" s="22"/>
      <c r="AO19" s="28"/>
      <c r="AP19" s="77"/>
      <c r="AQ19" s="78"/>
      <c r="AR19" s="78"/>
      <c r="AS19" s="79"/>
      <c r="AT19" s="21"/>
      <c r="AU19" s="22"/>
      <c r="AV19" s="22"/>
      <c r="AW19" s="27"/>
      <c r="AX19" s="30"/>
    </row>
    <row r="20" spans="1:50" ht="15" thickBot="1" x14ac:dyDescent="0.35">
      <c r="A20" s="20" t="s">
        <v>33</v>
      </c>
      <c r="B20" s="80"/>
      <c r="C20" s="81"/>
      <c r="D20" s="22"/>
      <c r="E20" s="27"/>
      <c r="F20" s="21"/>
      <c r="G20" s="22"/>
      <c r="H20" s="22"/>
      <c r="I20" s="28"/>
      <c r="J20" s="29"/>
      <c r="K20" s="22"/>
      <c r="L20" s="22"/>
      <c r="M20" s="27"/>
      <c r="N20" s="21"/>
      <c r="O20" s="22"/>
      <c r="P20" s="22"/>
      <c r="Q20" s="28"/>
      <c r="R20" s="29"/>
      <c r="S20" s="22"/>
      <c r="T20" s="22"/>
      <c r="U20" s="27"/>
      <c r="V20" s="21"/>
      <c r="W20" s="22"/>
      <c r="X20" s="22"/>
      <c r="Y20" s="28"/>
      <c r="Z20" s="29"/>
      <c r="AA20" s="22"/>
      <c r="AB20" s="22"/>
      <c r="AC20" s="27"/>
      <c r="AD20" s="21"/>
      <c r="AE20" s="22"/>
      <c r="AF20" s="22"/>
      <c r="AG20" s="28"/>
      <c r="AH20" s="29"/>
      <c r="AI20" s="22"/>
      <c r="AJ20" s="22"/>
      <c r="AK20" s="27"/>
      <c r="AL20" s="21"/>
      <c r="AM20" s="22"/>
      <c r="AN20" s="22"/>
      <c r="AO20" s="28"/>
      <c r="AP20" s="29"/>
      <c r="AQ20" s="22"/>
      <c r="AR20" s="22"/>
      <c r="AS20" s="27"/>
      <c r="AT20" s="21"/>
      <c r="AU20" s="22"/>
      <c r="AV20" s="22"/>
      <c r="AW20" s="82"/>
      <c r="AX20" s="30"/>
    </row>
    <row r="21" spans="1:50" ht="15" thickBot="1" x14ac:dyDescent="0.35">
      <c r="A21" s="31"/>
      <c r="B21" s="32"/>
      <c r="C21" s="33"/>
      <c r="D21" s="33"/>
      <c r="E21" s="34"/>
      <c r="F21" s="32"/>
      <c r="G21" s="33"/>
      <c r="H21" s="33"/>
      <c r="I21" s="35"/>
      <c r="J21" s="36"/>
      <c r="K21" s="33"/>
      <c r="L21" s="33"/>
      <c r="M21" s="34"/>
      <c r="N21" s="32"/>
      <c r="O21" s="33"/>
      <c r="P21" s="33"/>
      <c r="Q21" s="35"/>
      <c r="R21" s="36"/>
      <c r="S21" s="33"/>
      <c r="T21" s="33"/>
      <c r="U21" s="34"/>
      <c r="V21" s="32"/>
      <c r="W21" s="33"/>
      <c r="X21" s="33"/>
      <c r="Y21" s="35"/>
      <c r="Z21" s="36"/>
      <c r="AA21" s="33"/>
      <c r="AB21" s="33"/>
      <c r="AC21" s="34"/>
      <c r="AD21" s="32"/>
      <c r="AE21" s="33"/>
      <c r="AF21" s="33"/>
      <c r="AG21" s="35"/>
      <c r="AH21" s="36"/>
      <c r="AI21" s="33"/>
      <c r="AJ21" s="33"/>
      <c r="AK21" s="34"/>
      <c r="AL21" s="32"/>
      <c r="AM21" s="33"/>
      <c r="AN21" s="33"/>
      <c r="AO21" s="35"/>
      <c r="AP21" s="36"/>
      <c r="AQ21" s="33"/>
      <c r="AR21" s="33"/>
      <c r="AS21" s="34"/>
      <c r="AT21" s="32"/>
      <c r="AU21" s="33"/>
      <c r="AV21" s="33"/>
      <c r="AW21" s="34"/>
    </row>
  </sheetData>
  <mergeCells count="12">
    <mergeCell ref="AT3:AW3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4F81-9BA7-4598-BFED-260C980A7956}">
  <dimension ref="A3:AX22"/>
  <sheetViews>
    <sheetView workbookViewId="0">
      <selection activeCell="A4" sqref="A4:AX22"/>
    </sheetView>
  </sheetViews>
  <sheetFormatPr baseColWidth="10" defaultRowHeight="14.4" x14ac:dyDescent="0.3"/>
  <sheetData>
    <row r="3" spans="1:50" ht="15" thickBot="1" x14ac:dyDescent="0.35"/>
    <row r="4" spans="1:50" x14ac:dyDescent="0.3">
      <c r="A4" s="1"/>
      <c r="B4" s="142" t="s">
        <v>6</v>
      </c>
      <c r="C4" s="143"/>
      <c r="D4" s="143"/>
      <c r="E4" s="144"/>
      <c r="F4" s="145" t="s">
        <v>7</v>
      </c>
      <c r="G4" s="143"/>
      <c r="H4" s="143"/>
      <c r="I4" s="146"/>
      <c r="J4" s="142" t="s">
        <v>8</v>
      </c>
      <c r="K4" s="143"/>
      <c r="L4" s="143"/>
      <c r="M4" s="144"/>
      <c r="N4" s="145" t="s">
        <v>9</v>
      </c>
      <c r="O4" s="143"/>
      <c r="P4" s="143"/>
      <c r="Q4" s="146"/>
      <c r="R4" s="142" t="s">
        <v>10</v>
      </c>
      <c r="S4" s="143"/>
      <c r="T4" s="143"/>
      <c r="U4" s="144"/>
      <c r="V4" s="145" t="s">
        <v>11</v>
      </c>
      <c r="W4" s="143"/>
      <c r="X4" s="143"/>
      <c r="Y4" s="146"/>
      <c r="Z4" s="142" t="s">
        <v>12</v>
      </c>
      <c r="AA4" s="143"/>
      <c r="AB4" s="143"/>
      <c r="AC4" s="144"/>
      <c r="AD4" s="145" t="s">
        <v>13</v>
      </c>
      <c r="AE4" s="143"/>
      <c r="AF4" s="143"/>
      <c r="AG4" s="146"/>
      <c r="AH4" s="142" t="s">
        <v>14</v>
      </c>
      <c r="AI4" s="143"/>
      <c r="AJ4" s="143"/>
      <c r="AK4" s="144"/>
      <c r="AL4" s="145" t="s">
        <v>15</v>
      </c>
      <c r="AM4" s="143"/>
      <c r="AN4" s="143"/>
      <c r="AO4" s="146"/>
      <c r="AP4" s="142" t="s">
        <v>16</v>
      </c>
      <c r="AQ4" s="143"/>
      <c r="AR4" s="143"/>
      <c r="AS4" s="144"/>
      <c r="AT4" s="145" t="s">
        <v>17</v>
      </c>
      <c r="AU4" s="143"/>
      <c r="AV4" s="143"/>
      <c r="AW4" s="144"/>
      <c r="AX4" s="2"/>
    </row>
    <row r="5" spans="1:50" ht="15" thickBot="1" x14ac:dyDescent="0.35">
      <c r="A5" s="3" t="s">
        <v>18</v>
      </c>
      <c r="B5" s="4">
        <v>1</v>
      </c>
      <c r="C5" s="5">
        <v>2</v>
      </c>
      <c r="D5" s="5">
        <v>3</v>
      </c>
      <c r="E5" s="6">
        <v>4</v>
      </c>
      <c r="F5" s="7">
        <v>1</v>
      </c>
      <c r="G5" s="5">
        <v>2</v>
      </c>
      <c r="H5" s="5">
        <v>3</v>
      </c>
      <c r="I5" s="8">
        <v>4</v>
      </c>
      <c r="J5" s="4">
        <v>1</v>
      </c>
      <c r="K5" s="5">
        <v>2</v>
      </c>
      <c r="L5" s="5">
        <v>3</v>
      </c>
      <c r="M5" s="6">
        <v>4</v>
      </c>
      <c r="N5" s="7">
        <v>1</v>
      </c>
      <c r="O5" s="5">
        <v>2</v>
      </c>
      <c r="P5" s="5">
        <v>3</v>
      </c>
      <c r="Q5" s="8">
        <v>4</v>
      </c>
      <c r="R5" s="4">
        <v>1</v>
      </c>
      <c r="S5" s="5">
        <v>2</v>
      </c>
      <c r="T5" s="5">
        <v>3</v>
      </c>
      <c r="U5" s="6">
        <v>4</v>
      </c>
      <c r="V5" s="7">
        <v>1</v>
      </c>
      <c r="W5" s="5">
        <v>2</v>
      </c>
      <c r="X5" s="5">
        <v>3</v>
      </c>
      <c r="Y5" s="8">
        <v>4</v>
      </c>
      <c r="Z5" s="4">
        <v>1</v>
      </c>
      <c r="AA5" s="5">
        <v>2</v>
      </c>
      <c r="AB5" s="5">
        <v>3</v>
      </c>
      <c r="AC5" s="6">
        <v>4</v>
      </c>
      <c r="AD5" s="7">
        <v>1</v>
      </c>
      <c r="AE5" s="5">
        <v>2</v>
      </c>
      <c r="AF5" s="5">
        <v>3</v>
      </c>
      <c r="AG5" s="8">
        <v>4</v>
      </c>
      <c r="AH5" s="4">
        <v>1</v>
      </c>
      <c r="AI5" s="5">
        <v>2</v>
      </c>
      <c r="AJ5" s="5">
        <v>3</v>
      </c>
      <c r="AK5" s="6">
        <v>4</v>
      </c>
      <c r="AL5" s="7">
        <v>1</v>
      </c>
      <c r="AM5" s="5">
        <v>2</v>
      </c>
      <c r="AN5" s="5">
        <v>3</v>
      </c>
      <c r="AO5" s="8">
        <v>4</v>
      </c>
      <c r="AP5" s="4">
        <v>1</v>
      </c>
      <c r="AQ5" s="5">
        <v>2</v>
      </c>
      <c r="AR5" s="5">
        <v>3</v>
      </c>
      <c r="AS5" s="6">
        <v>4</v>
      </c>
      <c r="AT5" s="7">
        <v>1</v>
      </c>
      <c r="AU5" s="5">
        <v>2</v>
      </c>
      <c r="AV5" s="5">
        <v>3</v>
      </c>
      <c r="AW5" s="6">
        <v>4</v>
      </c>
      <c r="AX5" s="2"/>
    </row>
    <row r="6" spans="1:50" ht="15" thickBot="1" x14ac:dyDescent="0.35">
      <c r="A6" s="9" t="s">
        <v>19</v>
      </c>
      <c r="B6" s="10"/>
      <c r="C6" s="11"/>
      <c r="D6" s="11"/>
      <c r="E6" s="12"/>
      <c r="F6" s="10"/>
      <c r="G6" s="11"/>
      <c r="H6" s="11"/>
      <c r="I6" s="13"/>
      <c r="J6" s="14"/>
      <c r="K6" s="11"/>
      <c r="L6" s="15"/>
      <c r="M6" s="16"/>
      <c r="N6" s="17"/>
      <c r="O6" s="15"/>
      <c r="P6" s="15"/>
      <c r="Q6" s="18"/>
      <c r="R6" s="19"/>
      <c r="S6" s="15"/>
      <c r="T6" s="15"/>
      <c r="U6" s="16"/>
      <c r="V6" s="17"/>
      <c r="W6" s="15"/>
      <c r="X6" s="15"/>
      <c r="Y6" s="18"/>
      <c r="Z6" s="19"/>
      <c r="AA6" s="15"/>
      <c r="AB6" s="15"/>
      <c r="AC6" s="16"/>
      <c r="AD6" s="17"/>
      <c r="AE6" s="15"/>
      <c r="AF6" s="15"/>
      <c r="AG6" s="18"/>
      <c r="AH6" s="19"/>
      <c r="AI6" s="15"/>
      <c r="AJ6" s="15"/>
      <c r="AK6" s="16"/>
      <c r="AL6" s="17"/>
      <c r="AM6" s="15"/>
      <c r="AN6" s="15"/>
      <c r="AO6" s="18"/>
      <c r="AP6" s="19"/>
      <c r="AQ6" s="15"/>
      <c r="AR6" s="11"/>
      <c r="AS6" s="12"/>
      <c r="AT6" s="10"/>
      <c r="AU6" s="11"/>
      <c r="AV6" s="11"/>
      <c r="AW6" s="13"/>
    </row>
    <row r="7" spans="1:50" ht="15" thickBot="1" x14ac:dyDescent="0.35">
      <c r="A7" s="20" t="s">
        <v>18</v>
      </c>
      <c r="B7" s="21"/>
      <c r="C7" s="22"/>
      <c r="D7" s="22"/>
      <c r="E7" s="23"/>
      <c r="F7" s="21"/>
      <c r="G7" s="22"/>
      <c r="H7" s="24"/>
      <c r="I7" s="25"/>
      <c r="J7" s="26"/>
      <c r="K7" s="24"/>
      <c r="L7" s="22"/>
      <c r="M7" s="27"/>
      <c r="N7" s="21"/>
      <c r="O7" s="22"/>
      <c r="P7" s="22"/>
      <c r="Q7" s="28"/>
      <c r="R7" s="29"/>
      <c r="S7" s="22"/>
      <c r="T7" s="22"/>
      <c r="U7" s="27"/>
      <c r="V7" s="21"/>
      <c r="W7" s="22"/>
      <c r="X7" s="22"/>
      <c r="Y7" s="28"/>
      <c r="Z7" s="29"/>
      <c r="AA7" s="22"/>
      <c r="AB7" s="22"/>
      <c r="AC7" s="27"/>
      <c r="AD7" s="21"/>
      <c r="AE7" s="22"/>
      <c r="AF7" s="22"/>
      <c r="AG7" s="28"/>
      <c r="AH7" s="29"/>
      <c r="AI7" s="22"/>
      <c r="AJ7" s="22"/>
      <c r="AK7" s="27"/>
      <c r="AL7" s="21"/>
      <c r="AM7" s="22"/>
      <c r="AN7" s="22"/>
      <c r="AO7" s="28"/>
      <c r="AP7" s="29"/>
      <c r="AQ7" s="22"/>
      <c r="AR7" s="22"/>
      <c r="AS7" s="27"/>
      <c r="AT7" s="21"/>
      <c r="AU7" s="22"/>
      <c r="AV7" s="22"/>
      <c r="AW7" s="27"/>
      <c r="AX7" s="30"/>
    </row>
    <row r="8" spans="1:50" ht="15" thickBot="1" x14ac:dyDescent="0.35">
      <c r="A8" s="31" t="s">
        <v>20</v>
      </c>
      <c r="B8" s="32"/>
      <c r="C8" s="33"/>
      <c r="D8" s="33"/>
      <c r="E8" s="34"/>
      <c r="F8" s="32"/>
      <c r="G8" s="33"/>
      <c r="H8" s="33"/>
      <c r="I8" s="35"/>
      <c r="J8" s="36"/>
      <c r="K8" s="33"/>
      <c r="L8" s="33"/>
      <c r="M8" s="34"/>
      <c r="N8" s="32"/>
      <c r="O8" s="33"/>
      <c r="P8" s="33"/>
      <c r="Q8" s="35"/>
      <c r="R8" s="36"/>
      <c r="S8" s="33"/>
      <c r="T8" s="33"/>
      <c r="U8" s="34"/>
      <c r="V8" s="32"/>
      <c r="W8" s="33"/>
      <c r="X8" s="33"/>
      <c r="Y8" s="35"/>
      <c r="Z8" s="36"/>
      <c r="AA8" s="33"/>
      <c r="AB8" s="33"/>
      <c r="AC8" s="34"/>
      <c r="AD8" s="32"/>
      <c r="AE8" s="33"/>
      <c r="AF8" s="33"/>
      <c r="AG8" s="35"/>
      <c r="AH8" s="37"/>
      <c r="AI8" s="38"/>
      <c r="AJ8" s="33"/>
      <c r="AK8" s="34"/>
      <c r="AL8" s="32"/>
      <c r="AM8" s="33"/>
      <c r="AN8" s="33"/>
      <c r="AO8" s="35"/>
      <c r="AP8" s="36"/>
      <c r="AQ8" s="33"/>
      <c r="AR8" s="33"/>
      <c r="AS8" s="34"/>
      <c r="AT8" s="32"/>
      <c r="AU8" s="33"/>
      <c r="AV8" s="33"/>
      <c r="AW8" s="34"/>
    </row>
    <row r="9" spans="1:50" ht="15" thickBot="1" x14ac:dyDescent="0.35">
      <c r="A9" s="39" t="s">
        <v>21</v>
      </c>
      <c r="B9" s="17"/>
      <c r="C9" s="15"/>
      <c r="D9" s="15"/>
      <c r="E9" s="16"/>
      <c r="F9" s="17"/>
      <c r="G9" s="15"/>
      <c r="H9" s="15"/>
      <c r="I9" s="18"/>
      <c r="J9" s="19"/>
      <c r="K9" s="15"/>
      <c r="L9" s="40"/>
      <c r="M9" s="41"/>
      <c r="N9" s="42"/>
      <c r="O9" s="40"/>
      <c r="P9" s="40"/>
      <c r="Q9" s="43"/>
      <c r="R9" s="44"/>
      <c r="S9" s="40"/>
      <c r="T9" s="15"/>
      <c r="U9" s="16"/>
      <c r="V9" s="17"/>
      <c r="W9" s="15"/>
      <c r="X9" s="15"/>
      <c r="Y9" s="18"/>
      <c r="Z9" s="19"/>
      <c r="AA9" s="15"/>
      <c r="AB9" s="15"/>
      <c r="AC9" s="16"/>
      <c r="AD9" s="17"/>
      <c r="AE9" s="15"/>
      <c r="AF9" s="15"/>
      <c r="AG9" s="18"/>
      <c r="AH9" s="19"/>
      <c r="AI9" s="15"/>
      <c r="AJ9" s="15"/>
      <c r="AK9" s="16"/>
      <c r="AL9" s="17"/>
      <c r="AM9" s="15"/>
      <c r="AN9" s="15"/>
      <c r="AO9" s="18"/>
      <c r="AP9" s="19"/>
      <c r="AQ9" s="15"/>
      <c r="AR9" s="15"/>
      <c r="AS9" s="16"/>
      <c r="AT9" s="17"/>
      <c r="AU9" s="15"/>
      <c r="AV9" s="15"/>
      <c r="AW9" s="16"/>
    </row>
    <row r="10" spans="1:50" ht="15" thickBot="1" x14ac:dyDescent="0.35">
      <c r="A10" s="20" t="s">
        <v>22</v>
      </c>
      <c r="B10" s="21"/>
      <c r="C10" s="22"/>
      <c r="D10" s="22"/>
      <c r="E10" s="27"/>
      <c r="F10" s="45"/>
      <c r="G10" s="22"/>
      <c r="H10" s="22"/>
      <c r="I10" s="28"/>
      <c r="J10" s="29"/>
      <c r="K10" s="22"/>
      <c r="L10" s="22"/>
      <c r="M10" s="27"/>
      <c r="N10" s="21"/>
      <c r="O10" s="22"/>
      <c r="P10" s="22"/>
      <c r="Q10" s="28"/>
      <c r="R10" s="29"/>
      <c r="S10" s="22"/>
      <c r="T10" s="46"/>
      <c r="U10" s="47"/>
      <c r="V10" s="45"/>
      <c r="W10" s="46"/>
      <c r="X10" s="22"/>
      <c r="Y10" s="28"/>
      <c r="Z10" s="29"/>
      <c r="AA10" s="22"/>
      <c r="AB10" s="22"/>
      <c r="AC10" s="27"/>
      <c r="AD10" s="45"/>
      <c r="AE10" s="46"/>
      <c r="AF10" s="46"/>
      <c r="AG10" s="48"/>
      <c r="AH10" s="29"/>
      <c r="AI10" s="22"/>
      <c r="AJ10" s="22"/>
      <c r="AK10" s="27"/>
      <c r="AL10" s="45"/>
      <c r="AM10" s="46"/>
      <c r="AN10" s="46"/>
      <c r="AO10" s="48"/>
      <c r="AP10" s="29"/>
      <c r="AQ10" s="22"/>
      <c r="AR10" s="22"/>
      <c r="AS10" s="27"/>
      <c r="AT10" s="21"/>
      <c r="AU10" s="22"/>
      <c r="AV10" s="22"/>
      <c r="AW10" s="27"/>
      <c r="AX10" s="30"/>
    </row>
    <row r="11" spans="1:50" ht="15" thickBot="1" x14ac:dyDescent="0.35">
      <c r="A11" s="49" t="s">
        <v>23</v>
      </c>
      <c r="B11" s="50"/>
      <c r="C11" s="51"/>
      <c r="D11" s="51"/>
      <c r="E11" s="52"/>
      <c r="F11" s="50"/>
      <c r="G11" s="51"/>
      <c r="H11" s="51"/>
      <c r="I11" s="53"/>
      <c r="J11" s="54"/>
      <c r="K11" s="51"/>
      <c r="L11" s="51"/>
      <c r="M11" s="52"/>
      <c r="N11" s="50"/>
      <c r="O11" s="51"/>
      <c r="P11" s="51"/>
      <c r="Q11" s="53"/>
      <c r="R11" s="54"/>
      <c r="S11" s="51"/>
      <c r="T11" s="51"/>
      <c r="U11" s="52"/>
      <c r="V11" s="50"/>
      <c r="W11" s="51"/>
      <c r="X11" s="51"/>
      <c r="Y11" s="53"/>
      <c r="Z11" s="54"/>
      <c r="AA11" s="51"/>
      <c r="AB11" s="51"/>
      <c r="AC11" s="52"/>
      <c r="AD11" s="50"/>
      <c r="AE11" s="51"/>
      <c r="AF11" s="51"/>
      <c r="AG11" s="53"/>
      <c r="AH11" s="54"/>
      <c r="AI11" s="51"/>
      <c r="AJ11" s="51"/>
      <c r="AK11" s="52"/>
      <c r="AL11" s="50"/>
      <c r="AM11" s="51"/>
      <c r="AN11" s="51"/>
      <c r="AO11" s="53"/>
      <c r="AP11" s="54"/>
      <c r="AQ11" s="51"/>
      <c r="AR11" s="51"/>
      <c r="AS11" s="52"/>
      <c r="AT11" s="50"/>
      <c r="AU11" s="51"/>
      <c r="AV11" s="51"/>
      <c r="AW11" s="52"/>
      <c r="AX11" s="55"/>
    </row>
    <row r="12" spans="1:50" ht="15" thickBot="1" x14ac:dyDescent="0.35">
      <c r="A12" s="49" t="s">
        <v>24</v>
      </c>
      <c r="B12" s="50"/>
      <c r="C12" s="51"/>
      <c r="D12" s="51"/>
      <c r="E12" s="52"/>
      <c r="F12" s="50"/>
      <c r="G12" s="51"/>
      <c r="H12" s="51"/>
      <c r="I12" s="53"/>
      <c r="J12" s="54"/>
      <c r="K12" s="51"/>
      <c r="L12" s="51"/>
      <c r="M12" s="52"/>
      <c r="N12" s="50"/>
      <c r="O12" s="51"/>
      <c r="P12" s="51"/>
      <c r="Q12" s="53"/>
      <c r="R12" s="54"/>
      <c r="S12" s="51"/>
      <c r="T12" s="51"/>
      <c r="U12" s="52"/>
      <c r="V12" s="50"/>
      <c r="W12" s="51"/>
      <c r="X12" s="51"/>
      <c r="Y12" s="53"/>
      <c r="Z12" s="54"/>
      <c r="AA12" s="51"/>
      <c r="AB12" s="51"/>
      <c r="AC12" s="52"/>
      <c r="AD12" s="50"/>
      <c r="AE12" s="51"/>
      <c r="AF12" s="51"/>
      <c r="AG12" s="53"/>
      <c r="AH12" s="54"/>
      <c r="AI12" s="51"/>
      <c r="AJ12" s="51"/>
      <c r="AK12" s="52"/>
      <c r="AL12" s="50"/>
      <c r="AM12" s="51"/>
      <c r="AN12" s="51"/>
      <c r="AO12" s="53"/>
      <c r="AP12" s="54"/>
      <c r="AQ12" s="51"/>
      <c r="AR12" s="51"/>
      <c r="AS12" s="52"/>
      <c r="AT12" s="50"/>
      <c r="AU12" s="51"/>
      <c r="AV12" s="51"/>
      <c r="AW12" s="52"/>
      <c r="AX12" s="55"/>
    </row>
    <row r="13" spans="1:50" ht="15" thickBot="1" x14ac:dyDescent="0.35">
      <c r="A13" s="49" t="s">
        <v>25</v>
      </c>
      <c r="B13" s="50"/>
      <c r="C13" s="51"/>
      <c r="D13" s="51"/>
      <c r="E13" s="52"/>
      <c r="F13" s="50"/>
      <c r="G13" s="51"/>
      <c r="H13" s="51"/>
      <c r="I13" s="53"/>
      <c r="J13" s="54"/>
      <c r="K13" s="51"/>
      <c r="L13" s="51"/>
      <c r="M13" s="52"/>
      <c r="N13" s="50"/>
      <c r="O13" s="51"/>
      <c r="P13" s="51"/>
      <c r="Q13" s="53"/>
      <c r="R13" s="54"/>
      <c r="S13" s="51"/>
      <c r="T13" s="51"/>
      <c r="U13" s="52"/>
      <c r="V13" s="50"/>
      <c r="W13" s="51"/>
      <c r="X13" s="51"/>
      <c r="Y13" s="53"/>
      <c r="Z13" s="54"/>
      <c r="AA13" s="51"/>
      <c r="AB13" s="51"/>
      <c r="AC13" s="52"/>
      <c r="AD13" s="50"/>
      <c r="AE13" s="51"/>
      <c r="AF13" s="51"/>
      <c r="AG13" s="53"/>
      <c r="AH13" s="54"/>
      <c r="AI13" s="51"/>
      <c r="AJ13" s="51"/>
      <c r="AK13" s="52"/>
      <c r="AL13" s="50"/>
      <c r="AM13" s="51"/>
      <c r="AN13" s="51"/>
      <c r="AO13" s="53"/>
      <c r="AP13" s="54"/>
      <c r="AQ13" s="51"/>
      <c r="AR13" s="51"/>
      <c r="AS13" s="52"/>
      <c r="AT13" s="50"/>
      <c r="AU13" s="51"/>
      <c r="AV13" s="51"/>
      <c r="AW13" s="52"/>
      <c r="AX13" s="55"/>
    </row>
    <row r="14" spans="1:50" ht="15" thickBot="1" x14ac:dyDescent="0.35">
      <c r="A14" s="49" t="s">
        <v>26</v>
      </c>
      <c r="B14" s="50"/>
      <c r="C14" s="51"/>
      <c r="D14" s="51"/>
      <c r="E14" s="52"/>
      <c r="F14" s="50"/>
      <c r="G14" s="51"/>
      <c r="H14" s="51"/>
      <c r="I14" s="53"/>
      <c r="J14" s="54"/>
      <c r="K14" s="51"/>
      <c r="L14" s="51"/>
      <c r="M14" s="52"/>
      <c r="N14" s="50"/>
      <c r="O14" s="51"/>
      <c r="P14" s="51"/>
      <c r="Q14" s="53"/>
      <c r="R14" s="54"/>
      <c r="S14" s="51"/>
      <c r="T14" s="51"/>
      <c r="U14" s="52"/>
      <c r="V14" s="50"/>
      <c r="W14" s="51"/>
      <c r="X14" s="51"/>
      <c r="Y14" s="53"/>
      <c r="Z14" s="54"/>
      <c r="AA14" s="51"/>
      <c r="AB14" s="51"/>
      <c r="AC14" s="52"/>
      <c r="AD14" s="50"/>
      <c r="AE14" s="51"/>
      <c r="AF14" s="51"/>
      <c r="AG14" s="53"/>
      <c r="AH14" s="54"/>
      <c r="AI14" s="51"/>
      <c r="AJ14" s="51"/>
      <c r="AK14" s="52"/>
      <c r="AL14" s="50"/>
      <c r="AM14" s="51"/>
      <c r="AN14" s="51"/>
      <c r="AO14" s="53"/>
      <c r="AP14" s="54"/>
      <c r="AQ14" s="51"/>
      <c r="AR14" s="51"/>
      <c r="AS14" s="52"/>
      <c r="AT14" s="50"/>
      <c r="AU14" s="51"/>
      <c r="AV14" s="51"/>
      <c r="AW14" s="52"/>
      <c r="AX14" s="55"/>
    </row>
    <row r="15" spans="1:50" ht="15" thickBot="1" x14ac:dyDescent="0.35">
      <c r="A15" s="39" t="s">
        <v>27</v>
      </c>
      <c r="B15" s="17"/>
      <c r="C15" s="15"/>
      <c r="D15" s="15"/>
      <c r="E15" s="16"/>
      <c r="F15" s="17"/>
      <c r="G15" s="15"/>
      <c r="H15" s="15"/>
      <c r="I15" s="18"/>
      <c r="J15" s="19"/>
      <c r="K15" s="15"/>
      <c r="L15" s="15"/>
      <c r="M15" s="16"/>
      <c r="N15" s="17"/>
      <c r="O15" s="15"/>
      <c r="P15" s="15"/>
      <c r="Q15" s="18"/>
      <c r="R15" s="19"/>
      <c r="S15" s="15"/>
      <c r="T15" s="15"/>
      <c r="U15" s="56"/>
      <c r="V15" s="57"/>
      <c r="W15" s="58"/>
      <c r="X15" s="15"/>
      <c r="Y15" s="18"/>
      <c r="Z15" s="19"/>
      <c r="AA15" s="15"/>
      <c r="AB15" s="58"/>
      <c r="AC15" s="56"/>
      <c r="AD15" s="57"/>
      <c r="AE15" s="15"/>
      <c r="AF15" s="15"/>
      <c r="AG15" s="18"/>
      <c r="AH15" s="19"/>
      <c r="AI15" s="58"/>
      <c r="AJ15" s="58"/>
      <c r="AK15" s="56"/>
      <c r="AL15" s="17"/>
      <c r="AM15" s="15"/>
      <c r="AN15" s="15"/>
      <c r="AO15" s="18"/>
      <c r="AP15" s="59"/>
      <c r="AQ15" s="58"/>
      <c r="AR15" s="58"/>
      <c r="AS15" s="16"/>
      <c r="AT15" s="17"/>
      <c r="AU15" s="15"/>
      <c r="AV15" s="15"/>
      <c r="AW15" s="16"/>
    </row>
    <row r="16" spans="1:50" ht="15" thickBot="1" x14ac:dyDescent="0.35">
      <c r="A16" s="20" t="s">
        <v>28</v>
      </c>
      <c r="B16" s="21"/>
      <c r="C16" s="22"/>
      <c r="D16" s="22"/>
      <c r="E16" s="27"/>
      <c r="F16" s="21"/>
      <c r="G16" s="22"/>
      <c r="H16" s="22"/>
      <c r="I16" s="28"/>
      <c r="J16" s="29"/>
      <c r="K16" s="22"/>
      <c r="L16" s="22"/>
      <c r="M16" s="27"/>
      <c r="N16" s="21"/>
      <c r="O16" s="22"/>
      <c r="P16" s="22"/>
      <c r="Q16" s="28"/>
      <c r="R16" s="29"/>
      <c r="S16" s="22"/>
      <c r="T16" s="51"/>
      <c r="U16" s="52"/>
      <c r="V16" s="60"/>
      <c r="W16" s="61"/>
      <c r="X16" s="61"/>
      <c r="Y16" s="53"/>
      <c r="Z16" s="54"/>
      <c r="AA16" s="51"/>
      <c r="AB16" s="51"/>
      <c r="AC16" s="52"/>
      <c r="AD16" s="50"/>
      <c r="AE16" s="61"/>
      <c r="AF16" s="61"/>
      <c r="AG16" s="53"/>
      <c r="AH16" s="54"/>
      <c r="AI16" s="51"/>
      <c r="AJ16" s="51"/>
      <c r="AK16" s="52"/>
      <c r="AL16" s="61"/>
      <c r="AM16" s="61"/>
      <c r="AN16" s="51"/>
      <c r="AO16" s="53"/>
      <c r="AP16" s="62"/>
      <c r="AQ16" s="63"/>
      <c r="AR16" s="63"/>
      <c r="AS16" s="27"/>
      <c r="AT16" s="21"/>
      <c r="AU16" s="22"/>
      <c r="AV16" s="22"/>
      <c r="AW16" s="27"/>
      <c r="AX16" s="30"/>
    </row>
    <row r="17" spans="1:50" ht="15" thickBot="1" x14ac:dyDescent="0.35">
      <c r="A17" s="39" t="s">
        <v>29</v>
      </c>
      <c r="B17" s="17"/>
      <c r="C17" s="15"/>
      <c r="D17" s="15"/>
      <c r="E17" s="16"/>
      <c r="F17" s="17"/>
      <c r="G17" s="15"/>
      <c r="H17" s="15"/>
      <c r="I17" s="18"/>
      <c r="J17" s="19"/>
      <c r="K17" s="15"/>
      <c r="L17" s="15"/>
      <c r="M17" s="16"/>
      <c r="N17" s="17"/>
      <c r="O17" s="15"/>
      <c r="P17" s="15"/>
      <c r="Q17" s="18"/>
      <c r="R17" s="19"/>
      <c r="S17" s="15"/>
      <c r="T17" s="15"/>
      <c r="U17" s="16"/>
      <c r="V17" s="17"/>
      <c r="W17" s="15"/>
      <c r="X17" s="15"/>
      <c r="Y17" s="64"/>
      <c r="Z17" s="65"/>
      <c r="AA17" s="66"/>
      <c r="AB17" s="15"/>
      <c r="AC17" s="16"/>
      <c r="AD17" s="17"/>
      <c r="AE17" s="66"/>
      <c r="AF17" s="66"/>
      <c r="AG17" s="64"/>
      <c r="AH17" s="19"/>
      <c r="AI17" s="15"/>
      <c r="AJ17" s="15"/>
      <c r="AK17" s="67"/>
      <c r="AL17" s="68"/>
      <c r="AM17" s="66"/>
      <c r="AN17" s="15"/>
      <c r="AO17" s="18"/>
      <c r="AP17" s="19"/>
      <c r="AQ17" s="15"/>
      <c r="AR17" s="15"/>
      <c r="AS17" s="16"/>
      <c r="AT17" s="17"/>
      <c r="AU17" s="15"/>
      <c r="AV17" s="15"/>
      <c r="AW17" s="16"/>
    </row>
    <row r="18" spans="1:50" ht="15" thickBot="1" x14ac:dyDescent="0.35">
      <c r="A18" s="20" t="s">
        <v>30</v>
      </c>
      <c r="B18" s="21"/>
      <c r="C18" s="22"/>
      <c r="D18" s="22"/>
      <c r="E18" s="27"/>
      <c r="F18" s="21"/>
      <c r="G18" s="22"/>
      <c r="H18" s="22"/>
      <c r="I18" s="28"/>
      <c r="J18" s="29"/>
      <c r="K18" s="22"/>
      <c r="L18" s="22"/>
      <c r="M18" s="27"/>
      <c r="N18" s="21"/>
      <c r="O18" s="22"/>
      <c r="P18" s="22"/>
      <c r="Q18" s="28"/>
      <c r="R18" s="29"/>
      <c r="S18" s="22"/>
      <c r="T18" s="22"/>
      <c r="U18" s="27"/>
      <c r="V18" s="69"/>
      <c r="W18" s="70"/>
      <c r="X18" s="70"/>
      <c r="Y18" s="71"/>
      <c r="Z18" s="72"/>
      <c r="AA18" s="70"/>
      <c r="AB18" s="22"/>
      <c r="AC18" s="27"/>
      <c r="AD18" s="21"/>
      <c r="AE18" s="22"/>
      <c r="AF18" s="22"/>
      <c r="AG18" s="28"/>
      <c r="AH18" s="29"/>
      <c r="AI18" s="22"/>
      <c r="AJ18" s="22"/>
      <c r="AK18" s="27"/>
      <c r="AL18" s="21"/>
      <c r="AM18" s="22"/>
      <c r="AN18" s="22"/>
      <c r="AO18" s="28"/>
      <c r="AP18" s="29"/>
      <c r="AQ18" s="22"/>
      <c r="AR18" s="22"/>
      <c r="AS18" s="27"/>
      <c r="AT18" s="21"/>
      <c r="AU18" s="22"/>
      <c r="AV18" s="22"/>
      <c r="AW18" s="27"/>
      <c r="AX18" s="30"/>
    </row>
    <row r="19" spans="1:50" ht="15" thickBot="1" x14ac:dyDescent="0.35">
      <c r="A19" s="39" t="s">
        <v>31</v>
      </c>
      <c r="B19" s="17"/>
      <c r="C19" s="15"/>
      <c r="D19" s="15"/>
      <c r="E19" s="16"/>
      <c r="F19" s="17"/>
      <c r="G19" s="15"/>
      <c r="H19" s="15"/>
      <c r="I19" s="18"/>
      <c r="J19" s="19"/>
      <c r="K19" s="15"/>
      <c r="L19" s="15"/>
      <c r="M19" s="16"/>
      <c r="N19" s="17"/>
      <c r="O19" s="15"/>
      <c r="P19" s="15"/>
      <c r="Q19" s="18"/>
      <c r="R19" s="19"/>
      <c r="S19" s="15"/>
      <c r="T19" s="15"/>
      <c r="U19" s="16"/>
      <c r="V19" s="73"/>
      <c r="W19" s="74"/>
      <c r="X19" s="74"/>
      <c r="Y19" s="75"/>
      <c r="Z19" s="76"/>
      <c r="AA19" s="74"/>
      <c r="AB19" s="15"/>
      <c r="AC19" s="16"/>
      <c r="AD19" s="17"/>
      <c r="AE19" s="15"/>
      <c r="AF19" s="15"/>
      <c r="AG19" s="18"/>
      <c r="AH19" s="19"/>
      <c r="AI19" s="15"/>
      <c r="AJ19" s="15"/>
      <c r="AK19" s="16"/>
      <c r="AL19" s="17"/>
      <c r="AM19" s="15"/>
      <c r="AN19" s="15"/>
      <c r="AO19" s="18"/>
      <c r="AP19" s="19"/>
      <c r="AQ19" s="15"/>
      <c r="AR19" s="15"/>
      <c r="AS19" s="16"/>
      <c r="AT19" s="17"/>
      <c r="AU19" s="15"/>
      <c r="AV19" s="15"/>
      <c r="AW19" s="16"/>
    </row>
    <row r="20" spans="1:50" ht="15" thickBot="1" x14ac:dyDescent="0.35">
      <c r="A20" s="20" t="s">
        <v>32</v>
      </c>
      <c r="B20" s="21"/>
      <c r="C20" s="22"/>
      <c r="D20" s="22"/>
      <c r="E20" s="27"/>
      <c r="F20" s="21"/>
      <c r="G20" s="22"/>
      <c r="H20" s="22"/>
      <c r="I20" s="28"/>
      <c r="J20" s="29"/>
      <c r="K20" s="22"/>
      <c r="L20" s="22"/>
      <c r="M20" s="27"/>
      <c r="N20" s="21"/>
      <c r="O20" s="22"/>
      <c r="P20" s="22"/>
      <c r="Q20" s="28"/>
      <c r="R20" s="29"/>
      <c r="S20" s="22"/>
      <c r="T20" s="22"/>
      <c r="U20" s="27"/>
      <c r="V20" s="21"/>
      <c r="W20" s="22"/>
      <c r="X20" s="22"/>
      <c r="Y20" s="28"/>
      <c r="Z20" s="29"/>
      <c r="AA20" s="22"/>
      <c r="AB20" s="22"/>
      <c r="AC20" s="27"/>
      <c r="AD20" s="21"/>
      <c r="AE20" s="22"/>
      <c r="AF20" s="22"/>
      <c r="AG20" s="28"/>
      <c r="AH20" s="29"/>
      <c r="AI20" s="22"/>
      <c r="AJ20" s="22"/>
      <c r="AK20" s="27"/>
      <c r="AL20" s="21"/>
      <c r="AM20" s="22"/>
      <c r="AN20" s="22"/>
      <c r="AO20" s="28"/>
      <c r="AP20" s="77"/>
      <c r="AQ20" s="78"/>
      <c r="AR20" s="78"/>
      <c r="AS20" s="79"/>
      <c r="AT20" s="21"/>
      <c r="AU20" s="22"/>
      <c r="AV20" s="22"/>
      <c r="AW20" s="27"/>
      <c r="AX20" s="30"/>
    </row>
    <row r="21" spans="1:50" ht="15" thickBot="1" x14ac:dyDescent="0.35">
      <c r="A21" s="20" t="s">
        <v>33</v>
      </c>
      <c r="B21" s="80"/>
      <c r="C21" s="81"/>
      <c r="D21" s="22"/>
      <c r="E21" s="27"/>
      <c r="F21" s="21"/>
      <c r="G21" s="22"/>
      <c r="H21" s="22"/>
      <c r="I21" s="28"/>
      <c r="J21" s="29"/>
      <c r="K21" s="22"/>
      <c r="L21" s="22"/>
      <c r="M21" s="27"/>
      <c r="N21" s="21"/>
      <c r="O21" s="22"/>
      <c r="P21" s="22"/>
      <c r="Q21" s="28"/>
      <c r="R21" s="29"/>
      <c r="S21" s="22"/>
      <c r="T21" s="22"/>
      <c r="U21" s="27"/>
      <c r="V21" s="21"/>
      <c r="W21" s="22"/>
      <c r="X21" s="22"/>
      <c r="Y21" s="28"/>
      <c r="Z21" s="29"/>
      <c r="AA21" s="22"/>
      <c r="AB21" s="22"/>
      <c r="AC21" s="27"/>
      <c r="AD21" s="21"/>
      <c r="AE21" s="22"/>
      <c r="AF21" s="22"/>
      <c r="AG21" s="28"/>
      <c r="AH21" s="29"/>
      <c r="AI21" s="22"/>
      <c r="AJ21" s="22"/>
      <c r="AK21" s="27"/>
      <c r="AL21" s="21"/>
      <c r="AM21" s="22"/>
      <c r="AN21" s="22"/>
      <c r="AO21" s="28"/>
      <c r="AP21" s="29"/>
      <c r="AQ21" s="22"/>
      <c r="AR21" s="22"/>
      <c r="AS21" s="27"/>
      <c r="AT21" s="21"/>
      <c r="AU21" s="22"/>
      <c r="AV21" s="22"/>
      <c r="AW21" s="82"/>
      <c r="AX21" s="30"/>
    </row>
    <row r="22" spans="1:50" ht="15" thickBot="1" x14ac:dyDescent="0.35">
      <c r="A22" s="31"/>
      <c r="B22" s="32"/>
      <c r="C22" s="33"/>
      <c r="D22" s="33"/>
      <c r="E22" s="34"/>
      <c r="F22" s="32"/>
      <c r="G22" s="33"/>
      <c r="H22" s="33"/>
      <c r="I22" s="35"/>
      <c r="J22" s="36"/>
      <c r="K22" s="33"/>
      <c r="L22" s="33"/>
      <c r="M22" s="34"/>
      <c r="N22" s="32"/>
      <c r="O22" s="33"/>
      <c r="P22" s="33"/>
      <c r="Q22" s="35"/>
      <c r="R22" s="36"/>
      <c r="S22" s="33"/>
      <c r="T22" s="33"/>
      <c r="U22" s="34"/>
      <c r="V22" s="32"/>
      <c r="W22" s="33"/>
      <c r="X22" s="33"/>
      <c r="Y22" s="35"/>
      <c r="Z22" s="36"/>
      <c r="AA22" s="33"/>
      <c r="AB22" s="33"/>
      <c r="AC22" s="34"/>
      <c r="AD22" s="32"/>
      <c r="AE22" s="33"/>
      <c r="AF22" s="33"/>
      <c r="AG22" s="35"/>
      <c r="AH22" s="36"/>
      <c r="AI22" s="33"/>
      <c r="AJ22" s="33"/>
      <c r="AK22" s="34"/>
      <c r="AL22" s="32"/>
      <c r="AM22" s="33"/>
      <c r="AN22" s="33"/>
      <c r="AO22" s="35"/>
      <c r="AP22" s="36"/>
      <c r="AQ22" s="33"/>
      <c r="AR22" s="33"/>
      <c r="AS22" s="34"/>
      <c r="AT22" s="32"/>
      <c r="AU22" s="33"/>
      <c r="AV22" s="33"/>
      <c r="AW22" s="34"/>
    </row>
  </sheetData>
  <mergeCells count="12">
    <mergeCell ref="AT4:AW4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58F3-0E9D-4AA9-82CB-FD43FC4983C5}">
  <dimension ref="A3:AX22"/>
  <sheetViews>
    <sheetView workbookViewId="0">
      <selection activeCell="A4" sqref="A4:AX22"/>
    </sheetView>
  </sheetViews>
  <sheetFormatPr baseColWidth="10" defaultRowHeight="14.4" x14ac:dyDescent="0.3"/>
  <sheetData>
    <row r="3" spans="1:50" ht="15" thickBot="1" x14ac:dyDescent="0.35"/>
    <row r="4" spans="1:50" x14ac:dyDescent="0.3">
      <c r="A4" s="1"/>
      <c r="B4" s="142" t="s">
        <v>6</v>
      </c>
      <c r="C4" s="143"/>
      <c r="D4" s="143"/>
      <c r="E4" s="144"/>
      <c r="F4" s="145" t="s">
        <v>7</v>
      </c>
      <c r="G4" s="143"/>
      <c r="H4" s="143"/>
      <c r="I4" s="146"/>
      <c r="J4" s="142" t="s">
        <v>8</v>
      </c>
      <c r="K4" s="143"/>
      <c r="L4" s="143"/>
      <c r="M4" s="144"/>
      <c r="N4" s="145" t="s">
        <v>9</v>
      </c>
      <c r="O4" s="143"/>
      <c r="P4" s="143"/>
      <c r="Q4" s="146"/>
      <c r="R4" s="142" t="s">
        <v>10</v>
      </c>
      <c r="S4" s="143"/>
      <c r="T4" s="143"/>
      <c r="U4" s="144"/>
      <c r="V4" s="145" t="s">
        <v>11</v>
      </c>
      <c r="W4" s="143"/>
      <c r="X4" s="143"/>
      <c r="Y4" s="146"/>
      <c r="Z4" s="142" t="s">
        <v>12</v>
      </c>
      <c r="AA4" s="143"/>
      <c r="AB4" s="143"/>
      <c r="AC4" s="144"/>
      <c r="AD4" s="145" t="s">
        <v>13</v>
      </c>
      <c r="AE4" s="143"/>
      <c r="AF4" s="143"/>
      <c r="AG4" s="146"/>
      <c r="AH4" s="142" t="s">
        <v>14</v>
      </c>
      <c r="AI4" s="143"/>
      <c r="AJ4" s="143"/>
      <c r="AK4" s="144"/>
      <c r="AL4" s="145" t="s">
        <v>15</v>
      </c>
      <c r="AM4" s="143"/>
      <c r="AN4" s="143"/>
      <c r="AO4" s="146"/>
      <c r="AP4" s="142" t="s">
        <v>16</v>
      </c>
      <c r="AQ4" s="143"/>
      <c r="AR4" s="143"/>
      <c r="AS4" s="144"/>
      <c r="AT4" s="145" t="s">
        <v>17</v>
      </c>
      <c r="AU4" s="143"/>
      <c r="AV4" s="143"/>
      <c r="AW4" s="144"/>
      <c r="AX4" s="2"/>
    </row>
    <row r="5" spans="1:50" ht="15" thickBot="1" x14ac:dyDescent="0.35">
      <c r="A5" s="3" t="s">
        <v>18</v>
      </c>
      <c r="B5" s="4">
        <v>1</v>
      </c>
      <c r="C5" s="5">
        <v>2</v>
      </c>
      <c r="D5" s="5">
        <v>3</v>
      </c>
      <c r="E5" s="6">
        <v>4</v>
      </c>
      <c r="F5" s="7">
        <v>1</v>
      </c>
      <c r="G5" s="5">
        <v>2</v>
      </c>
      <c r="H5" s="5">
        <v>3</v>
      </c>
      <c r="I5" s="8">
        <v>4</v>
      </c>
      <c r="J5" s="4">
        <v>1</v>
      </c>
      <c r="K5" s="5">
        <v>2</v>
      </c>
      <c r="L5" s="5">
        <v>3</v>
      </c>
      <c r="M5" s="6">
        <v>4</v>
      </c>
      <c r="N5" s="7">
        <v>1</v>
      </c>
      <c r="O5" s="5">
        <v>2</v>
      </c>
      <c r="P5" s="5">
        <v>3</v>
      </c>
      <c r="Q5" s="8">
        <v>4</v>
      </c>
      <c r="R5" s="4">
        <v>1</v>
      </c>
      <c r="S5" s="5">
        <v>2</v>
      </c>
      <c r="T5" s="5">
        <v>3</v>
      </c>
      <c r="U5" s="6">
        <v>4</v>
      </c>
      <c r="V5" s="7">
        <v>1</v>
      </c>
      <c r="W5" s="5">
        <v>2</v>
      </c>
      <c r="X5" s="5">
        <v>3</v>
      </c>
      <c r="Y5" s="8">
        <v>4</v>
      </c>
      <c r="Z5" s="4">
        <v>1</v>
      </c>
      <c r="AA5" s="5">
        <v>2</v>
      </c>
      <c r="AB5" s="5">
        <v>3</v>
      </c>
      <c r="AC5" s="6">
        <v>4</v>
      </c>
      <c r="AD5" s="7">
        <v>1</v>
      </c>
      <c r="AE5" s="5">
        <v>2</v>
      </c>
      <c r="AF5" s="5">
        <v>3</v>
      </c>
      <c r="AG5" s="8">
        <v>4</v>
      </c>
      <c r="AH5" s="4">
        <v>1</v>
      </c>
      <c r="AI5" s="5">
        <v>2</v>
      </c>
      <c r="AJ5" s="5">
        <v>3</v>
      </c>
      <c r="AK5" s="6">
        <v>4</v>
      </c>
      <c r="AL5" s="7">
        <v>1</v>
      </c>
      <c r="AM5" s="5">
        <v>2</v>
      </c>
      <c r="AN5" s="5">
        <v>3</v>
      </c>
      <c r="AO5" s="8">
        <v>4</v>
      </c>
      <c r="AP5" s="4">
        <v>1</v>
      </c>
      <c r="AQ5" s="5">
        <v>2</v>
      </c>
      <c r="AR5" s="5">
        <v>3</v>
      </c>
      <c r="AS5" s="6">
        <v>4</v>
      </c>
      <c r="AT5" s="7">
        <v>1</v>
      </c>
      <c r="AU5" s="5">
        <v>2</v>
      </c>
      <c r="AV5" s="5">
        <v>3</v>
      </c>
      <c r="AW5" s="6">
        <v>4</v>
      </c>
      <c r="AX5" s="2"/>
    </row>
    <row r="6" spans="1:50" ht="15" thickBot="1" x14ac:dyDescent="0.35">
      <c r="A6" s="9" t="s">
        <v>19</v>
      </c>
      <c r="B6" s="10"/>
      <c r="C6" s="11"/>
      <c r="D6" s="11"/>
      <c r="E6" s="12"/>
      <c r="F6" s="10"/>
      <c r="G6" s="11"/>
      <c r="H6" s="11"/>
      <c r="I6" s="13"/>
      <c r="J6" s="14"/>
      <c r="K6" s="11"/>
      <c r="L6" s="15"/>
      <c r="M6" s="16"/>
      <c r="N6" s="17"/>
      <c r="O6" s="15"/>
      <c r="P6" s="15"/>
      <c r="Q6" s="18"/>
      <c r="R6" s="19"/>
      <c r="S6" s="15"/>
      <c r="T6" s="15"/>
      <c r="U6" s="16"/>
      <c r="V6" s="17"/>
      <c r="W6" s="15"/>
      <c r="X6" s="15"/>
      <c r="Y6" s="18"/>
      <c r="Z6" s="19"/>
      <c r="AA6" s="15"/>
      <c r="AB6" s="15"/>
      <c r="AC6" s="16"/>
      <c r="AD6" s="17"/>
      <c r="AE6" s="15"/>
      <c r="AF6" s="15"/>
      <c r="AG6" s="18"/>
      <c r="AH6" s="19"/>
      <c r="AI6" s="15"/>
      <c r="AJ6" s="15"/>
      <c r="AK6" s="16"/>
      <c r="AL6" s="17"/>
      <c r="AM6" s="15"/>
      <c r="AN6" s="15"/>
      <c r="AO6" s="18"/>
      <c r="AP6" s="19"/>
      <c r="AQ6" s="15"/>
      <c r="AR6" s="11"/>
      <c r="AS6" s="12"/>
      <c r="AT6" s="10"/>
      <c r="AU6" s="11"/>
      <c r="AV6" s="11"/>
      <c r="AW6" s="13"/>
    </row>
    <row r="7" spans="1:50" ht="15" thickBot="1" x14ac:dyDescent="0.35">
      <c r="A7" s="20" t="s">
        <v>18</v>
      </c>
      <c r="B7" s="21"/>
      <c r="C7" s="22"/>
      <c r="D7" s="22"/>
      <c r="E7" s="23"/>
      <c r="F7" s="21"/>
      <c r="G7" s="22"/>
      <c r="H7" s="24"/>
      <c r="I7" s="25"/>
      <c r="J7" s="26"/>
      <c r="K7" s="24"/>
      <c r="L7" s="22"/>
      <c r="M7" s="27"/>
      <c r="N7" s="21"/>
      <c r="O7" s="22"/>
      <c r="P7" s="22"/>
      <c r="Q7" s="28"/>
      <c r="R7" s="29"/>
      <c r="S7" s="22"/>
      <c r="T7" s="22"/>
      <c r="U7" s="27"/>
      <c r="V7" s="21"/>
      <c r="W7" s="22"/>
      <c r="X7" s="22"/>
      <c r="Y7" s="28"/>
      <c r="Z7" s="29"/>
      <c r="AA7" s="22"/>
      <c r="AB7" s="22"/>
      <c r="AC7" s="27"/>
      <c r="AD7" s="21"/>
      <c r="AE7" s="22"/>
      <c r="AF7" s="22"/>
      <c r="AG7" s="28"/>
      <c r="AH7" s="29"/>
      <c r="AI7" s="22"/>
      <c r="AJ7" s="22"/>
      <c r="AK7" s="27"/>
      <c r="AL7" s="21"/>
      <c r="AM7" s="22"/>
      <c r="AN7" s="22"/>
      <c r="AO7" s="28"/>
      <c r="AP7" s="29"/>
      <c r="AQ7" s="22"/>
      <c r="AR7" s="22"/>
      <c r="AS7" s="27"/>
      <c r="AT7" s="21"/>
      <c r="AU7" s="22"/>
      <c r="AV7" s="22"/>
      <c r="AW7" s="27"/>
      <c r="AX7" s="30"/>
    </row>
    <row r="8" spans="1:50" ht="15" thickBot="1" x14ac:dyDescent="0.35">
      <c r="A8" s="31" t="s">
        <v>20</v>
      </c>
      <c r="B8" s="32"/>
      <c r="C8" s="33"/>
      <c r="D8" s="33"/>
      <c r="E8" s="34"/>
      <c r="F8" s="32"/>
      <c r="G8" s="33"/>
      <c r="H8" s="33"/>
      <c r="I8" s="35"/>
      <c r="J8" s="36"/>
      <c r="K8" s="33"/>
      <c r="L8" s="33"/>
      <c r="M8" s="34"/>
      <c r="N8" s="32"/>
      <c r="O8" s="33"/>
      <c r="P8" s="33"/>
      <c r="Q8" s="35"/>
      <c r="R8" s="36"/>
      <c r="S8" s="33"/>
      <c r="T8" s="33"/>
      <c r="U8" s="34"/>
      <c r="V8" s="32"/>
      <c r="W8" s="33"/>
      <c r="X8" s="33"/>
      <c r="Y8" s="35"/>
      <c r="Z8" s="36"/>
      <c r="AA8" s="33"/>
      <c r="AB8" s="33"/>
      <c r="AC8" s="34"/>
      <c r="AD8" s="32"/>
      <c r="AE8" s="33"/>
      <c r="AF8" s="33"/>
      <c r="AG8" s="35"/>
      <c r="AH8" s="37"/>
      <c r="AI8" s="38"/>
      <c r="AJ8" s="33"/>
      <c r="AK8" s="34"/>
      <c r="AL8" s="32"/>
      <c r="AM8" s="33"/>
      <c r="AN8" s="33"/>
      <c r="AO8" s="35"/>
      <c r="AP8" s="36"/>
      <c r="AQ8" s="33"/>
      <c r="AR8" s="33"/>
      <c r="AS8" s="34"/>
      <c r="AT8" s="32"/>
      <c r="AU8" s="33"/>
      <c r="AV8" s="33"/>
      <c r="AW8" s="34"/>
    </row>
    <row r="9" spans="1:50" ht="15" thickBot="1" x14ac:dyDescent="0.35">
      <c r="A9" s="39" t="s">
        <v>21</v>
      </c>
      <c r="B9" s="17"/>
      <c r="C9" s="15"/>
      <c r="D9" s="15"/>
      <c r="E9" s="16"/>
      <c r="F9" s="17"/>
      <c r="G9" s="15"/>
      <c r="H9" s="15"/>
      <c r="I9" s="18"/>
      <c r="J9" s="19"/>
      <c r="K9" s="15"/>
      <c r="L9" s="40"/>
      <c r="M9" s="41"/>
      <c r="N9" s="42"/>
      <c r="O9" s="40"/>
      <c r="P9" s="40"/>
      <c r="Q9" s="43"/>
      <c r="R9" s="44"/>
      <c r="S9" s="40"/>
      <c r="T9" s="15"/>
      <c r="U9" s="16"/>
      <c r="V9" s="17"/>
      <c r="W9" s="15"/>
      <c r="X9" s="15"/>
      <c r="Y9" s="18"/>
      <c r="Z9" s="19"/>
      <c r="AA9" s="15"/>
      <c r="AB9" s="15"/>
      <c r="AC9" s="16"/>
      <c r="AD9" s="17"/>
      <c r="AE9" s="15"/>
      <c r="AF9" s="15"/>
      <c r="AG9" s="18"/>
      <c r="AH9" s="19"/>
      <c r="AI9" s="15"/>
      <c r="AJ9" s="15"/>
      <c r="AK9" s="16"/>
      <c r="AL9" s="17"/>
      <c r="AM9" s="15"/>
      <c r="AN9" s="15"/>
      <c r="AO9" s="18"/>
      <c r="AP9" s="19"/>
      <c r="AQ9" s="15"/>
      <c r="AR9" s="15"/>
      <c r="AS9" s="16"/>
      <c r="AT9" s="17"/>
      <c r="AU9" s="15"/>
      <c r="AV9" s="15"/>
      <c r="AW9" s="16"/>
    </row>
    <row r="10" spans="1:50" ht="15" thickBot="1" x14ac:dyDescent="0.35">
      <c r="A10" s="20" t="s">
        <v>22</v>
      </c>
      <c r="B10" s="21"/>
      <c r="C10" s="22"/>
      <c r="D10" s="22"/>
      <c r="E10" s="27"/>
      <c r="F10" s="45"/>
      <c r="G10" s="22"/>
      <c r="H10" s="22"/>
      <c r="I10" s="28"/>
      <c r="J10" s="29"/>
      <c r="K10" s="22"/>
      <c r="L10" s="22"/>
      <c r="M10" s="27"/>
      <c r="N10" s="21"/>
      <c r="O10" s="22"/>
      <c r="P10" s="22"/>
      <c r="Q10" s="28"/>
      <c r="R10" s="29"/>
      <c r="S10" s="22"/>
      <c r="T10" s="46"/>
      <c r="U10" s="47"/>
      <c r="V10" s="45"/>
      <c r="W10" s="46"/>
      <c r="X10" s="22"/>
      <c r="Y10" s="28"/>
      <c r="Z10" s="29"/>
      <c r="AA10" s="22"/>
      <c r="AB10" s="22"/>
      <c r="AC10" s="27"/>
      <c r="AD10" s="45"/>
      <c r="AE10" s="46"/>
      <c r="AF10" s="46"/>
      <c r="AG10" s="48"/>
      <c r="AH10" s="29"/>
      <c r="AI10" s="22"/>
      <c r="AJ10" s="22"/>
      <c r="AK10" s="27"/>
      <c r="AL10" s="45"/>
      <c r="AM10" s="46"/>
      <c r="AN10" s="46"/>
      <c r="AO10" s="48"/>
      <c r="AP10" s="29"/>
      <c r="AQ10" s="22"/>
      <c r="AR10" s="22"/>
      <c r="AS10" s="27"/>
      <c r="AT10" s="21"/>
      <c r="AU10" s="22"/>
      <c r="AV10" s="22"/>
      <c r="AW10" s="27"/>
      <c r="AX10" s="30"/>
    </row>
    <row r="11" spans="1:50" ht="15" thickBot="1" x14ac:dyDescent="0.35">
      <c r="A11" s="49" t="s">
        <v>23</v>
      </c>
      <c r="B11" s="50"/>
      <c r="C11" s="51"/>
      <c r="D11" s="51"/>
      <c r="E11" s="52"/>
      <c r="F11" s="50"/>
      <c r="G11" s="51"/>
      <c r="H11" s="51"/>
      <c r="I11" s="53"/>
      <c r="J11" s="54"/>
      <c r="K11" s="51"/>
      <c r="L11" s="51"/>
      <c r="M11" s="52"/>
      <c r="N11" s="50"/>
      <c r="O11" s="51"/>
      <c r="P11" s="51"/>
      <c r="Q11" s="53"/>
      <c r="R11" s="54"/>
      <c r="S11" s="51"/>
      <c r="T11" s="51"/>
      <c r="U11" s="52"/>
      <c r="V11" s="50"/>
      <c r="W11" s="51"/>
      <c r="X11" s="51"/>
      <c r="Y11" s="53"/>
      <c r="Z11" s="54"/>
      <c r="AA11" s="51"/>
      <c r="AB11" s="51"/>
      <c r="AC11" s="52"/>
      <c r="AD11" s="50"/>
      <c r="AE11" s="51"/>
      <c r="AF11" s="51"/>
      <c r="AG11" s="53"/>
      <c r="AH11" s="54"/>
      <c r="AI11" s="51"/>
      <c r="AJ11" s="51"/>
      <c r="AK11" s="52"/>
      <c r="AL11" s="50"/>
      <c r="AM11" s="51"/>
      <c r="AN11" s="51"/>
      <c r="AO11" s="53"/>
      <c r="AP11" s="54"/>
      <c r="AQ11" s="51"/>
      <c r="AR11" s="51"/>
      <c r="AS11" s="52"/>
      <c r="AT11" s="50"/>
      <c r="AU11" s="51"/>
      <c r="AV11" s="51"/>
      <c r="AW11" s="52"/>
      <c r="AX11" s="55"/>
    </row>
    <row r="12" spans="1:50" ht="15" thickBot="1" x14ac:dyDescent="0.35">
      <c r="A12" s="49" t="s">
        <v>24</v>
      </c>
      <c r="B12" s="50"/>
      <c r="C12" s="51"/>
      <c r="D12" s="51"/>
      <c r="E12" s="52"/>
      <c r="F12" s="50"/>
      <c r="G12" s="51"/>
      <c r="H12" s="51"/>
      <c r="I12" s="53"/>
      <c r="J12" s="54"/>
      <c r="K12" s="51"/>
      <c r="L12" s="51"/>
      <c r="M12" s="52"/>
      <c r="N12" s="50"/>
      <c r="O12" s="51"/>
      <c r="P12" s="51"/>
      <c r="Q12" s="53"/>
      <c r="R12" s="54"/>
      <c r="S12" s="51"/>
      <c r="T12" s="51"/>
      <c r="U12" s="52"/>
      <c r="V12" s="50"/>
      <c r="W12" s="51"/>
      <c r="X12" s="51"/>
      <c r="Y12" s="53"/>
      <c r="Z12" s="54"/>
      <c r="AA12" s="51"/>
      <c r="AB12" s="51"/>
      <c r="AC12" s="52"/>
      <c r="AD12" s="50"/>
      <c r="AE12" s="51"/>
      <c r="AF12" s="51"/>
      <c r="AG12" s="53"/>
      <c r="AH12" s="54"/>
      <c r="AI12" s="51"/>
      <c r="AJ12" s="51"/>
      <c r="AK12" s="52"/>
      <c r="AL12" s="50"/>
      <c r="AM12" s="51"/>
      <c r="AN12" s="51"/>
      <c r="AO12" s="53"/>
      <c r="AP12" s="54"/>
      <c r="AQ12" s="51"/>
      <c r="AR12" s="51"/>
      <c r="AS12" s="52"/>
      <c r="AT12" s="50"/>
      <c r="AU12" s="51"/>
      <c r="AV12" s="51"/>
      <c r="AW12" s="52"/>
      <c r="AX12" s="55"/>
    </row>
    <row r="13" spans="1:50" ht="15" thickBot="1" x14ac:dyDescent="0.35">
      <c r="A13" s="49" t="s">
        <v>25</v>
      </c>
      <c r="B13" s="50"/>
      <c r="C13" s="51"/>
      <c r="D13" s="51"/>
      <c r="E13" s="52"/>
      <c r="F13" s="50"/>
      <c r="G13" s="51"/>
      <c r="H13" s="51"/>
      <c r="I13" s="53"/>
      <c r="J13" s="54"/>
      <c r="K13" s="51"/>
      <c r="L13" s="51"/>
      <c r="M13" s="52"/>
      <c r="N13" s="50"/>
      <c r="O13" s="51"/>
      <c r="P13" s="51"/>
      <c r="Q13" s="53"/>
      <c r="R13" s="54"/>
      <c r="S13" s="51"/>
      <c r="T13" s="51"/>
      <c r="U13" s="52"/>
      <c r="V13" s="50"/>
      <c r="W13" s="51"/>
      <c r="X13" s="51"/>
      <c r="Y13" s="53"/>
      <c r="Z13" s="54"/>
      <c r="AA13" s="51"/>
      <c r="AB13" s="51"/>
      <c r="AC13" s="52"/>
      <c r="AD13" s="50"/>
      <c r="AE13" s="51"/>
      <c r="AF13" s="51"/>
      <c r="AG13" s="53"/>
      <c r="AH13" s="54"/>
      <c r="AI13" s="51"/>
      <c r="AJ13" s="51"/>
      <c r="AK13" s="52"/>
      <c r="AL13" s="50"/>
      <c r="AM13" s="51"/>
      <c r="AN13" s="51"/>
      <c r="AO13" s="53"/>
      <c r="AP13" s="54"/>
      <c r="AQ13" s="51"/>
      <c r="AR13" s="51"/>
      <c r="AS13" s="52"/>
      <c r="AT13" s="50"/>
      <c r="AU13" s="51"/>
      <c r="AV13" s="51"/>
      <c r="AW13" s="52"/>
      <c r="AX13" s="55"/>
    </row>
    <row r="14" spans="1:50" ht="15" thickBot="1" x14ac:dyDescent="0.35">
      <c r="A14" s="49" t="s">
        <v>26</v>
      </c>
      <c r="B14" s="50"/>
      <c r="C14" s="51"/>
      <c r="D14" s="51"/>
      <c r="E14" s="52"/>
      <c r="F14" s="50"/>
      <c r="G14" s="51"/>
      <c r="H14" s="51"/>
      <c r="I14" s="53"/>
      <c r="J14" s="54"/>
      <c r="K14" s="51"/>
      <c r="L14" s="51"/>
      <c r="M14" s="52"/>
      <c r="N14" s="50"/>
      <c r="O14" s="51"/>
      <c r="P14" s="51"/>
      <c r="Q14" s="53"/>
      <c r="R14" s="54"/>
      <c r="S14" s="51"/>
      <c r="T14" s="51"/>
      <c r="U14" s="52"/>
      <c r="V14" s="50"/>
      <c r="W14" s="51"/>
      <c r="X14" s="51"/>
      <c r="Y14" s="53"/>
      <c r="Z14" s="54"/>
      <c r="AA14" s="51"/>
      <c r="AB14" s="51"/>
      <c r="AC14" s="52"/>
      <c r="AD14" s="50"/>
      <c r="AE14" s="51"/>
      <c r="AF14" s="51"/>
      <c r="AG14" s="53"/>
      <c r="AH14" s="54"/>
      <c r="AI14" s="51"/>
      <c r="AJ14" s="51"/>
      <c r="AK14" s="52"/>
      <c r="AL14" s="50"/>
      <c r="AM14" s="51"/>
      <c r="AN14" s="51"/>
      <c r="AO14" s="53"/>
      <c r="AP14" s="54"/>
      <c r="AQ14" s="51"/>
      <c r="AR14" s="51"/>
      <c r="AS14" s="52"/>
      <c r="AT14" s="50"/>
      <c r="AU14" s="51"/>
      <c r="AV14" s="51"/>
      <c r="AW14" s="52"/>
      <c r="AX14" s="55"/>
    </row>
    <row r="15" spans="1:50" ht="15" thickBot="1" x14ac:dyDescent="0.35">
      <c r="A15" s="39" t="s">
        <v>27</v>
      </c>
      <c r="B15" s="17"/>
      <c r="C15" s="15"/>
      <c r="D15" s="15"/>
      <c r="E15" s="16"/>
      <c r="F15" s="17"/>
      <c r="G15" s="15"/>
      <c r="H15" s="15"/>
      <c r="I15" s="18"/>
      <c r="J15" s="19"/>
      <c r="K15" s="15"/>
      <c r="L15" s="15"/>
      <c r="M15" s="16"/>
      <c r="N15" s="17"/>
      <c r="O15" s="15"/>
      <c r="P15" s="15"/>
      <c r="Q15" s="18"/>
      <c r="R15" s="19"/>
      <c r="S15" s="15"/>
      <c r="T15" s="15"/>
      <c r="U15" s="56"/>
      <c r="V15" s="57"/>
      <c r="W15" s="58"/>
      <c r="X15" s="15"/>
      <c r="Y15" s="18"/>
      <c r="Z15" s="19"/>
      <c r="AA15" s="15"/>
      <c r="AB15" s="58"/>
      <c r="AC15" s="56"/>
      <c r="AD15" s="57"/>
      <c r="AE15" s="15"/>
      <c r="AF15" s="15"/>
      <c r="AG15" s="18"/>
      <c r="AH15" s="19"/>
      <c r="AI15" s="58"/>
      <c r="AJ15" s="58"/>
      <c r="AK15" s="56"/>
      <c r="AL15" s="17"/>
      <c r="AM15" s="15"/>
      <c r="AN15" s="15"/>
      <c r="AO15" s="18"/>
      <c r="AP15" s="59"/>
      <c r="AQ15" s="58"/>
      <c r="AR15" s="58"/>
      <c r="AS15" s="16"/>
      <c r="AT15" s="17"/>
      <c r="AU15" s="15"/>
      <c r="AV15" s="15"/>
      <c r="AW15" s="16"/>
    </row>
    <row r="16" spans="1:50" ht="15" thickBot="1" x14ac:dyDescent="0.35">
      <c r="A16" s="20" t="s">
        <v>28</v>
      </c>
      <c r="B16" s="21"/>
      <c r="C16" s="22"/>
      <c r="D16" s="22"/>
      <c r="E16" s="27"/>
      <c r="F16" s="21"/>
      <c r="G16" s="22"/>
      <c r="H16" s="22"/>
      <c r="I16" s="28"/>
      <c r="J16" s="29"/>
      <c r="K16" s="22"/>
      <c r="L16" s="22"/>
      <c r="M16" s="27"/>
      <c r="N16" s="21"/>
      <c r="O16" s="22"/>
      <c r="P16" s="22"/>
      <c r="Q16" s="28"/>
      <c r="R16" s="29"/>
      <c r="S16" s="22"/>
      <c r="T16" s="51"/>
      <c r="U16" s="52"/>
      <c r="V16" s="60"/>
      <c r="W16" s="61"/>
      <c r="X16" s="61"/>
      <c r="Y16" s="53"/>
      <c r="Z16" s="54"/>
      <c r="AA16" s="51"/>
      <c r="AB16" s="51"/>
      <c r="AC16" s="52"/>
      <c r="AD16" s="50"/>
      <c r="AE16" s="61"/>
      <c r="AF16" s="61"/>
      <c r="AG16" s="53"/>
      <c r="AH16" s="54"/>
      <c r="AI16" s="51"/>
      <c r="AJ16" s="51"/>
      <c r="AK16" s="52"/>
      <c r="AL16" s="61"/>
      <c r="AM16" s="61"/>
      <c r="AN16" s="51"/>
      <c r="AO16" s="53"/>
      <c r="AP16" s="62"/>
      <c r="AQ16" s="63"/>
      <c r="AR16" s="63"/>
      <c r="AS16" s="27"/>
      <c r="AT16" s="21"/>
      <c r="AU16" s="22"/>
      <c r="AV16" s="22"/>
      <c r="AW16" s="27"/>
      <c r="AX16" s="30"/>
    </row>
    <row r="17" spans="1:50" ht="15" thickBot="1" x14ac:dyDescent="0.35">
      <c r="A17" s="39" t="s">
        <v>29</v>
      </c>
      <c r="B17" s="17"/>
      <c r="C17" s="15"/>
      <c r="D17" s="15"/>
      <c r="E17" s="16"/>
      <c r="F17" s="17"/>
      <c r="G17" s="15"/>
      <c r="H17" s="15"/>
      <c r="I17" s="18"/>
      <c r="J17" s="19"/>
      <c r="K17" s="15"/>
      <c r="L17" s="15"/>
      <c r="M17" s="16"/>
      <c r="N17" s="17"/>
      <c r="O17" s="15"/>
      <c r="P17" s="15"/>
      <c r="Q17" s="18"/>
      <c r="R17" s="19"/>
      <c r="S17" s="15"/>
      <c r="T17" s="15"/>
      <c r="U17" s="16"/>
      <c r="V17" s="17"/>
      <c r="W17" s="15"/>
      <c r="X17" s="15"/>
      <c r="Y17" s="64"/>
      <c r="Z17" s="65"/>
      <c r="AA17" s="66"/>
      <c r="AB17" s="15"/>
      <c r="AC17" s="16"/>
      <c r="AD17" s="17"/>
      <c r="AE17" s="66"/>
      <c r="AF17" s="66"/>
      <c r="AG17" s="64"/>
      <c r="AH17" s="19"/>
      <c r="AI17" s="15"/>
      <c r="AJ17" s="15"/>
      <c r="AK17" s="67"/>
      <c r="AL17" s="68"/>
      <c r="AM17" s="66"/>
      <c r="AN17" s="15"/>
      <c r="AO17" s="18"/>
      <c r="AP17" s="19"/>
      <c r="AQ17" s="15"/>
      <c r="AR17" s="15"/>
      <c r="AS17" s="16"/>
      <c r="AT17" s="17"/>
      <c r="AU17" s="15"/>
      <c r="AV17" s="15"/>
      <c r="AW17" s="16"/>
    </row>
    <row r="18" spans="1:50" ht="15" thickBot="1" x14ac:dyDescent="0.35">
      <c r="A18" s="20" t="s">
        <v>30</v>
      </c>
      <c r="B18" s="21"/>
      <c r="C18" s="22"/>
      <c r="D18" s="22"/>
      <c r="E18" s="27"/>
      <c r="F18" s="21"/>
      <c r="G18" s="22"/>
      <c r="H18" s="22"/>
      <c r="I18" s="28"/>
      <c r="J18" s="29"/>
      <c r="K18" s="22"/>
      <c r="L18" s="22"/>
      <c r="M18" s="27"/>
      <c r="N18" s="21"/>
      <c r="O18" s="22"/>
      <c r="P18" s="22"/>
      <c r="Q18" s="28"/>
      <c r="R18" s="29"/>
      <c r="S18" s="22"/>
      <c r="T18" s="22"/>
      <c r="U18" s="27"/>
      <c r="V18" s="69"/>
      <c r="W18" s="70"/>
      <c r="X18" s="70"/>
      <c r="Y18" s="71"/>
      <c r="Z18" s="72"/>
      <c r="AA18" s="70"/>
      <c r="AB18" s="22"/>
      <c r="AC18" s="27"/>
      <c r="AD18" s="21"/>
      <c r="AE18" s="22"/>
      <c r="AF18" s="22"/>
      <c r="AG18" s="28"/>
      <c r="AH18" s="29"/>
      <c r="AI18" s="22"/>
      <c r="AJ18" s="22"/>
      <c r="AK18" s="27"/>
      <c r="AL18" s="21"/>
      <c r="AM18" s="22"/>
      <c r="AN18" s="22"/>
      <c r="AO18" s="28"/>
      <c r="AP18" s="29"/>
      <c r="AQ18" s="22"/>
      <c r="AR18" s="22"/>
      <c r="AS18" s="27"/>
      <c r="AT18" s="21"/>
      <c r="AU18" s="22"/>
      <c r="AV18" s="22"/>
      <c r="AW18" s="27"/>
      <c r="AX18" s="30"/>
    </row>
    <row r="19" spans="1:50" ht="15" thickBot="1" x14ac:dyDescent="0.35">
      <c r="A19" s="39" t="s">
        <v>31</v>
      </c>
      <c r="B19" s="17"/>
      <c r="C19" s="15"/>
      <c r="D19" s="15"/>
      <c r="E19" s="16"/>
      <c r="F19" s="17"/>
      <c r="G19" s="15"/>
      <c r="H19" s="15"/>
      <c r="I19" s="18"/>
      <c r="J19" s="19"/>
      <c r="K19" s="15"/>
      <c r="L19" s="15"/>
      <c r="M19" s="16"/>
      <c r="N19" s="17"/>
      <c r="O19" s="15"/>
      <c r="P19" s="15"/>
      <c r="Q19" s="18"/>
      <c r="R19" s="19"/>
      <c r="S19" s="15"/>
      <c r="T19" s="15"/>
      <c r="U19" s="16"/>
      <c r="V19" s="73"/>
      <c r="W19" s="74"/>
      <c r="X19" s="74"/>
      <c r="Y19" s="75"/>
      <c r="Z19" s="76"/>
      <c r="AA19" s="74"/>
      <c r="AB19" s="15"/>
      <c r="AC19" s="16"/>
      <c r="AD19" s="17"/>
      <c r="AE19" s="15"/>
      <c r="AF19" s="15"/>
      <c r="AG19" s="18"/>
      <c r="AH19" s="19"/>
      <c r="AI19" s="15"/>
      <c r="AJ19" s="15"/>
      <c r="AK19" s="16"/>
      <c r="AL19" s="17"/>
      <c r="AM19" s="15"/>
      <c r="AN19" s="15"/>
      <c r="AO19" s="18"/>
      <c r="AP19" s="19"/>
      <c r="AQ19" s="15"/>
      <c r="AR19" s="15"/>
      <c r="AS19" s="16"/>
      <c r="AT19" s="17"/>
      <c r="AU19" s="15"/>
      <c r="AV19" s="15"/>
      <c r="AW19" s="16"/>
    </row>
    <row r="20" spans="1:50" ht="15" thickBot="1" x14ac:dyDescent="0.35">
      <c r="A20" s="20" t="s">
        <v>32</v>
      </c>
      <c r="B20" s="21"/>
      <c r="C20" s="22"/>
      <c r="D20" s="22"/>
      <c r="E20" s="27"/>
      <c r="F20" s="21"/>
      <c r="G20" s="22"/>
      <c r="H20" s="22"/>
      <c r="I20" s="28"/>
      <c r="J20" s="29"/>
      <c r="K20" s="22"/>
      <c r="L20" s="22"/>
      <c r="M20" s="27"/>
      <c r="N20" s="21"/>
      <c r="O20" s="22"/>
      <c r="P20" s="22"/>
      <c r="Q20" s="28"/>
      <c r="R20" s="29"/>
      <c r="S20" s="22"/>
      <c r="T20" s="22"/>
      <c r="U20" s="27"/>
      <c r="V20" s="21"/>
      <c r="W20" s="22"/>
      <c r="X20" s="22"/>
      <c r="Y20" s="28"/>
      <c r="Z20" s="29"/>
      <c r="AA20" s="22"/>
      <c r="AB20" s="22"/>
      <c r="AC20" s="27"/>
      <c r="AD20" s="21"/>
      <c r="AE20" s="22"/>
      <c r="AF20" s="22"/>
      <c r="AG20" s="28"/>
      <c r="AH20" s="29"/>
      <c r="AI20" s="22"/>
      <c r="AJ20" s="22"/>
      <c r="AK20" s="27"/>
      <c r="AL20" s="21"/>
      <c r="AM20" s="22"/>
      <c r="AN20" s="22"/>
      <c r="AO20" s="28"/>
      <c r="AP20" s="77"/>
      <c r="AQ20" s="78"/>
      <c r="AR20" s="78"/>
      <c r="AS20" s="79"/>
      <c r="AT20" s="21"/>
      <c r="AU20" s="22"/>
      <c r="AV20" s="22"/>
      <c r="AW20" s="27"/>
      <c r="AX20" s="30"/>
    </row>
    <row r="21" spans="1:50" ht="15" thickBot="1" x14ac:dyDescent="0.35">
      <c r="A21" s="20" t="s">
        <v>33</v>
      </c>
      <c r="B21" s="80"/>
      <c r="C21" s="81"/>
      <c r="D21" s="22"/>
      <c r="E21" s="27"/>
      <c r="F21" s="21"/>
      <c r="G21" s="22"/>
      <c r="H21" s="22"/>
      <c r="I21" s="28"/>
      <c r="J21" s="29"/>
      <c r="K21" s="22"/>
      <c r="L21" s="22"/>
      <c r="M21" s="27"/>
      <c r="N21" s="21"/>
      <c r="O21" s="22"/>
      <c r="P21" s="22"/>
      <c r="Q21" s="28"/>
      <c r="R21" s="29"/>
      <c r="S21" s="22"/>
      <c r="T21" s="22"/>
      <c r="U21" s="27"/>
      <c r="V21" s="21"/>
      <c r="W21" s="22"/>
      <c r="X21" s="22"/>
      <c r="Y21" s="28"/>
      <c r="Z21" s="29"/>
      <c r="AA21" s="22"/>
      <c r="AB21" s="22"/>
      <c r="AC21" s="27"/>
      <c r="AD21" s="21"/>
      <c r="AE21" s="22"/>
      <c r="AF21" s="22"/>
      <c r="AG21" s="28"/>
      <c r="AH21" s="29"/>
      <c r="AI21" s="22"/>
      <c r="AJ21" s="22"/>
      <c r="AK21" s="27"/>
      <c r="AL21" s="21"/>
      <c r="AM21" s="22"/>
      <c r="AN21" s="22"/>
      <c r="AO21" s="28"/>
      <c r="AP21" s="29"/>
      <c r="AQ21" s="22"/>
      <c r="AR21" s="22"/>
      <c r="AS21" s="27"/>
      <c r="AT21" s="21"/>
      <c r="AU21" s="22"/>
      <c r="AV21" s="22"/>
      <c r="AW21" s="82"/>
      <c r="AX21" s="30"/>
    </row>
    <row r="22" spans="1:50" ht="15" thickBot="1" x14ac:dyDescent="0.35">
      <c r="A22" s="31"/>
      <c r="B22" s="32"/>
      <c r="C22" s="33"/>
      <c r="D22" s="33"/>
      <c r="E22" s="34"/>
      <c r="F22" s="32"/>
      <c r="G22" s="33"/>
      <c r="H22" s="33"/>
      <c r="I22" s="35"/>
      <c r="J22" s="36"/>
      <c r="K22" s="33"/>
      <c r="L22" s="33"/>
      <c r="M22" s="34"/>
      <c r="N22" s="32"/>
      <c r="O22" s="33"/>
      <c r="P22" s="33"/>
      <c r="Q22" s="35"/>
      <c r="R22" s="36"/>
      <c r="S22" s="33"/>
      <c r="T22" s="33"/>
      <c r="U22" s="34"/>
      <c r="V22" s="32"/>
      <c r="W22" s="33"/>
      <c r="X22" s="33"/>
      <c r="Y22" s="35"/>
      <c r="Z22" s="36"/>
      <c r="AA22" s="33"/>
      <c r="AB22" s="33"/>
      <c r="AC22" s="34"/>
      <c r="AD22" s="32"/>
      <c r="AE22" s="33"/>
      <c r="AF22" s="33"/>
      <c r="AG22" s="35"/>
      <c r="AH22" s="36"/>
      <c r="AI22" s="33"/>
      <c r="AJ22" s="33"/>
      <c r="AK22" s="34"/>
      <c r="AL22" s="32"/>
      <c r="AM22" s="33"/>
      <c r="AN22" s="33"/>
      <c r="AO22" s="35"/>
      <c r="AP22" s="36"/>
      <c r="AQ22" s="33"/>
      <c r="AR22" s="33"/>
      <c r="AS22" s="34"/>
      <c r="AT22" s="32"/>
      <c r="AU22" s="33"/>
      <c r="AV22" s="33"/>
      <c r="AW22" s="34"/>
    </row>
  </sheetData>
  <mergeCells count="12">
    <mergeCell ref="AT4:AW4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2E27-C090-42EE-97FD-EDF7CC8A8034}">
  <dimension ref="A3:AX22"/>
  <sheetViews>
    <sheetView workbookViewId="0">
      <selection activeCell="A4" sqref="A4:AX22"/>
    </sheetView>
  </sheetViews>
  <sheetFormatPr baseColWidth="10" defaultRowHeight="14.4" x14ac:dyDescent="0.3"/>
  <sheetData>
    <row r="3" spans="1:50" ht="15" thickBot="1" x14ac:dyDescent="0.35"/>
    <row r="4" spans="1:50" x14ac:dyDescent="0.3">
      <c r="A4" s="1"/>
      <c r="B4" s="142" t="s">
        <v>6</v>
      </c>
      <c r="C4" s="143"/>
      <c r="D4" s="143"/>
      <c r="E4" s="144"/>
      <c r="F4" s="145" t="s">
        <v>7</v>
      </c>
      <c r="G4" s="143"/>
      <c r="H4" s="143"/>
      <c r="I4" s="146"/>
      <c r="J4" s="142" t="s">
        <v>8</v>
      </c>
      <c r="K4" s="143"/>
      <c r="L4" s="143"/>
      <c r="M4" s="144"/>
      <c r="N4" s="145" t="s">
        <v>9</v>
      </c>
      <c r="O4" s="143"/>
      <c r="P4" s="143"/>
      <c r="Q4" s="146"/>
      <c r="R4" s="142" t="s">
        <v>10</v>
      </c>
      <c r="S4" s="143"/>
      <c r="T4" s="143"/>
      <c r="U4" s="144"/>
      <c r="V4" s="145" t="s">
        <v>11</v>
      </c>
      <c r="W4" s="143"/>
      <c r="X4" s="143"/>
      <c r="Y4" s="146"/>
      <c r="Z4" s="142" t="s">
        <v>12</v>
      </c>
      <c r="AA4" s="143"/>
      <c r="AB4" s="143"/>
      <c r="AC4" s="144"/>
      <c r="AD4" s="145" t="s">
        <v>13</v>
      </c>
      <c r="AE4" s="143"/>
      <c r="AF4" s="143"/>
      <c r="AG4" s="146"/>
      <c r="AH4" s="142" t="s">
        <v>14</v>
      </c>
      <c r="AI4" s="143"/>
      <c r="AJ4" s="143"/>
      <c r="AK4" s="144"/>
      <c r="AL4" s="145" t="s">
        <v>15</v>
      </c>
      <c r="AM4" s="143"/>
      <c r="AN4" s="143"/>
      <c r="AO4" s="146"/>
      <c r="AP4" s="142" t="s">
        <v>16</v>
      </c>
      <c r="AQ4" s="143"/>
      <c r="AR4" s="143"/>
      <c r="AS4" s="144"/>
      <c r="AT4" s="145" t="s">
        <v>17</v>
      </c>
      <c r="AU4" s="143"/>
      <c r="AV4" s="143"/>
      <c r="AW4" s="144"/>
      <c r="AX4" s="2"/>
    </row>
    <row r="5" spans="1:50" ht="15" thickBot="1" x14ac:dyDescent="0.35">
      <c r="A5" s="3" t="s">
        <v>18</v>
      </c>
      <c r="B5" s="4">
        <v>1</v>
      </c>
      <c r="C5" s="5">
        <v>2</v>
      </c>
      <c r="D5" s="5">
        <v>3</v>
      </c>
      <c r="E5" s="6">
        <v>4</v>
      </c>
      <c r="F5" s="7">
        <v>1</v>
      </c>
      <c r="G5" s="5">
        <v>2</v>
      </c>
      <c r="H5" s="5">
        <v>3</v>
      </c>
      <c r="I5" s="8">
        <v>4</v>
      </c>
      <c r="J5" s="4">
        <v>1</v>
      </c>
      <c r="K5" s="5">
        <v>2</v>
      </c>
      <c r="L5" s="5">
        <v>3</v>
      </c>
      <c r="M5" s="6">
        <v>4</v>
      </c>
      <c r="N5" s="7">
        <v>1</v>
      </c>
      <c r="O5" s="5">
        <v>2</v>
      </c>
      <c r="P5" s="5">
        <v>3</v>
      </c>
      <c r="Q5" s="8">
        <v>4</v>
      </c>
      <c r="R5" s="4">
        <v>1</v>
      </c>
      <c r="S5" s="5">
        <v>2</v>
      </c>
      <c r="T5" s="5">
        <v>3</v>
      </c>
      <c r="U5" s="6">
        <v>4</v>
      </c>
      <c r="V5" s="7">
        <v>1</v>
      </c>
      <c r="W5" s="5">
        <v>2</v>
      </c>
      <c r="X5" s="5">
        <v>3</v>
      </c>
      <c r="Y5" s="8">
        <v>4</v>
      </c>
      <c r="Z5" s="4">
        <v>1</v>
      </c>
      <c r="AA5" s="5">
        <v>2</v>
      </c>
      <c r="AB5" s="5">
        <v>3</v>
      </c>
      <c r="AC5" s="6">
        <v>4</v>
      </c>
      <c r="AD5" s="7">
        <v>1</v>
      </c>
      <c r="AE5" s="5">
        <v>2</v>
      </c>
      <c r="AF5" s="5">
        <v>3</v>
      </c>
      <c r="AG5" s="8">
        <v>4</v>
      </c>
      <c r="AH5" s="4">
        <v>1</v>
      </c>
      <c r="AI5" s="5">
        <v>2</v>
      </c>
      <c r="AJ5" s="5">
        <v>3</v>
      </c>
      <c r="AK5" s="6">
        <v>4</v>
      </c>
      <c r="AL5" s="7">
        <v>1</v>
      </c>
      <c r="AM5" s="5">
        <v>2</v>
      </c>
      <c r="AN5" s="5">
        <v>3</v>
      </c>
      <c r="AO5" s="8">
        <v>4</v>
      </c>
      <c r="AP5" s="4">
        <v>1</v>
      </c>
      <c r="AQ5" s="5">
        <v>2</v>
      </c>
      <c r="AR5" s="5">
        <v>3</v>
      </c>
      <c r="AS5" s="6">
        <v>4</v>
      </c>
      <c r="AT5" s="7">
        <v>1</v>
      </c>
      <c r="AU5" s="5">
        <v>2</v>
      </c>
      <c r="AV5" s="5">
        <v>3</v>
      </c>
      <c r="AW5" s="6">
        <v>4</v>
      </c>
      <c r="AX5" s="2"/>
    </row>
    <row r="6" spans="1:50" ht="15" thickBot="1" x14ac:dyDescent="0.35">
      <c r="A6" s="9" t="s">
        <v>19</v>
      </c>
      <c r="B6" s="10"/>
      <c r="C6" s="11"/>
      <c r="D6" s="11"/>
      <c r="E6" s="12"/>
      <c r="F6" s="10"/>
      <c r="G6" s="11"/>
      <c r="H6" s="11"/>
      <c r="I6" s="13"/>
      <c r="J6" s="14"/>
      <c r="K6" s="11"/>
      <c r="L6" s="15"/>
      <c r="M6" s="16"/>
      <c r="N6" s="17"/>
      <c r="O6" s="15"/>
      <c r="P6" s="15"/>
      <c r="Q6" s="18"/>
      <c r="R6" s="19"/>
      <c r="S6" s="15"/>
      <c r="T6" s="15"/>
      <c r="U6" s="16"/>
      <c r="V6" s="17"/>
      <c r="W6" s="15"/>
      <c r="X6" s="15"/>
      <c r="Y6" s="18"/>
      <c r="Z6" s="19"/>
      <c r="AA6" s="15"/>
      <c r="AB6" s="15"/>
      <c r="AC6" s="16"/>
      <c r="AD6" s="17"/>
      <c r="AE6" s="15"/>
      <c r="AF6" s="15"/>
      <c r="AG6" s="18"/>
      <c r="AH6" s="19"/>
      <c r="AI6" s="15"/>
      <c r="AJ6" s="15"/>
      <c r="AK6" s="16"/>
      <c r="AL6" s="17"/>
      <c r="AM6" s="15"/>
      <c r="AN6" s="15"/>
      <c r="AO6" s="18"/>
      <c r="AP6" s="19"/>
      <c r="AQ6" s="15"/>
      <c r="AR6" s="11"/>
      <c r="AS6" s="12"/>
      <c r="AT6" s="10"/>
      <c r="AU6" s="11"/>
      <c r="AV6" s="11"/>
      <c r="AW6" s="13"/>
    </row>
    <row r="7" spans="1:50" ht="15" thickBot="1" x14ac:dyDescent="0.35">
      <c r="A7" s="20" t="s">
        <v>18</v>
      </c>
      <c r="B7" s="21"/>
      <c r="C7" s="22"/>
      <c r="D7" s="22"/>
      <c r="E7" s="23"/>
      <c r="F7" s="21"/>
      <c r="G7" s="22"/>
      <c r="H7" s="24"/>
      <c r="I7" s="25"/>
      <c r="J7" s="26"/>
      <c r="K7" s="24"/>
      <c r="L7" s="22"/>
      <c r="M7" s="27"/>
      <c r="N7" s="21"/>
      <c r="O7" s="22"/>
      <c r="P7" s="22"/>
      <c r="Q7" s="28"/>
      <c r="R7" s="29"/>
      <c r="S7" s="22"/>
      <c r="T7" s="22"/>
      <c r="U7" s="27"/>
      <c r="V7" s="21"/>
      <c r="W7" s="22"/>
      <c r="X7" s="22"/>
      <c r="Y7" s="28"/>
      <c r="Z7" s="29"/>
      <c r="AA7" s="22"/>
      <c r="AB7" s="22"/>
      <c r="AC7" s="27"/>
      <c r="AD7" s="21"/>
      <c r="AE7" s="22"/>
      <c r="AF7" s="22"/>
      <c r="AG7" s="28"/>
      <c r="AH7" s="29"/>
      <c r="AI7" s="22"/>
      <c r="AJ7" s="22"/>
      <c r="AK7" s="27"/>
      <c r="AL7" s="21"/>
      <c r="AM7" s="22"/>
      <c r="AN7" s="22"/>
      <c r="AO7" s="28"/>
      <c r="AP7" s="29"/>
      <c r="AQ7" s="22"/>
      <c r="AR7" s="22"/>
      <c r="AS7" s="27"/>
      <c r="AT7" s="21"/>
      <c r="AU7" s="22"/>
      <c r="AV7" s="22"/>
      <c r="AW7" s="27"/>
      <c r="AX7" s="30"/>
    </row>
    <row r="8" spans="1:50" ht="15" thickBot="1" x14ac:dyDescent="0.35">
      <c r="A8" s="31" t="s">
        <v>20</v>
      </c>
      <c r="B8" s="32"/>
      <c r="C8" s="33"/>
      <c r="D8" s="33"/>
      <c r="E8" s="34"/>
      <c r="F8" s="32"/>
      <c r="G8" s="33"/>
      <c r="H8" s="33"/>
      <c r="I8" s="35"/>
      <c r="J8" s="36"/>
      <c r="K8" s="33"/>
      <c r="L8" s="33"/>
      <c r="M8" s="34"/>
      <c r="N8" s="32"/>
      <c r="O8" s="33"/>
      <c r="P8" s="33"/>
      <c r="Q8" s="35"/>
      <c r="R8" s="36"/>
      <c r="S8" s="33"/>
      <c r="T8" s="33"/>
      <c r="U8" s="34"/>
      <c r="V8" s="32"/>
      <c r="W8" s="33"/>
      <c r="X8" s="33"/>
      <c r="Y8" s="35"/>
      <c r="Z8" s="36"/>
      <c r="AA8" s="33"/>
      <c r="AB8" s="33"/>
      <c r="AC8" s="34"/>
      <c r="AD8" s="32"/>
      <c r="AE8" s="33"/>
      <c r="AF8" s="33"/>
      <c r="AG8" s="35"/>
      <c r="AH8" s="37"/>
      <c r="AI8" s="38"/>
      <c r="AJ8" s="33"/>
      <c r="AK8" s="34"/>
      <c r="AL8" s="32"/>
      <c r="AM8" s="33"/>
      <c r="AN8" s="33"/>
      <c r="AO8" s="35"/>
      <c r="AP8" s="36"/>
      <c r="AQ8" s="33"/>
      <c r="AR8" s="33"/>
      <c r="AS8" s="34"/>
      <c r="AT8" s="32"/>
      <c r="AU8" s="33"/>
      <c r="AV8" s="33"/>
      <c r="AW8" s="34"/>
    </row>
    <row r="9" spans="1:50" ht="15" thickBot="1" x14ac:dyDescent="0.35">
      <c r="A9" s="39" t="s">
        <v>21</v>
      </c>
      <c r="B9" s="17"/>
      <c r="C9" s="15"/>
      <c r="D9" s="15"/>
      <c r="E9" s="16"/>
      <c r="F9" s="17"/>
      <c r="G9" s="15"/>
      <c r="H9" s="15"/>
      <c r="I9" s="18"/>
      <c r="J9" s="19"/>
      <c r="K9" s="15"/>
      <c r="L9" s="40"/>
      <c r="M9" s="41"/>
      <c r="N9" s="42"/>
      <c r="O9" s="40"/>
      <c r="P9" s="40"/>
      <c r="Q9" s="43"/>
      <c r="R9" s="44"/>
      <c r="S9" s="40"/>
      <c r="T9" s="15"/>
      <c r="U9" s="16"/>
      <c r="V9" s="17"/>
      <c r="W9" s="15"/>
      <c r="X9" s="15"/>
      <c r="Y9" s="18"/>
      <c r="Z9" s="19"/>
      <c r="AA9" s="15"/>
      <c r="AB9" s="15"/>
      <c r="AC9" s="16"/>
      <c r="AD9" s="17"/>
      <c r="AE9" s="15"/>
      <c r="AF9" s="15"/>
      <c r="AG9" s="18"/>
      <c r="AH9" s="19"/>
      <c r="AI9" s="15"/>
      <c r="AJ9" s="15"/>
      <c r="AK9" s="16"/>
      <c r="AL9" s="17"/>
      <c r="AM9" s="15"/>
      <c r="AN9" s="15"/>
      <c r="AO9" s="18"/>
      <c r="AP9" s="19"/>
      <c r="AQ9" s="15"/>
      <c r="AR9" s="15"/>
      <c r="AS9" s="16"/>
      <c r="AT9" s="17"/>
      <c r="AU9" s="15"/>
      <c r="AV9" s="15"/>
      <c r="AW9" s="16"/>
    </row>
    <row r="10" spans="1:50" ht="15" thickBot="1" x14ac:dyDescent="0.35">
      <c r="A10" s="20" t="s">
        <v>22</v>
      </c>
      <c r="B10" s="21"/>
      <c r="C10" s="22"/>
      <c r="D10" s="22"/>
      <c r="E10" s="27"/>
      <c r="F10" s="45"/>
      <c r="G10" s="22"/>
      <c r="H10" s="22"/>
      <c r="I10" s="28"/>
      <c r="J10" s="29"/>
      <c r="K10" s="22"/>
      <c r="L10" s="22"/>
      <c r="M10" s="27"/>
      <c r="N10" s="21"/>
      <c r="O10" s="22"/>
      <c r="P10" s="22"/>
      <c r="Q10" s="28"/>
      <c r="R10" s="29"/>
      <c r="S10" s="22"/>
      <c r="T10" s="46"/>
      <c r="U10" s="47"/>
      <c r="V10" s="45"/>
      <c r="W10" s="46"/>
      <c r="X10" s="22"/>
      <c r="Y10" s="28"/>
      <c r="Z10" s="29"/>
      <c r="AA10" s="22"/>
      <c r="AB10" s="22"/>
      <c r="AC10" s="27"/>
      <c r="AD10" s="45"/>
      <c r="AE10" s="46"/>
      <c r="AF10" s="46"/>
      <c r="AG10" s="48"/>
      <c r="AH10" s="29"/>
      <c r="AI10" s="22"/>
      <c r="AJ10" s="22"/>
      <c r="AK10" s="27"/>
      <c r="AL10" s="45"/>
      <c r="AM10" s="46"/>
      <c r="AN10" s="46"/>
      <c r="AO10" s="48"/>
      <c r="AP10" s="29"/>
      <c r="AQ10" s="22"/>
      <c r="AR10" s="22"/>
      <c r="AS10" s="27"/>
      <c r="AT10" s="21"/>
      <c r="AU10" s="22"/>
      <c r="AV10" s="22"/>
      <c r="AW10" s="27"/>
      <c r="AX10" s="30"/>
    </row>
    <row r="11" spans="1:50" ht="15" thickBot="1" x14ac:dyDescent="0.35">
      <c r="A11" s="49" t="s">
        <v>23</v>
      </c>
      <c r="B11" s="50"/>
      <c r="C11" s="51"/>
      <c r="D11" s="51"/>
      <c r="E11" s="52"/>
      <c r="F11" s="50"/>
      <c r="G11" s="51"/>
      <c r="H11" s="51"/>
      <c r="I11" s="53"/>
      <c r="J11" s="54"/>
      <c r="K11" s="51"/>
      <c r="L11" s="51"/>
      <c r="M11" s="52"/>
      <c r="N11" s="50"/>
      <c r="O11" s="51"/>
      <c r="P11" s="51"/>
      <c r="Q11" s="53"/>
      <c r="R11" s="54"/>
      <c r="S11" s="51"/>
      <c r="T11" s="51"/>
      <c r="U11" s="52"/>
      <c r="V11" s="50"/>
      <c r="W11" s="51"/>
      <c r="X11" s="51"/>
      <c r="Y11" s="53"/>
      <c r="Z11" s="54"/>
      <c r="AA11" s="51"/>
      <c r="AB11" s="51"/>
      <c r="AC11" s="52"/>
      <c r="AD11" s="50"/>
      <c r="AE11" s="51"/>
      <c r="AF11" s="51"/>
      <c r="AG11" s="53"/>
      <c r="AH11" s="54"/>
      <c r="AI11" s="51"/>
      <c r="AJ11" s="51"/>
      <c r="AK11" s="52"/>
      <c r="AL11" s="50"/>
      <c r="AM11" s="51"/>
      <c r="AN11" s="51"/>
      <c r="AO11" s="53"/>
      <c r="AP11" s="54"/>
      <c r="AQ11" s="51"/>
      <c r="AR11" s="51"/>
      <c r="AS11" s="52"/>
      <c r="AT11" s="50"/>
      <c r="AU11" s="51"/>
      <c r="AV11" s="51"/>
      <c r="AW11" s="52"/>
      <c r="AX11" s="55"/>
    </row>
    <row r="12" spans="1:50" ht="15" thickBot="1" x14ac:dyDescent="0.35">
      <c r="A12" s="49" t="s">
        <v>24</v>
      </c>
      <c r="B12" s="50"/>
      <c r="C12" s="51"/>
      <c r="D12" s="51"/>
      <c r="E12" s="52"/>
      <c r="F12" s="50"/>
      <c r="G12" s="51"/>
      <c r="H12" s="51"/>
      <c r="I12" s="53"/>
      <c r="J12" s="54"/>
      <c r="K12" s="51"/>
      <c r="L12" s="51"/>
      <c r="M12" s="52"/>
      <c r="N12" s="50"/>
      <c r="O12" s="51"/>
      <c r="P12" s="51"/>
      <c r="Q12" s="53"/>
      <c r="R12" s="54"/>
      <c r="S12" s="51"/>
      <c r="T12" s="51"/>
      <c r="U12" s="52"/>
      <c r="V12" s="50"/>
      <c r="W12" s="51"/>
      <c r="X12" s="51"/>
      <c r="Y12" s="53"/>
      <c r="Z12" s="54"/>
      <c r="AA12" s="51"/>
      <c r="AB12" s="51"/>
      <c r="AC12" s="52"/>
      <c r="AD12" s="50"/>
      <c r="AE12" s="51"/>
      <c r="AF12" s="51"/>
      <c r="AG12" s="53"/>
      <c r="AH12" s="54"/>
      <c r="AI12" s="51"/>
      <c r="AJ12" s="51"/>
      <c r="AK12" s="52"/>
      <c r="AL12" s="50"/>
      <c r="AM12" s="51"/>
      <c r="AN12" s="51"/>
      <c r="AO12" s="53"/>
      <c r="AP12" s="54"/>
      <c r="AQ12" s="51"/>
      <c r="AR12" s="51"/>
      <c r="AS12" s="52"/>
      <c r="AT12" s="50"/>
      <c r="AU12" s="51"/>
      <c r="AV12" s="51"/>
      <c r="AW12" s="52"/>
      <c r="AX12" s="55"/>
    </row>
    <row r="13" spans="1:50" ht="15" thickBot="1" x14ac:dyDescent="0.35">
      <c r="A13" s="49" t="s">
        <v>25</v>
      </c>
      <c r="B13" s="50"/>
      <c r="C13" s="51"/>
      <c r="D13" s="51"/>
      <c r="E13" s="52"/>
      <c r="F13" s="50"/>
      <c r="G13" s="51"/>
      <c r="H13" s="51"/>
      <c r="I13" s="53"/>
      <c r="J13" s="54"/>
      <c r="K13" s="51"/>
      <c r="L13" s="51"/>
      <c r="M13" s="52"/>
      <c r="N13" s="50"/>
      <c r="O13" s="51"/>
      <c r="P13" s="51"/>
      <c r="Q13" s="53"/>
      <c r="R13" s="54"/>
      <c r="S13" s="51"/>
      <c r="T13" s="51"/>
      <c r="U13" s="52"/>
      <c r="V13" s="50"/>
      <c r="W13" s="51"/>
      <c r="X13" s="51"/>
      <c r="Y13" s="53"/>
      <c r="Z13" s="54"/>
      <c r="AA13" s="51"/>
      <c r="AB13" s="51"/>
      <c r="AC13" s="52"/>
      <c r="AD13" s="50"/>
      <c r="AE13" s="51"/>
      <c r="AF13" s="51"/>
      <c r="AG13" s="53"/>
      <c r="AH13" s="54"/>
      <c r="AI13" s="51"/>
      <c r="AJ13" s="51"/>
      <c r="AK13" s="52"/>
      <c r="AL13" s="50"/>
      <c r="AM13" s="51"/>
      <c r="AN13" s="51"/>
      <c r="AO13" s="53"/>
      <c r="AP13" s="54"/>
      <c r="AQ13" s="51"/>
      <c r="AR13" s="51"/>
      <c r="AS13" s="52"/>
      <c r="AT13" s="50"/>
      <c r="AU13" s="51"/>
      <c r="AV13" s="51"/>
      <c r="AW13" s="52"/>
      <c r="AX13" s="55"/>
    </row>
    <row r="14" spans="1:50" ht="15" thickBot="1" x14ac:dyDescent="0.35">
      <c r="A14" s="49" t="s">
        <v>26</v>
      </c>
      <c r="B14" s="50"/>
      <c r="C14" s="51"/>
      <c r="D14" s="51"/>
      <c r="E14" s="52"/>
      <c r="F14" s="50"/>
      <c r="G14" s="51"/>
      <c r="H14" s="51"/>
      <c r="I14" s="53"/>
      <c r="J14" s="54"/>
      <c r="K14" s="51"/>
      <c r="L14" s="51"/>
      <c r="M14" s="52"/>
      <c r="N14" s="50"/>
      <c r="O14" s="51"/>
      <c r="P14" s="51"/>
      <c r="Q14" s="53"/>
      <c r="R14" s="54"/>
      <c r="S14" s="51"/>
      <c r="T14" s="51"/>
      <c r="U14" s="52"/>
      <c r="V14" s="50"/>
      <c r="W14" s="51"/>
      <c r="X14" s="51"/>
      <c r="Y14" s="53"/>
      <c r="Z14" s="54"/>
      <c r="AA14" s="51"/>
      <c r="AB14" s="51"/>
      <c r="AC14" s="52"/>
      <c r="AD14" s="50"/>
      <c r="AE14" s="51"/>
      <c r="AF14" s="51"/>
      <c r="AG14" s="53"/>
      <c r="AH14" s="54"/>
      <c r="AI14" s="51"/>
      <c r="AJ14" s="51"/>
      <c r="AK14" s="52"/>
      <c r="AL14" s="50"/>
      <c r="AM14" s="51"/>
      <c r="AN14" s="51"/>
      <c r="AO14" s="53"/>
      <c r="AP14" s="54"/>
      <c r="AQ14" s="51"/>
      <c r="AR14" s="51"/>
      <c r="AS14" s="52"/>
      <c r="AT14" s="50"/>
      <c r="AU14" s="51"/>
      <c r="AV14" s="51"/>
      <c r="AW14" s="52"/>
      <c r="AX14" s="55"/>
    </row>
    <row r="15" spans="1:50" ht="15" thickBot="1" x14ac:dyDescent="0.35">
      <c r="A15" s="39" t="s">
        <v>27</v>
      </c>
      <c r="B15" s="17"/>
      <c r="C15" s="15"/>
      <c r="D15" s="15"/>
      <c r="E15" s="16"/>
      <c r="F15" s="17"/>
      <c r="G15" s="15"/>
      <c r="H15" s="15"/>
      <c r="I15" s="18"/>
      <c r="J15" s="19"/>
      <c r="K15" s="15"/>
      <c r="L15" s="15"/>
      <c r="M15" s="16"/>
      <c r="N15" s="17"/>
      <c r="O15" s="15"/>
      <c r="P15" s="15"/>
      <c r="Q15" s="18"/>
      <c r="R15" s="19"/>
      <c r="S15" s="15"/>
      <c r="T15" s="15"/>
      <c r="U15" s="56"/>
      <c r="V15" s="57"/>
      <c r="W15" s="58"/>
      <c r="X15" s="15"/>
      <c r="Y15" s="18"/>
      <c r="Z15" s="19"/>
      <c r="AA15" s="15"/>
      <c r="AB15" s="58"/>
      <c r="AC15" s="56"/>
      <c r="AD15" s="57"/>
      <c r="AE15" s="15"/>
      <c r="AF15" s="15"/>
      <c r="AG15" s="18"/>
      <c r="AH15" s="19"/>
      <c r="AI15" s="58"/>
      <c r="AJ15" s="58"/>
      <c r="AK15" s="56"/>
      <c r="AL15" s="17"/>
      <c r="AM15" s="15"/>
      <c r="AN15" s="15"/>
      <c r="AO15" s="18"/>
      <c r="AP15" s="59"/>
      <c r="AQ15" s="58"/>
      <c r="AR15" s="58"/>
      <c r="AS15" s="16"/>
      <c r="AT15" s="17"/>
      <c r="AU15" s="15"/>
      <c r="AV15" s="15"/>
      <c r="AW15" s="16"/>
    </row>
    <row r="16" spans="1:50" ht="15" thickBot="1" x14ac:dyDescent="0.35">
      <c r="A16" s="20" t="s">
        <v>28</v>
      </c>
      <c r="B16" s="21"/>
      <c r="C16" s="22"/>
      <c r="D16" s="22"/>
      <c r="E16" s="27"/>
      <c r="F16" s="21"/>
      <c r="G16" s="22"/>
      <c r="H16" s="22"/>
      <c r="I16" s="28"/>
      <c r="J16" s="29"/>
      <c r="K16" s="22"/>
      <c r="L16" s="22"/>
      <c r="M16" s="27"/>
      <c r="N16" s="21"/>
      <c r="O16" s="22"/>
      <c r="P16" s="22"/>
      <c r="Q16" s="28"/>
      <c r="R16" s="29"/>
      <c r="S16" s="22"/>
      <c r="T16" s="51"/>
      <c r="U16" s="52"/>
      <c r="V16" s="60"/>
      <c r="W16" s="61"/>
      <c r="X16" s="61"/>
      <c r="Y16" s="53"/>
      <c r="Z16" s="54"/>
      <c r="AA16" s="51"/>
      <c r="AB16" s="51"/>
      <c r="AC16" s="52"/>
      <c r="AD16" s="50"/>
      <c r="AE16" s="61"/>
      <c r="AF16" s="61"/>
      <c r="AG16" s="53"/>
      <c r="AH16" s="54"/>
      <c r="AI16" s="51"/>
      <c r="AJ16" s="51"/>
      <c r="AK16" s="52"/>
      <c r="AL16" s="61"/>
      <c r="AM16" s="61"/>
      <c r="AN16" s="51"/>
      <c r="AO16" s="53"/>
      <c r="AP16" s="62"/>
      <c r="AQ16" s="63"/>
      <c r="AR16" s="63"/>
      <c r="AS16" s="27"/>
      <c r="AT16" s="21"/>
      <c r="AU16" s="22"/>
      <c r="AV16" s="22"/>
      <c r="AW16" s="27"/>
      <c r="AX16" s="30"/>
    </row>
    <row r="17" spans="1:50" ht="15" thickBot="1" x14ac:dyDescent="0.35">
      <c r="A17" s="39" t="s">
        <v>29</v>
      </c>
      <c r="B17" s="17"/>
      <c r="C17" s="15"/>
      <c r="D17" s="15"/>
      <c r="E17" s="16"/>
      <c r="F17" s="17"/>
      <c r="G17" s="15"/>
      <c r="H17" s="15"/>
      <c r="I17" s="18"/>
      <c r="J17" s="19"/>
      <c r="K17" s="15"/>
      <c r="L17" s="15"/>
      <c r="M17" s="16"/>
      <c r="N17" s="17"/>
      <c r="O17" s="15"/>
      <c r="P17" s="15"/>
      <c r="Q17" s="18"/>
      <c r="R17" s="19"/>
      <c r="S17" s="15"/>
      <c r="T17" s="15"/>
      <c r="U17" s="16"/>
      <c r="V17" s="17"/>
      <c r="W17" s="15"/>
      <c r="X17" s="15"/>
      <c r="Y17" s="64"/>
      <c r="Z17" s="65"/>
      <c r="AA17" s="66"/>
      <c r="AB17" s="15"/>
      <c r="AC17" s="16"/>
      <c r="AD17" s="17"/>
      <c r="AE17" s="66"/>
      <c r="AF17" s="66"/>
      <c r="AG17" s="64"/>
      <c r="AH17" s="19"/>
      <c r="AI17" s="15"/>
      <c r="AJ17" s="15"/>
      <c r="AK17" s="67"/>
      <c r="AL17" s="68"/>
      <c r="AM17" s="66"/>
      <c r="AN17" s="15"/>
      <c r="AO17" s="18"/>
      <c r="AP17" s="19"/>
      <c r="AQ17" s="15"/>
      <c r="AR17" s="15"/>
      <c r="AS17" s="16"/>
      <c r="AT17" s="17"/>
      <c r="AU17" s="15"/>
      <c r="AV17" s="15"/>
      <c r="AW17" s="16"/>
    </row>
    <row r="18" spans="1:50" ht="15" thickBot="1" x14ac:dyDescent="0.35">
      <c r="A18" s="20" t="s">
        <v>30</v>
      </c>
      <c r="B18" s="21"/>
      <c r="C18" s="22"/>
      <c r="D18" s="22"/>
      <c r="E18" s="27"/>
      <c r="F18" s="21"/>
      <c r="G18" s="22"/>
      <c r="H18" s="22"/>
      <c r="I18" s="28"/>
      <c r="J18" s="29"/>
      <c r="K18" s="22"/>
      <c r="L18" s="22"/>
      <c r="M18" s="27"/>
      <c r="N18" s="21"/>
      <c r="O18" s="22"/>
      <c r="P18" s="22"/>
      <c r="Q18" s="28"/>
      <c r="R18" s="29"/>
      <c r="S18" s="22"/>
      <c r="T18" s="22"/>
      <c r="U18" s="27"/>
      <c r="V18" s="69"/>
      <c r="W18" s="70"/>
      <c r="X18" s="70"/>
      <c r="Y18" s="71"/>
      <c r="Z18" s="72"/>
      <c r="AA18" s="70"/>
      <c r="AB18" s="22"/>
      <c r="AC18" s="27"/>
      <c r="AD18" s="21"/>
      <c r="AE18" s="22"/>
      <c r="AF18" s="22"/>
      <c r="AG18" s="28"/>
      <c r="AH18" s="29"/>
      <c r="AI18" s="22"/>
      <c r="AJ18" s="22"/>
      <c r="AK18" s="27"/>
      <c r="AL18" s="21"/>
      <c r="AM18" s="22"/>
      <c r="AN18" s="22"/>
      <c r="AO18" s="28"/>
      <c r="AP18" s="29"/>
      <c r="AQ18" s="22"/>
      <c r="AR18" s="22"/>
      <c r="AS18" s="27"/>
      <c r="AT18" s="21"/>
      <c r="AU18" s="22"/>
      <c r="AV18" s="22"/>
      <c r="AW18" s="27"/>
      <c r="AX18" s="30"/>
    </row>
    <row r="19" spans="1:50" ht="15" thickBot="1" x14ac:dyDescent="0.35">
      <c r="A19" s="39" t="s">
        <v>31</v>
      </c>
      <c r="B19" s="17"/>
      <c r="C19" s="15"/>
      <c r="D19" s="15"/>
      <c r="E19" s="16"/>
      <c r="F19" s="17"/>
      <c r="G19" s="15"/>
      <c r="H19" s="15"/>
      <c r="I19" s="18"/>
      <c r="J19" s="19"/>
      <c r="K19" s="15"/>
      <c r="L19" s="15"/>
      <c r="M19" s="16"/>
      <c r="N19" s="17"/>
      <c r="O19" s="15"/>
      <c r="P19" s="15"/>
      <c r="Q19" s="18"/>
      <c r="R19" s="19"/>
      <c r="S19" s="15"/>
      <c r="T19" s="15"/>
      <c r="U19" s="16"/>
      <c r="V19" s="73"/>
      <c r="W19" s="74"/>
      <c r="X19" s="74"/>
      <c r="Y19" s="75"/>
      <c r="Z19" s="76"/>
      <c r="AA19" s="74"/>
      <c r="AB19" s="15"/>
      <c r="AC19" s="16"/>
      <c r="AD19" s="17"/>
      <c r="AE19" s="15"/>
      <c r="AF19" s="15"/>
      <c r="AG19" s="18"/>
      <c r="AH19" s="19"/>
      <c r="AI19" s="15"/>
      <c r="AJ19" s="15"/>
      <c r="AK19" s="16"/>
      <c r="AL19" s="17"/>
      <c r="AM19" s="15"/>
      <c r="AN19" s="15"/>
      <c r="AO19" s="18"/>
      <c r="AP19" s="19"/>
      <c r="AQ19" s="15"/>
      <c r="AR19" s="15"/>
      <c r="AS19" s="16"/>
      <c r="AT19" s="17"/>
      <c r="AU19" s="15"/>
      <c r="AV19" s="15"/>
      <c r="AW19" s="16"/>
    </row>
    <row r="20" spans="1:50" ht="15" thickBot="1" x14ac:dyDescent="0.35">
      <c r="A20" s="20" t="s">
        <v>32</v>
      </c>
      <c r="B20" s="21"/>
      <c r="C20" s="22"/>
      <c r="D20" s="22"/>
      <c r="E20" s="27"/>
      <c r="F20" s="21"/>
      <c r="G20" s="22"/>
      <c r="H20" s="22"/>
      <c r="I20" s="28"/>
      <c r="J20" s="29"/>
      <c r="K20" s="22"/>
      <c r="L20" s="22"/>
      <c r="M20" s="27"/>
      <c r="N20" s="21"/>
      <c r="O20" s="22"/>
      <c r="P20" s="22"/>
      <c r="Q20" s="28"/>
      <c r="R20" s="29"/>
      <c r="S20" s="22"/>
      <c r="T20" s="22"/>
      <c r="U20" s="27"/>
      <c r="V20" s="21"/>
      <c r="W20" s="22"/>
      <c r="X20" s="22"/>
      <c r="Y20" s="28"/>
      <c r="Z20" s="29"/>
      <c r="AA20" s="22"/>
      <c r="AB20" s="22"/>
      <c r="AC20" s="27"/>
      <c r="AD20" s="21"/>
      <c r="AE20" s="22"/>
      <c r="AF20" s="22"/>
      <c r="AG20" s="28"/>
      <c r="AH20" s="29"/>
      <c r="AI20" s="22"/>
      <c r="AJ20" s="22"/>
      <c r="AK20" s="27"/>
      <c r="AL20" s="21"/>
      <c r="AM20" s="22"/>
      <c r="AN20" s="22"/>
      <c r="AO20" s="28"/>
      <c r="AP20" s="77"/>
      <c r="AQ20" s="78"/>
      <c r="AR20" s="78"/>
      <c r="AS20" s="79"/>
      <c r="AT20" s="21"/>
      <c r="AU20" s="22"/>
      <c r="AV20" s="22"/>
      <c r="AW20" s="27"/>
      <c r="AX20" s="30"/>
    </row>
    <row r="21" spans="1:50" ht="15" thickBot="1" x14ac:dyDescent="0.35">
      <c r="A21" s="20" t="s">
        <v>33</v>
      </c>
      <c r="B21" s="80"/>
      <c r="C21" s="81"/>
      <c r="D21" s="22"/>
      <c r="E21" s="27"/>
      <c r="F21" s="21"/>
      <c r="G21" s="22"/>
      <c r="H21" s="22"/>
      <c r="I21" s="28"/>
      <c r="J21" s="29"/>
      <c r="K21" s="22"/>
      <c r="L21" s="22"/>
      <c r="M21" s="27"/>
      <c r="N21" s="21"/>
      <c r="O21" s="22"/>
      <c r="P21" s="22"/>
      <c r="Q21" s="28"/>
      <c r="R21" s="29"/>
      <c r="S21" s="22"/>
      <c r="T21" s="22"/>
      <c r="U21" s="27"/>
      <c r="V21" s="21"/>
      <c r="W21" s="22"/>
      <c r="X21" s="22"/>
      <c r="Y21" s="28"/>
      <c r="Z21" s="29"/>
      <c r="AA21" s="22"/>
      <c r="AB21" s="22"/>
      <c r="AC21" s="27"/>
      <c r="AD21" s="21"/>
      <c r="AE21" s="22"/>
      <c r="AF21" s="22"/>
      <c r="AG21" s="28"/>
      <c r="AH21" s="29"/>
      <c r="AI21" s="22"/>
      <c r="AJ21" s="22"/>
      <c r="AK21" s="27"/>
      <c r="AL21" s="21"/>
      <c r="AM21" s="22"/>
      <c r="AN21" s="22"/>
      <c r="AO21" s="28"/>
      <c r="AP21" s="29"/>
      <c r="AQ21" s="22"/>
      <c r="AR21" s="22"/>
      <c r="AS21" s="27"/>
      <c r="AT21" s="21"/>
      <c r="AU21" s="22"/>
      <c r="AV21" s="22"/>
      <c r="AW21" s="82"/>
      <c r="AX21" s="30"/>
    </row>
    <row r="22" spans="1:50" ht="15" thickBot="1" x14ac:dyDescent="0.35">
      <c r="A22" s="31"/>
      <c r="B22" s="32"/>
      <c r="C22" s="33"/>
      <c r="D22" s="33"/>
      <c r="E22" s="34"/>
      <c r="F22" s="32"/>
      <c r="G22" s="33"/>
      <c r="H22" s="33"/>
      <c r="I22" s="35"/>
      <c r="J22" s="36"/>
      <c r="K22" s="33"/>
      <c r="L22" s="33"/>
      <c r="M22" s="34"/>
      <c r="N22" s="32"/>
      <c r="O22" s="33"/>
      <c r="P22" s="33"/>
      <c r="Q22" s="35"/>
      <c r="R22" s="36"/>
      <c r="S22" s="33"/>
      <c r="T22" s="33"/>
      <c r="U22" s="34"/>
      <c r="V22" s="32"/>
      <c r="W22" s="33"/>
      <c r="X22" s="33"/>
      <c r="Y22" s="35"/>
      <c r="Z22" s="36"/>
      <c r="AA22" s="33"/>
      <c r="AB22" s="33"/>
      <c r="AC22" s="34"/>
      <c r="AD22" s="32"/>
      <c r="AE22" s="33"/>
      <c r="AF22" s="33"/>
      <c r="AG22" s="35"/>
      <c r="AH22" s="36"/>
      <c r="AI22" s="33"/>
      <c r="AJ22" s="33"/>
      <c r="AK22" s="34"/>
      <c r="AL22" s="32"/>
      <c r="AM22" s="33"/>
      <c r="AN22" s="33"/>
      <c r="AO22" s="35"/>
      <c r="AP22" s="36"/>
      <c r="AQ22" s="33"/>
      <c r="AR22" s="33"/>
      <c r="AS22" s="34"/>
      <c r="AT22" s="32"/>
      <c r="AU22" s="33"/>
      <c r="AV22" s="33"/>
      <c r="AW22" s="34"/>
    </row>
  </sheetData>
  <mergeCells count="12">
    <mergeCell ref="AT4:AW4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F5DD-2329-4E14-87E6-A70BBDB90D27}">
  <dimension ref="A3:AX22"/>
  <sheetViews>
    <sheetView workbookViewId="0">
      <selection activeCell="A4" sqref="A4:AX22"/>
    </sheetView>
  </sheetViews>
  <sheetFormatPr baseColWidth="10" defaultRowHeight="14.4" x14ac:dyDescent="0.3"/>
  <sheetData>
    <row r="3" spans="1:50" ht="15" thickBot="1" x14ac:dyDescent="0.35"/>
    <row r="4" spans="1:50" x14ac:dyDescent="0.3">
      <c r="A4" s="1"/>
      <c r="B4" s="142" t="s">
        <v>6</v>
      </c>
      <c r="C4" s="143"/>
      <c r="D4" s="143"/>
      <c r="E4" s="144"/>
      <c r="F4" s="145" t="s">
        <v>7</v>
      </c>
      <c r="G4" s="143"/>
      <c r="H4" s="143"/>
      <c r="I4" s="146"/>
      <c r="J4" s="142" t="s">
        <v>8</v>
      </c>
      <c r="K4" s="143"/>
      <c r="L4" s="143"/>
      <c r="M4" s="144"/>
      <c r="N4" s="145" t="s">
        <v>9</v>
      </c>
      <c r="O4" s="143"/>
      <c r="P4" s="143"/>
      <c r="Q4" s="146"/>
      <c r="R4" s="142" t="s">
        <v>10</v>
      </c>
      <c r="S4" s="143"/>
      <c r="T4" s="143"/>
      <c r="U4" s="144"/>
      <c r="V4" s="145" t="s">
        <v>11</v>
      </c>
      <c r="W4" s="143"/>
      <c r="X4" s="143"/>
      <c r="Y4" s="146"/>
      <c r="Z4" s="142" t="s">
        <v>12</v>
      </c>
      <c r="AA4" s="143"/>
      <c r="AB4" s="143"/>
      <c r="AC4" s="144"/>
      <c r="AD4" s="145" t="s">
        <v>13</v>
      </c>
      <c r="AE4" s="143"/>
      <c r="AF4" s="143"/>
      <c r="AG4" s="146"/>
      <c r="AH4" s="142" t="s">
        <v>14</v>
      </c>
      <c r="AI4" s="143"/>
      <c r="AJ4" s="143"/>
      <c r="AK4" s="144"/>
      <c r="AL4" s="145" t="s">
        <v>15</v>
      </c>
      <c r="AM4" s="143"/>
      <c r="AN4" s="143"/>
      <c r="AO4" s="146"/>
      <c r="AP4" s="142" t="s">
        <v>16</v>
      </c>
      <c r="AQ4" s="143"/>
      <c r="AR4" s="143"/>
      <c r="AS4" s="144"/>
      <c r="AT4" s="145" t="s">
        <v>17</v>
      </c>
      <c r="AU4" s="143"/>
      <c r="AV4" s="143"/>
      <c r="AW4" s="144"/>
      <c r="AX4" s="2"/>
    </row>
    <row r="5" spans="1:50" ht="15" thickBot="1" x14ac:dyDescent="0.35">
      <c r="A5" s="3" t="s">
        <v>18</v>
      </c>
      <c r="B5" s="4">
        <v>1</v>
      </c>
      <c r="C5" s="5">
        <v>2</v>
      </c>
      <c r="D5" s="5">
        <v>3</v>
      </c>
      <c r="E5" s="6">
        <v>4</v>
      </c>
      <c r="F5" s="7">
        <v>1</v>
      </c>
      <c r="G5" s="5">
        <v>2</v>
      </c>
      <c r="H5" s="5">
        <v>3</v>
      </c>
      <c r="I5" s="8">
        <v>4</v>
      </c>
      <c r="J5" s="4">
        <v>1</v>
      </c>
      <c r="K5" s="5">
        <v>2</v>
      </c>
      <c r="L5" s="5">
        <v>3</v>
      </c>
      <c r="M5" s="6">
        <v>4</v>
      </c>
      <c r="N5" s="7">
        <v>1</v>
      </c>
      <c r="O5" s="5">
        <v>2</v>
      </c>
      <c r="P5" s="5">
        <v>3</v>
      </c>
      <c r="Q5" s="8">
        <v>4</v>
      </c>
      <c r="R5" s="4">
        <v>1</v>
      </c>
      <c r="S5" s="5">
        <v>2</v>
      </c>
      <c r="T5" s="5">
        <v>3</v>
      </c>
      <c r="U5" s="6">
        <v>4</v>
      </c>
      <c r="V5" s="7">
        <v>1</v>
      </c>
      <c r="W5" s="5">
        <v>2</v>
      </c>
      <c r="X5" s="5">
        <v>3</v>
      </c>
      <c r="Y5" s="8">
        <v>4</v>
      </c>
      <c r="Z5" s="4">
        <v>1</v>
      </c>
      <c r="AA5" s="5">
        <v>2</v>
      </c>
      <c r="AB5" s="5">
        <v>3</v>
      </c>
      <c r="AC5" s="6">
        <v>4</v>
      </c>
      <c r="AD5" s="7">
        <v>1</v>
      </c>
      <c r="AE5" s="5">
        <v>2</v>
      </c>
      <c r="AF5" s="5">
        <v>3</v>
      </c>
      <c r="AG5" s="8">
        <v>4</v>
      </c>
      <c r="AH5" s="4">
        <v>1</v>
      </c>
      <c r="AI5" s="5">
        <v>2</v>
      </c>
      <c r="AJ5" s="5">
        <v>3</v>
      </c>
      <c r="AK5" s="6">
        <v>4</v>
      </c>
      <c r="AL5" s="7">
        <v>1</v>
      </c>
      <c r="AM5" s="5">
        <v>2</v>
      </c>
      <c r="AN5" s="5">
        <v>3</v>
      </c>
      <c r="AO5" s="8">
        <v>4</v>
      </c>
      <c r="AP5" s="4">
        <v>1</v>
      </c>
      <c r="AQ5" s="5">
        <v>2</v>
      </c>
      <c r="AR5" s="5">
        <v>3</v>
      </c>
      <c r="AS5" s="6">
        <v>4</v>
      </c>
      <c r="AT5" s="7">
        <v>1</v>
      </c>
      <c r="AU5" s="5">
        <v>2</v>
      </c>
      <c r="AV5" s="5">
        <v>3</v>
      </c>
      <c r="AW5" s="6">
        <v>4</v>
      </c>
      <c r="AX5" s="2"/>
    </row>
    <row r="6" spans="1:50" ht="15" thickBot="1" x14ac:dyDescent="0.35">
      <c r="A6" s="9" t="s">
        <v>19</v>
      </c>
      <c r="B6" s="10"/>
      <c r="C6" s="11"/>
      <c r="D6" s="11"/>
      <c r="E6" s="12"/>
      <c r="F6" s="10"/>
      <c r="G6" s="11"/>
      <c r="H6" s="11"/>
      <c r="I6" s="13"/>
      <c r="J6" s="14"/>
      <c r="K6" s="11"/>
      <c r="L6" s="15"/>
      <c r="M6" s="16"/>
      <c r="N6" s="17"/>
      <c r="O6" s="15"/>
      <c r="P6" s="15"/>
      <c r="Q6" s="18"/>
      <c r="R6" s="19"/>
      <c r="S6" s="15"/>
      <c r="T6" s="15"/>
      <c r="U6" s="16"/>
      <c r="V6" s="17"/>
      <c r="W6" s="15"/>
      <c r="X6" s="15"/>
      <c r="Y6" s="18"/>
      <c r="Z6" s="19"/>
      <c r="AA6" s="15"/>
      <c r="AB6" s="15"/>
      <c r="AC6" s="16"/>
      <c r="AD6" s="17"/>
      <c r="AE6" s="15"/>
      <c r="AF6" s="15"/>
      <c r="AG6" s="18"/>
      <c r="AH6" s="19"/>
      <c r="AI6" s="15"/>
      <c r="AJ6" s="15"/>
      <c r="AK6" s="16"/>
      <c r="AL6" s="17"/>
      <c r="AM6" s="15"/>
      <c r="AN6" s="15"/>
      <c r="AO6" s="18"/>
      <c r="AP6" s="19"/>
      <c r="AQ6" s="15"/>
      <c r="AR6" s="11"/>
      <c r="AS6" s="12"/>
      <c r="AT6" s="10"/>
      <c r="AU6" s="11"/>
      <c r="AV6" s="11"/>
      <c r="AW6" s="13"/>
    </row>
    <row r="7" spans="1:50" ht="15" thickBot="1" x14ac:dyDescent="0.35">
      <c r="A7" s="20" t="s">
        <v>18</v>
      </c>
      <c r="B7" s="21"/>
      <c r="C7" s="22"/>
      <c r="D7" s="22"/>
      <c r="E7" s="23"/>
      <c r="F7" s="21"/>
      <c r="G7" s="22"/>
      <c r="H7" s="24"/>
      <c r="I7" s="25"/>
      <c r="J7" s="26"/>
      <c r="K7" s="24"/>
      <c r="L7" s="22"/>
      <c r="M7" s="27"/>
      <c r="N7" s="21"/>
      <c r="O7" s="22"/>
      <c r="P7" s="22"/>
      <c r="Q7" s="28"/>
      <c r="R7" s="29"/>
      <c r="S7" s="22"/>
      <c r="T7" s="22"/>
      <c r="U7" s="27"/>
      <c r="V7" s="21"/>
      <c r="W7" s="22"/>
      <c r="X7" s="22"/>
      <c r="Y7" s="28"/>
      <c r="Z7" s="29"/>
      <c r="AA7" s="22"/>
      <c r="AB7" s="22"/>
      <c r="AC7" s="27"/>
      <c r="AD7" s="21"/>
      <c r="AE7" s="22"/>
      <c r="AF7" s="22"/>
      <c r="AG7" s="28"/>
      <c r="AH7" s="29"/>
      <c r="AI7" s="22"/>
      <c r="AJ7" s="22"/>
      <c r="AK7" s="27"/>
      <c r="AL7" s="21"/>
      <c r="AM7" s="22"/>
      <c r="AN7" s="22"/>
      <c r="AO7" s="28"/>
      <c r="AP7" s="29"/>
      <c r="AQ7" s="22"/>
      <c r="AR7" s="22"/>
      <c r="AS7" s="27"/>
      <c r="AT7" s="21"/>
      <c r="AU7" s="22"/>
      <c r="AV7" s="22"/>
      <c r="AW7" s="27"/>
      <c r="AX7" s="30"/>
    </row>
    <row r="8" spans="1:50" ht="15" thickBot="1" x14ac:dyDescent="0.35">
      <c r="A8" s="31" t="s">
        <v>20</v>
      </c>
      <c r="B8" s="32"/>
      <c r="C8" s="33"/>
      <c r="D8" s="33"/>
      <c r="E8" s="34"/>
      <c r="F8" s="32"/>
      <c r="G8" s="33"/>
      <c r="H8" s="33"/>
      <c r="I8" s="35"/>
      <c r="J8" s="36"/>
      <c r="K8" s="33"/>
      <c r="L8" s="33"/>
      <c r="M8" s="34"/>
      <c r="N8" s="32"/>
      <c r="O8" s="33"/>
      <c r="P8" s="33"/>
      <c r="Q8" s="35"/>
      <c r="R8" s="36"/>
      <c r="S8" s="33"/>
      <c r="T8" s="33"/>
      <c r="U8" s="34"/>
      <c r="V8" s="32"/>
      <c r="W8" s="33"/>
      <c r="X8" s="33"/>
      <c r="Y8" s="35"/>
      <c r="Z8" s="36"/>
      <c r="AA8" s="33"/>
      <c r="AB8" s="33"/>
      <c r="AC8" s="34"/>
      <c r="AD8" s="32"/>
      <c r="AE8" s="33"/>
      <c r="AF8" s="33"/>
      <c r="AG8" s="35"/>
      <c r="AH8" s="37"/>
      <c r="AI8" s="38"/>
      <c r="AJ8" s="33"/>
      <c r="AK8" s="34"/>
      <c r="AL8" s="32"/>
      <c r="AM8" s="33"/>
      <c r="AN8" s="33"/>
      <c r="AO8" s="35"/>
      <c r="AP8" s="36"/>
      <c r="AQ8" s="33"/>
      <c r="AR8" s="33"/>
      <c r="AS8" s="34"/>
      <c r="AT8" s="32"/>
      <c r="AU8" s="33"/>
      <c r="AV8" s="33"/>
      <c r="AW8" s="34"/>
    </row>
    <row r="9" spans="1:50" ht="15" thickBot="1" x14ac:dyDescent="0.35">
      <c r="A9" s="39" t="s">
        <v>21</v>
      </c>
      <c r="B9" s="17"/>
      <c r="C9" s="15"/>
      <c r="D9" s="15"/>
      <c r="E9" s="16"/>
      <c r="F9" s="17"/>
      <c r="G9" s="15"/>
      <c r="H9" s="15"/>
      <c r="I9" s="18"/>
      <c r="J9" s="19"/>
      <c r="K9" s="15"/>
      <c r="L9" s="40"/>
      <c r="M9" s="41"/>
      <c r="N9" s="42"/>
      <c r="O9" s="40"/>
      <c r="P9" s="40"/>
      <c r="Q9" s="43"/>
      <c r="R9" s="44"/>
      <c r="S9" s="40"/>
      <c r="T9" s="15"/>
      <c r="U9" s="16"/>
      <c r="V9" s="17"/>
      <c r="W9" s="15"/>
      <c r="X9" s="15"/>
      <c r="Y9" s="18"/>
      <c r="Z9" s="19"/>
      <c r="AA9" s="15"/>
      <c r="AB9" s="15"/>
      <c r="AC9" s="16"/>
      <c r="AD9" s="17"/>
      <c r="AE9" s="15"/>
      <c r="AF9" s="15"/>
      <c r="AG9" s="18"/>
      <c r="AH9" s="19"/>
      <c r="AI9" s="15"/>
      <c r="AJ9" s="15"/>
      <c r="AK9" s="16"/>
      <c r="AL9" s="17"/>
      <c r="AM9" s="15"/>
      <c r="AN9" s="15"/>
      <c r="AO9" s="18"/>
      <c r="AP9" s="19"/>
      <c r="AQ9" s="15"/>
      <c r="AR9" s="15"/>
      <c r="AS9" s="16"/>
      <c r="AT9" s="17"/>
      <c r="AU9" s="15"/>
      <c r="AV9" s="15"/>
      <c r="AW9" s="16"/>
    </row>
    <row r="10" spans="1:50" ht="15" thickBot="1" x14ac:dyDescent="0.35">
      <c r="A10" s="20" t="s">
        <v>22</v>
      </c>
      <c r="B10" s="21"/>
      <c r="C10" s="22"/>
      <c r="D10" s="22"/>
      <c r="E10" s="27"/>
      <c r="F10" s="45"/>
      <c r="G10" s="22"/>
      <c r="H10" s="22"/>
      <c r="I10" s="28"/>
      <c r="J10" s="29"/>
      <c r="K10" s="22"/>
      <c r="L10" s="22"/>
      <c r="M10" s="27"/>
      <c r="N10" s="21"/>
      <c r="O10" s="22"/>
      <c r="P10" s="22"/>
      <c r="Q10" s="28"/>
      <c r="R10" s="29"/>
      <c r="S10" s="22"/>
      <c r="T10" s="46"/>
      <c r="U10" s="47"/>
      <c r="V10" s="45"/>
      <c r="W10" s="46"/>
      <c r="X10" s="22"/>
      <c r="Y10" s="28"/>
      <c r="Z10" s="29"/>
      <c r="AA10" s="22"/>
      <c r="AB10" s="22"/>
      <c r="AC10" s="27"/>
      <c r="AD10" s="45"/>
      <c r="AE10" s="46"/>
      <c r="AF10" s="46"/>
      <c r="AG10" s="48"/>
      <c r="AH10" s="29"/>
      <c r="AI10" s="22"/>
      <c r="AJ10" s="22"/>
      <c r="AK10" s="27"/>
      <c r="AL10" s="45"/>
      <c r="AM10" s="46"/>
      <c r="AN10" s="46"/>
      <c r="AO10" s="48"/>
      <c r="AP10" s="29"/>
      <c r="AQ10" s="22"/>
      <c r="AR10" s="22"/>
      <c r="AS10" s="27"/>
      <c r="AT10" s="21"/>
      <c r="AU10" s="22"/>
      <c r="AV10" s="22"/>
      <c r="AW10" s="27"/>
      <c r="AX10" s="30"/>
    </row>
    <row r="11" spans="1:50" ht="15" thickBot="1" x14ac:dyDescent="0.35">
      <c r="A11" s="49" t="s">
        <v>23</v>
      </c>
      <c r="B11" s="50"/>
      <c r="C11" s="51"/>
      <c r="D11" s="51"/>
      <c r="E11" s="52"/>
      <c r="F11" s="50"/>
      <c r="G11" s="51"/>
      <c r="H11" s="51"/>
      <c r="I11" s="53"/>
      <c r="J11" s="54"/>
      <c r="K11" s="51"/>
      <c r="L11" s="51"/>
      <c r="M11" s="52"/>
      <c r="N11" s="50"/>
      <c r="O11" s="51"/>
      <c r="P11" s="51"/>
      <c r="Q11" s="53"/>
      <c r="R11" s="54"/>
      <c r="S11" s="51"/>
      <c r="T11" s="51"/>
      <c r="U11" s="52"/>
      <c r="V11" s="50"/>
      <c r="W11" s="51"/>
      <c r="X11" s="51"/>
      <c r="Y11" s="53"/>
      <c r="Z11" s="54"/>
      <c r="AA11" s="51"/>
      <c r="AB11" s="51"/>
      <c r="AC11" s="52"/>
      <c r="AD11" s="50"/>
      <c r="AE11" s="51"/>
      <c r="AF11" s="51"/>
      <c r="AG11" s="53"/>
      <c r="AH11" s="54"/>
      <c r="AI11" s="51"/>
      <c r="AJ11" s="51"/>
      <c r="AK11" s="52"/>
      <c r="AL11" s="50"/>
      <c r="AM11" s="51"/>
      <c r="AN11" s="51"/>
      <c r="AO11" s="53"/>
      <c r="AP11" s="54"/>
      <c r="AQ11" s="51"/>
      <c r="AR11" s="51"/>
      <c r="AS11" s="52"/>
      <c r="AT11" s="50"/>
      <c r="AU11" s="51"/>
      <c r="AV11" s="51"/>
      <c r="AW11" s="52"/>
      <c r="AX11" s="55"/>
    </row>
    <row r="12" spans="1:50" ht="15" thickBot="1" x14ac:dyDescent="0.35">
      <c r="A12" s="49" t="s">
        <v>24</v>
      </c>
      <c r="B12" s="50"/>
      <c r="C12" s="51"/>
      <c r="D12" s="51"/>
      <c r="E12" s="52"/>
      <c r="F12" s="50"/>
      <c r="G12" s="51"/>
      <c r="H12" s="51"/>
      <c r="I12" s="53"/>
      <c r="J12" s="54"/>
      <c r="K12" s="51"/>
      <c r="L12" s="51"/>
      <c r="M12" s="52"/>
      <c r="N12" s="50"/>
      <c r="O12" s="51"/>
      <c r="P12" s="51"/>
      <c r="Q12" s="53"/>
      <c r="R12" s="54"/>
      <c r="S12" s="51"/>
      <c r="T12" s="51"/>
      <c r="U12" s="52"/>
      <c r="V12" s="50"/>
      <c r="W12" s="51"/>
      <c r="X12" s="51"/>
      <c r="Y12" s="53"/>
      <c r="Z12" s="54"/>
      <c r="AA12" s="51"/>
      <c r="AB12" s="51"/>
      <c r="AC12" s="52"/>
      <c r="AD12" s="50"/>
      <c r="AE12" s="51"/>
      <c r="AF12" s="51"/>
      <c r="AG12" s="53"/>
      <c r="AH12" s="54"/>
      <c r="AI12" s="51"/>
      <c r="AJ12" s="51"/>
      <c r="AK12" s="52"/>
      <c r="AL12" s="50"/>
      <c r="AM12" s="51"/>
      <c r="AN12" s="51"/>
      <c r="AO12" s="53"/>
      <c r="AP12" s="54"/>
      <c r="AQ12" s="51"/>
      <c r="AR12" s="51"/>
      <c r="AS12" s="52"/>
      <c r="AT12" s="50"/>
      <c r="AU12" s="51"/>
      <c r="AV12" s="51"/>
      <c r="AW12" s="52"/>
      <c r="AX12" s="55"/>
    </row>
    <row r="13" spans="1:50" ht="15" thickBot="1" x14ac:dyDescent="0.35">
      <c r="A13" s="49" t="s">
        <v>25</v>
      </c>
      <c r="B13" s="50"/>
      <c r="C13" s="51"/>
      <c r="D13" s="51"/>
      <c r="E13" s="52"/>
      <c r="F13" s="50"/>
      <c r="G13" s="51"/>
      <c r="H13" s="51"/>
      <c r="I13" s="53"/>
      <c r="J13" s="54"/>
      <c r="K13" s="51"/>
      <c r="L13" s="51"/>
      <c r="M13" s="52"/>
      <c r="N13" s="50"/>
      <c r="O13" s="51"/>
      <c r="P13" s="51"/>
      <c r="Q13" s="53"/>
      <c r="R13" s="54"/>
      <c r="S13" s="51"/>
      <c r="T13" s="51"/>
      <c r="U13" s="52"/>
      <c r="V13" s="50"/>
      <c r="W13" s="51"/>
      <c r="X13" s="51"/>
      <c r="Y13" s="53"/>
      <c r="Z13" s="54"/>
      <c r="AA13" s="51"/>
      <c r="AB13" s="51"/>
      <c r="AC13" s="52"/>
      <c r="AD13" s="50"/>
      <c r="AE13" s="51"/>
      <c r="AF13" s="51"/>
      <c r="AG13" s="53"/>
      <c r="AH13" s="54"/>
      <c r="AI13" s="51"/>
      <c r="AJ13" s="51"/>
      <c r="AK13" s="52"/>
      <c r="AL13" s="50"/>
      <c r="AM13" s="51"/>
      <c r="AN13" s="51"/>
      <c r="AO13" s="53"/>
      <c r="AP13" s="54"/>
      <c r="AQ13" s="51"/>
      <c r="AR13" s="51"/>
      <c r="AS13" s="52"/>
      <c r="AT13" s="50"/>
      <c r="AU13" s="51"/>
      <c r="AV13" s="51"/>
      <c r="AW13" s="52"/>
      <c r="AX13" s="55"/>
    </row>
    <row r="14" spans="1:50" ht="15" thickBot="1" x14ac:dyDescent="0.35">
      <c r="A14" s="49" t="s">
        <v>26</v>
      </c>
      <c r="B14" s="50"/>
      <c r="C14" s="51"/>
      <c r="D14" s="51"/>
      <c r="E14" s="52"/>
      <c r="F14" s="50"/>
      <c r="G14" s="51"/>
      <c r="H14" s="51"/>
      <c r="I14" s="53"/>
      <c r="J14" s="54"/>
      <c r="K14" s="51"/>
      <c r="L14" s="51"/>
      <c r="M14" s="52"/>
      <c r="N14" s="50"/>
      <c r="O14" s="51"/>
      <c r="P14" s="51"/>
      <c r="Q14" s="53"/>
      <c r="R14" s="54"/>
      <c r="S14" s="51"/>
      <c r="T14" s="51"/>
      <c r="U14" s="52"/>
      <c r="V14" s="50"/>
      <c r="W14" s="51"/>
      <c r="X14" s="51"/>
      <c r="Y14" s="53"/>
      <c r="Z14" s="54"/>
      <c r="AA14" s="51"/>
      <c r="AB14" s="51"/>
      <c r="AC14" s="52"/>
      <c r="AD14" s="50"/>
      <c r="AE14" s="51"/>
      <c r="AF14" s="51"/>
      <c r="AG14" s="53"/>
      <c r="AH14" s="54"/>
      <c r="AI14" s="51"/>
      <c r="AJ14" s="51"/>
      <c r="AK14" s="52"/>
      <c r="AL14" s="50"/>
      <c r="AM14" s="51"/>
      <c r="AN14" s="51"/>
      <c r="AO14" s="53"/>
      <c r="AP14" s="54"/>
      <c r="AQ14" s="51"/>
      <c r="AR14" s="51"/>
      <c r="AS14" s="52"/>
      <c r="AT14" s="50"/>
      <c r="AU14" s="51"/>
      <c r="AV14" s="51"/>
      <c r="AW14" s="52"/>
      <c r="AX14" s="55"/>
    </row>
    <row r="15" spans="1:50" ht="15" thickBot="1" x14ac:dyDescent="0.35">
      <c r="A15" s="39" t="s">
        <v>27</v>
      </c>
      <c r="B15" s="17"/>
      <c r="C15" s="15"/>
      <c r="D15" s="15"/>
      <c r="E15" s="16"/>
      <c r="F15" s="17"/>
      <c r="G15" s="15"/>
      <c r="H15" s="15"/>
      <c r="I15" s="18"/>
      <c r="J15" s="19"/>
      <c r="K15" s="15"/>
      <c r="L15" s="15"/>
      <c r="M15" s="16"/>
      <c r="N15" s="17"/>
      <c r="O15" s="15"/>
      <c r="P15" s="15"/>
      <c r="Q15" s="18"/>
      <c r="R15" s="19"/>
      <c r="S15" s="15"/>
      <c r="T15" s="15"/>
      <c r="U15" s="56"/>
      <c r="V15" s="57"/>
      <c r="W15" s="58"/>
      <c r="X15" s="15"/>
      <c r="Y15" s="18"/>
      <c r="Z15" s="19"/>
      <c r="AA15" s="15"/>
      <c r="AB15" s="58"/>
      <c r="AC15" s="56"/>
      <c r="AD15" s="57"/>
      <c r="AE15" s="15"/>
      <c r="AF15" s="15"/>
      <c r="AG15" s="18"/>
      <c r="AH15" s="19"/>
      <c r="AI15" s="58"/>
      <c r="AJ15" s="58"/>
      <c r="AK15" s="56"/>
      <c r="AL15" s="17"/>
      <c r="AM15" s="15"/>
      <c r="AN15" s="15"/>
      <c r="AO15" s="18"/>
      <c r="AP15" s="59"/>
      <c r="AQ15" s="58"/>
      <c r="AR15" s="58"/>
      <c r="AS15" s="16"/>
      <c r="AT15" s="17"/>
      <c r="AU15" s="15"/>
      <c r="AV15" s="15"/>
      <c r="AW15" s="16"/>
    </row>
    <row r="16" spans="1:50" ht="15" thickBot="1" x14ac:dyDescent="0.35">
      <c r="A16" s="20" t="s">
        <v>28</v>
      </c>
      <c r="B16" s="21"/>
      <c r="C16" s="22"/>
      <c r="D16" s="22"/>
      <c r="E16" s="27"/>
      <c r="F16" s="21"/>
      <c r="G16" s="22"/>
      <c r="H16" s="22"/>
      <c r="I16" s="28"/>
      <c r="J16" s="29"/>
      <c r="K16" s="22"/>
      <c r="L16" s="22"/>
      <c r="M16" s="27"/>
      <c r="N16" s="21"/>
      <c r="O16" s="22"/>
      <c r="P16" s="22"/>
      <c r="Q16" s="28"/>
      <c r="R16" s="29"/>
      <c r="S16" s="22"/>
      <c r="T16" s="51"/>
      <c r="U16" s="52"/>
      <c r="V16" s="60"/>
      <c r="W16" s="61"/>
      <c r="X16" s="61"/>
      <c r="Y16" s="53"/>
      <c r="Z16" s="54"/>
      <c r="AA16" s="51"/>
      <c r="AB16" s="51"/>
      <c r="AC16" s="52"/>
      <c r="AD16" s="50"/>
      <c r="AE16" s="61"/>
      <c r="AF16" s="61"/>
      <c r="AG16" s="53"/>
      <c r="AH16" s="54"/>
      <c r="AI16" s="51"/>
      <c r="AJ16" s="51"/>
      <c r="AK16" s="52"/>
      <c r="AL16" s="61"/>
      <c r="AM16" s="61"/>
      <c r="AN16" s="51"/>
      <c r="AO16" s="53"/>
      <c r="AP16" s="62"/>
      <c r="AQ16" s="63"/>
      <c r="AR16" s="63"/>
      <c r="AS16" s="27"/>
      <c r="AT16" s="21"/>
      <c r="AU16" s="22"/>
      <c r="AV16" s="22"/>
      <c r="AW16" s="27"/>
      <c r="AX16" s="30"/>
    </row>
    <row r="17" spans="1:50" ht="15" thickBot="1" x14ac:dyDescent="0.35">
      <c r="A17" s="39" t="s">
        <v>29</v>
      </c>
      <c r="B17" s="17"/>
      <c r="C17" s="15"/>
      <c r="D17" s="15"/>
      <c r="E17" s="16"/>
      <c r="F17" s="17"/>
      <c r="G17" s="15"/>
      <c r="H17" s="15"/>
      <c r="I17" s="18"/>
      <c r="J17" s="19"/>
      <c r="K17" s="15"/>
      <c r="L17" s="15"/>
      <c r="M17" s="16"/>
      <c r="N17" s="17"/>
      <c r="O17" s="15"/>
      <c r="P17" s="15"/>
      <c r="Q17" s="18"/>
      <c r="R17" s="19"/>
      <c r="S17" s="15"/>
      <c r="T17" s="15"/>
      <c r="U17" s="16"/>
      <c r="V17" s="17"/>
      <c r="W17" s="15"/>
      <c r="X17" s="15"/>
      <c r="Y17" s="64"/>
      <c r="Z17" s="65"/>
      <c r="AA17" s="66"/>
      <c r="AB17" s="15"/>
      <c r="AC17" s="16"/>
      <c r="AD17" s="17"/>
      <c r="AE17" s="66"/>
      <c r="AF17" s="66"/>
      <c r="AG17" s="64"/>
      <c r="AH17" s="19"/>
      <c r="AI17" s="15"/>
      <c r="AJ17" s="15"/>
      <c r="AK17" s="67"/>
      <c r="AL17" s="68"/>
      <c r="AM17" s="66"/>
      <c r="AN17" s="15"/>
      <c r="AO17" s="18"/>
      <c r="AP17" s="19"/>
      <c r="AQ17" s="15"/>
      <c r="AR17" s="15"/>
      <c r="AS17" s="16"/>
      <c r="AT17" s="17"/>
      <c r="AU17" s="15"/>
      <c r="AV17" s="15"/>
      <c r="AW17" s="16"/>
    </row>
    <row r="18" spans="1:50" ht="15" thickBot="1" x14ac:dyDescent="0.35">
      <c r="A18" s="20" t="s">
        <v>30</v>
      </c>
      <c r="B18" s="21"/>
      <c r="C18" s="22"/>
      <c r="D18" s="22"/>
      <c r="E18" s="27"/>
      <c r="F18" s="21"/>
      <c r="G18" s="22"/>
      <c r="H18" s="22"/>
      <c r="I18" s="28"/>
      <c r="J18" s="29"/>
      <c r="K18" s="22"/>
      <c r="L18" s="22"/>
      <c r="M18" s="27"/>
      <c r="N18" s="21"/>
      <c r="O18" s="22"/>
      <c r="P18" s="22"/>
      <c r="Q18" s="28"/>
      <c r="R18" s="29"/>
      <c r="S18" s="22"/>
      <c r="T18" s="22"/>
      <c r="U18" s="27"/>
      <c r="V18" s="69"/>
      <c r="W18" s="70"/>
      <c r="X18" s="70"/>
      <c r="Y18" s="71"/>
      <c r="Z18" s="72"/>
      <c r="AA18" s="70"/>
      <c r="AB18" s="22"/>
      <c r="AC18" s="27"/>
      <c r="AD18" s="21"/>
      <c r="AE18" s="22"/>
      <c r="AF18" s="22"/>
      <c r="AG18" s="28"/>
      <c r="AH18" s="29"/>
      <c r="AI18" s="22"/>
      <c r="AJ18" s="22"/>
      <c r="AK18" s="27"/>
      <c r="AL18" s="21"/>
      <c r="AM18" s="22"/>
      <c r="AN18" s="22"/>
      <c r="AO18" s="28"/>
      <c r="AP18" s="29"/>
      <c r="AQ18" s="22"/>
      <c r="AR18" s="22"/>
      <c r="AS18" s="27"/>
      <c r="AT18" s="21"/>
      <c r="AU18" s="22"/>
      <c r="AV18" s="22"/>
      <c r="AW18" s="27"/>
      <c r="AX18" s="30"/>
    </row>
    <row r="19" spans="1:50" ht="15" thickBot="1" x14ac:dyDescent="0.35">
      <c r="A19" s="39" t="s">
        <v>31</v>
      </c>
      <c r="B19" s="17"/>
      <c r="C19" s="15"/>
      <c r="D19" s="15"/>
      <c r="E19" s="16"/>
      <c r="F19" s="17"/>
      <c r="G19" s="15"/>
      <c r="H19" s="15"/>
      <c r="I19" s="18"/>
      <c r="J19" s="19"/>
      <c r="K19" s="15"/>
      <c r="L19" s="15"/>
      <c r="M19" s="16"/>
      <c r="N19" s="17"/>
      <c r="O19" s="15"/>
      <c r="P19" s="15"/>
      <c r="Q19" s="18"/>
      <c r="R19" s="19"/>
      <c r="S19" s="15"/>
      <c r="T19" s="15"/>
      <c r="U19" s="16"/>
      <c r="V19" s="73"/>
      <c r="W19" s="74"/>
      <c r="X19" s="74"/>
      <c r="Y19" s="75"/>
      <c r="Z19" s="76"/>
      <c r="AA19" s="74"/>
      <c r="AB19" s="15"/>
      <c r="AC19" s="16"/>
      <c r="AD19" s="17"/>
      <c r="AE19" s="15"/>
      <c r="AF19" s="15"/>
      <c r="AG19" s="18"/>
      <c r="AH19" s="19"/>
      <c r="AI19" s="15"/>
      <c r="AJ19" s="15"/>
      <c r="AK19" s="16"/>
      <c r="AL19" s="17"/>
      <c r="AM19" s="15"/>
      <c r="AN19" s="15"/>
      <c r="AO19" s="18"/>
      <c r="AP19" s="19"/>
      <c r="AQ19" s="15"/>
      <c r="AR19" s="15"/>
      <c r="AS19" s="16"/>
      <c r="AT19" s="17"/>
      <c r="AU19" s="15"/>
      <c r="AV19" s="15"/>
      <c r="AW19" s="16"/>
    </row>
    <row r="20" spans="1:50" ht="15" thickBot="1" x14ac:dyDescent="0.35">
      <c r="A20" s="20" t="s">
        <v>32</v>
      </c>
      <c r="B20" s="21"/>
      <c r="C20" s="22"/>
      <c r="D20" s="22"/>
      <c r="E20" s="27"/>
      <c r="F20" s="21"/>
      <c r="G20" s="22"/>
      <c r="H20" s="22"/>
      <c r="I20" s="28"/>
      <c r="J20" s="29"/>
      <c r="K20" s="22"/>
      <c r="L20" s="22"/>
      <c r="M20" s="27"/>
      <c r="N20" s="21"/>
      <c r="O20" s="22"/>
      <c r="P20" s="22"/>
      <c r="Q20" s="28"/>
      <c r="R20" s="29"/>
      <c r="S20" s="22"/>
      <c r="T20" s="22"/>
      <c r="U20" s="27"/>
      <c r="V20" s="21"/>
      <c r="W20" s="22"/>
      <c r="X20" s="22"/>
      <c r="Y20" s="28"/>
      <c r="Z20" s="29"/>
      <c r="AA20" s="22"/>
      <c r="AB20" s="22"/>
      <c r="AC20" s="27"/>
      <c r="AD20" s="21"/>
      <c r="AE20" s="22"/>
      <c r="AF20" s="22"/>
      <c r="AG20" s="28"/>
      <c r="AH20" s="29"/>
      <c r="AI20" s="22"/>
      <c r="AJ20" s="22"/>
      <c r="AK20" s="27"/>
      <c r="AL20" s="21"/>
      <c r="AM20" s="22"/>
      <c r="AN20" s="22"/>
      <c r="AO20" s="28"/>
      <c r="AP20" s="77"/>
      <c r="AQ20" s="78"/>
      <c r="AR20" s="78"/>
      <c r="AS20" s="79"/>
      <c r="AT20" s="21"/>
      <c r="AU20" s="22"/>
      <c r="AV20" s="22"/>
      <c r="AW20" s="27"/>
      <c r="AX20" s="30"/>
    </row>
    <row r="21" spans="1:50" ht="15" thickBot="1" x14ac:dyDescent="0.35">
      <c r="A21" s="20" t="s">
        <v>33</v>
      </c>
      <c r="B21" s="80"/>
      <c r="C21" s="81"/>
      <c r="D21" s="22"/>
      <c r="E21" s="27"/>
      <c r="F21" s="21"/>
      <c r="G21" s="22"/>
      <c r="H21" s="22"/>
      <c r="I21" s="28"/>
      <c r="J21" s="29"/>
      <c r="K21" s="22"/>
      <c r="L21" s="22"/>
      <c r="M21" s="27"/>
      <c r="N21" s="21"/>
      <c r="O21" s="22"/>
      <c r="P21" s="22"/>
      <c r="Q21" s="28"/>
      <c r="R21" s="29"/>
      <c r="S21" s="22"/>
      <c r="T21" s="22"/>
      <c r="U21" s="27"/>
      <c r="V21" s="21"/>
      <c r="W21" s="22"/>
      <c r="X21" s="22"/>
      <c r="Y21" s="28"/>
      <c r="Z21" s="29"/>
      <c r="AA21" s="22"/>
      <c r="AB21" s="22"/>
      <c r="AC21" s="27"/>
      <c r="AD21" s="21"/>
      <c r="AE21" s="22"/>
      <c r="AF21" s="22"/>
      <c r="AG21" s="28"/>
      <c r="AH21" s="29"/>
      <c r="AI21" s="22"/>
      <c r="AJ21" s="22"/>
      <c r="AK21" s="27"/>
      <c r="AL21" s="21"/>
      <c r="AM21" s="22"/>
      <c r="AN21" s="22"/>
      <c r="AO21" s="28"/>
      <c r="AP21" s="29"/>
      <c r="AQ21" s="22"/>
      <c r="AR21" s="22"/>
      <c r="AS21" s="27"/>
      <c r="AT21" s="21"/>
      <c r="AU21" s="22"/>
      <c r="AV21" s="22"/>
      <c r="AW21" s="82"/>
      <c r="AX21" s="30"/>
    </row>
    <row r="22" spans="1:50" ht="15" thickBot="1" x14ac:dyDescent="0.35">
      <c r="A22" s="31"/>
      <c r="B22" s="32"/>
      <c r="C22" s="33"/>
      <c r="D22" s="33"/>
      <c r="E22" s="34"/>
      <c r="F22" s="32"/>
      <c r="G22" s="33"/>
      <c r="H22" s="33"/>
      <c r="I22" s="35"/>
      <c r="J22" s="36"/>
      <c r="K22" s="33"/>
      <c r="L22" s="33"/>
      <c r="M22" s="34"/>
      <c r="N22" s="32"/>
      <c r="O22" s="33"/>
      <c r="P22" s="33"/>
      <c r="Q22" s="35"/>
      <c r="R22" s="36"/>
      <c r="S22" s="33"/>
      <c r="T22" s="33"/>
      <c r="U22" s="34"/>
      <c r="V22" s="32"/>
      <c r="W22" s="33"/>
      <c r="X22" s="33"/>
      <c r="Y22" s="35"/>
      <c r="Z22" s="36"/>
      <c r="AA22" s="33"/>
      <c r="AB22" s="33"/>
      <c r="AC22" s="34"/>
      <c r="AD22" s="32"/>
      <c r="AE22" s="33"/>
      <c r="AF22" s="33"/>
      <c r="AG22" s="35"/>
      <c r="AH22" s="36"/>
      <c r="AI22" s="33"/>
      <c r="AJ22" s="33"/>
      <c r="AK22" s="34"/>
      <c r="AL22" s="32"/>
      <c r="AM22" s="33"/>
      <c r="AN22" s="33"/>
      <c r="AO22" s="35"/>
      <c r="AP22" s="36"/>
      <c r="AQ22" s="33"/>
      <c r="AR22" s="33"/>
      <c r="AS22" s="34"/>
      <c r="AT22" s="32"/>
      <c r="AU22" s="33"/>
      <c r="AV22" s="33"/>
      <c r="AW22" s="34"/>
    </row>
  </sheetData>
  <mergeCells count="12">
    <mergeCell ref="AT4:AW4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6463-1FD8-4C55-9E6B-9C4EFADDD722}">
  <dimension ref="A3:AX22"/>
  <sheetViews>
    <sheetView workbookViewId="0">
      <selection activeCell="A4" sqref="A4:AX22"/>
    </sheetView>
  </sheetViews>
  <sheetFormatPr baseColWidth="10" defaultRowHeight="14.4" x14ac:dyDescent="0.3"/>
  <sheetData>
    <row r="3" spans="1:50" ht="15" thickBot="1" x14ac:dyDescent="0.35"/>
    <row r="4" spans="1:50" x14ac:dyDescent="0.3">
      <c r="A4" s="1"/>
      <c r="B4" s="142" t="s">
        <v>6</v>
      </c>
      <c r="C4" s="143"/>
      <c r="D4" s="143"/>
      <c r="E4" s="144"/>
      <c r="F4" s="145" t="s">
        <v>7</v>
      </c>
      <c r="G4" s="143"/>
      <c r="H4" s="143"/>
      <c r="I4" s="146"/>
      <c r="J4" s="142" t="s">
        <v>8</v>
      </c>
      <c r="K4" s="143"/>
      <c r="L4" s="143"/>
      <c r="M4" s="144"/>
      <c r="N4" s="145" t="s">
        <v>9</v>
      </c>
      <c r="O4" s="143"/>
      <c r="P4" s="143"/>
      <c r="Q4" s="146"/>
      <c r="R4" s="142" t="s">
        <v>10</v>
      </c>
      <c r="S4" s="143"/>
      <c r="T4" s="143"/>
      <c r="U4" s="144"/>
      <c r="V4" s="145" t="s">
        <v>11</v>
      </c>
      <c r="W4" s="143"/>
      <c r="X4" s="143"/>
      <c r="Y4" s="146"/>
      <c r="Z4" s="142" t="s">
        <v>12</v>
      </c>
      <c r="AA4" s="143"/>
      <c r="AB4" s="143"/>
      <c r="AC4" s="144"/>
      <c r="AD4" s="145" t="s">
        <v>13</v>
      </c>
      <c r="AE4" s="143"/>
      <c r="AF4" s="143"/>
      <c r="AG4" s="146"/>
      <c r="AH4" s="142" t="s">
        <v>14</v>
      </c>
      <c r="AI4" s="143"/>
      <c r="AJ4" s="143"/>
      <c r="AK4" s="144"/>
      <c r="AL4" s="145" t="s">
        <v>15</v>
      </c>
      <c r="AM4" s="143"/>
      <c r="AN4" s="143"/>
      <c r="AO4" s="146"/>
      <c r="AP4" s="142" t="s">
        <v>16</v>
      </c>
      <c r="AQ4" s="143"/>
      <c r="AR4" s="143"/>
      <c r="AS4" s="144"/>
      <c r="AT4" s="145" t="s">
        <v>17</v>
      </c>
      <c r="AU4" s="143"/>
      <c r="AV4" s="143"/>
      <c r="AW4" s="144"/>
      <c r="AX4" s="2"/>
    </row>
    <row r="5" spans="1:50" ht="15" thickBot="1" x14ac:dyDescent="0.35">
      <c r="A5" s="3" t="s">
        <v>18</v>
      </c>
      <c r="B5" s="4">
        <v>1</v>
      </c>
      <c r="C5" s="5">
        <v>2</v>
      </c>
      <c r="D5" s="5">
        <v>3</v>
      </c>
      <c r="E5" s="6">
        <v>4</v>
      </c>
      <c r="F5" s="7">
        <v>1</v>
      </c>
      <c r="G5" s="5">
        <v>2</v>
      </c>
      <c r="H5" s="5">
        <v>3</v>
      </c>
      <c r="I5" s="8">
        <v>4</v>
      </c>
      <c r="J5" s="4">
        <v>1</v>
      </c>
      <c r="K5" s="5">
        <v>2</v>
      </c>
      <c r="L5" s="5">
        <v>3</v>
      </c>
      <c r="M5" s="6">
        <v>4</v>
      </c>
      <c r="N5" s="7">
        <v>1</v>
      </c>
      <c r="O5" s="5">
        <v>2</v>
      </c>
      <c r="P5" s="5">
        <v>3</v>
      </c>
      <c r="Q5" s="8">
        <v>4</v>
      </c>
      <c r="R5" s="4">
        <v>1</v>
      </c>
      <c r="S5" s="5">
        <v>2</v>
      </c>
      <c r="T5" s="5">
        <v>3</v>
      </c>
      <c r="U5" s="6">
        <v>4</v>
      </c>
      <c r="V5" s="7">
        <v>1</v>
      </c>
      <c r="W5" s="5">
        <v>2</v>
      </c>
      <c r="X5" s="5">
        <v>3</v>
      </c>
      <c r="Y5" s="8">
        <v>4</v>
      </c>
      <c r="Z5" s="4">
        <v>1</v>
      </c>
      <c r="AA5" s="5">
        <v>2</v>
      </c>
      <c r="AB5" s="5">
        <v>3</v>
      </c>
      <c r="AC5" s="6">
        <v>4</v>
      </c>
      <c r="AD5" s="7">
        <v>1</v>
      </c>
      <c r="AE5" s="5">
        <v>2</v>
      </c>
      <c r="AF5" s="5">
        <v>3</v>
      </c>
      <c r="AG5" s="8">
        <v>4</v>
      </c>
      <c r="AH5" s="4">
        <v>1</v>
      </c>
      <c r="AI5" s="5">
        <v>2</v>
      </c>
      <c r="AJ5" s="5">
        <v>3</v>
      </c>
      <c r="AK5" s="6">
        <v>4</v>
      </c>
      <c r="AL5" s="7">
        <v>1</v>
      </c>
      <c r="AM5" s="5">
        <v>2</v>
      </c>
      <c r="AN5" s="5">
        <v>3</v>
      </c>
      <c r="AO5" s="8">
        <v>4</v>
      </c>
      <c r="AP5" s="4">
        <v>1</v>
      </c>
      <c r="AQ5" s="5">
        <v>2</v>
      </c>
      <c r="AR5" s="5">
        <v>3</v>
      </c>
      <c r="AS5" s="6">
        <v>4</v>
      </c>
      <c r="AT5" s="7">
        <v>1</v>
      </c>
      <c r="AU5" s="5">
        <v>2</v>
      </c>
      <c r="AV5" s="5">
        <v>3</v>
      </c>
      <c r="AW5" s="6">
        <v>4</v>
      </c>
      <c r="AX5" s="2"/>
    </row>
    <row r="6" spans="1:50" ht="15" thickBot="1" x14ac:dyDescent="0.35">
      <c r="A6" s="9" t="s">
        <v>19</v>
      </c>
      <c r="B6" s="10"/>
      <c r="C6" s="11"/>
      <c r="D6" s="11"/>
      <c r="E6" s="12"/>
      <c r="F6" s="10"/>
      <c r="G6" s="11"/>
      <c r="H6" s="11"/>
      <c r="I6" s="13"/>
      <c r="J6" s="14"/>
      <c r="K6" s="11"/>
      <c r="L6" s="15"/>
      <c r="M6" s="16"/>
      <c r="N6" s="17"/>
      <c r="O6" s="15"/>
      <c r="P6" s="15"/>
      <c r="Q6" s="18"/>
      <c r="R6" s="19"/>
      <c r="S6" s="15"/>
      <c r="T6" s="15"/>
      <c r="U6" s="16"/>
      <c r="V6" s="17"/>
      <c r="W6" s="15"/>
      <c r="X6" s="15"/>
      <c r="Y6" s="18"/>
      <c r="Z6" s="19"/>
      <c r="AA6" s="15"/>
      <c r="AB6" s="15"/>
      <c r="AC6" s="16"/>
      <c r="AD6" s="17"/>
      <c r="AE6" s="15"/>
      <c r="AF6" s="15"/>
      <c r="AG6" s="18"/>
      <c r="AH6" s="19"/>
      <c r="AI6" s="15"/>
      <c r="AJ6" s="15"/>
      <c r="AK6" s="16"/>
      <c r="AL6" s="17"/>
      <c r="AM6" s="15"/>
      <c r="AN6" s="15"/>
      <c r="AO6" s="18"/>
      <c r="AP6" s="19"/>
      <c r="AQ6" s="15"/>
      <c r="AR6" s="11"/>
      <c r="AS6" s="12"/>
      <c r="AT6" s="10"/>
      <c r="AU6" s="11"/>
      <c r="AV6" s="11"/>
      <c r="AW6" s="13"/>
    </row>
    <row r="7" spans="1:50" ht="15" thickBot="1" x14ac:dyDescent="0.35">
      <c r="A7" s="20" t="s">
        <v>18</v>
      </c>
      <c r="B7" s="21"/>
      <c r="C7" s="22"/>
      <c r="D7" s="22"/>
      <c r="E7" s="23"/>
      <c r="F7" s="21"/>
      <c r="G7" s="22"/>
      <c r="H7" s="24"/>
      <c r="I7" s="25"/>
      <c r="J7" s="26"/>
      <c r="K7" s="24"/>
      <c r="L7" s="22"/>
      <c r="M7" s="27"/>
      <c r="N7" s="21"/>
      <c r="O7" s="22"/>
      <c r="P7" s="22"/>
      <c r="Q7" s="28"/>
      <c r="R7" s="29"/>
      <c r="S7" s="22"/>
      <c r="T7" s="22"/>
      <c r="U7" s="27"/>
      <c r="V7" s="21"/>
      <c r="W7" s="22"/>
      <c r="X7" s="22"/>
      <c r="Y7" s="28"/>
      <c r="Z7" s="29"/>
      <c r="AA7" s="22"/>
      <c r="AB7" s="22"/>
      <c r="AC7" s="27"/>
      <c r="AD7" s="21"/>
      <c r="AE7" s="22"/>
      <c r="AF7" s="22"/>
      <c r="AG7" s="28"/>
      <c r="AH7" s="29"/>
      <c r="AI7" s="22"/>
      <c r="AJ7" s="22"/>
      <c r="AK7" s="27"/>
      <c r="AL7" s="21"/>
      <c r="AM7" s="22"/>
      <c r="AN7" s="22"/>
      <c r="AO7" s="28"/>
      <c r="AP7" s="29"/>
      <c r="AQ7" s="22"/>
      <c r="AR7" s="22"/>
      <c r="AS7" s="27"/>
      <c r="AT7" s="21"/>
      <c r="AU7" s="22"/>
      <c r="AV7" s="22"/>
      <c r="AW7" s="27"/>
      <c r="AX7" s="30"/>
    </row>
    <row r="8" spans="1:50" ht="15" thickBot="1" x14ac:dyDescent="0.35">
      <c r="A8" s="31" t="s">
        <v>20</v>
      </c>
      <c r="B8" s="32"/>
      <c r="C8" s="33"/>
      <c r="D8" s="33"/>
      <c r="E8" s="34"/>
      <c r="F8" s="32"/>
      <c r="G8" s="33"/>
      <c r="H8" s="33"/>
      <c r="I8" s="35"/>
      <c r="J8" s="36"/>
      <c r="K8" s="33"/>
      <c r="L8" s="33"/>
      <c r="M8" s="34"/>
      <c r="N8" s="32"/>
      <c r="O8" s="33"/>
      <c r="P8" s="33"/>
      <c r="Q8" s="35"/>
      <c r="R8" s="36"/>
      <c r="S8" s="33"/>
      <c r="T8" s="33"/>
      <c r="U8" s="34"/>
      <c r="V8" s="32"/>
      <c r="W8" s="33"/>
      <c r="X8" s="33"/>
      <c r="Y8" s="35"/>
      <c r="Z8" s="36"/>
      <c r="AA8" s="33"/>
      <c r="AB8" s="33"/>
      <c r="AC8" s="34"/>
      <c r="AD8" s="32"/>
      <c r="AE8" s="33"/>
      <c r="AF8" s="33"/>
      <c r="AG8" s="35"/>
      <c r="AH8" s="37"/>
      <c r="AI8" s="38"/>
      <c r="AJ8" s="33"/>
      <c r="AK8" s="34"/>
      <c r="AL8" s="32"/>
      <c r="AM8" s="33"/>
      <c r="AN8" s="33"/>
      <c r="AO8" s="35"/>
      <c r="AP8" s="36"/>
      <c r="AQ8" s="33"/>
      <c r="AR8" s="33"/>
      <c r="AS8" s="34"/>
      <c r="AT8" s="32"/>
      <c r="AU8" s="33"/>
      <c r="AV8" s="33"/>
      <c r="AW8" s="34"/>
    </row>
    <row r="9" spans="1:50" ht="15" thickBot="1" x14ac:dyDescent="0.35">
      <c r="A9" s="39" t="s">
        <v>21</v>
      </c>
      <c r="B9" s="17"/>
      <c r="C9" s="15"/>
      <c r="D9" s="15"/>
      <c r="E9" s="16"/>
      <c r="F9" s="17"/>
      <c r="G9" s="15"/>
      <c r="H9" s="15"/>
      <c r="I9" s="18"/>
      <c r="J9" s="19"/>
      <c r="K9" s="15"/>
      <c r="L9" s="40"/>
      <c r="M9" s="41"/>
      <c r="N9" s="42"/>
      <c r="O9" s="40"/>
      <c r="P9" s="40"/>
      <c r="Q9" s="43"/>
      <c r="R9" s="44"/>
      <c r="S9" s="40"/>
      <c r="T9" s="15"/>
      <c r="U9" s="16"/>
      <c r="V9" s="17"/>
      <c r="W9" s="15"/>
      <c r="X9" s="15"/>
      <c r="Y9" s="18"/>
      <c r="Z9" s="19"/>
      <c r="AA9" s="15"/>
      <c r="AB9" s="15"/>
      <c r="AC9" s="16"/>
      <c r="AD9" s="17"/>
      <c r="AE9" s="15"/>
      <c r="AF9" s="15"/>
      <c r="AG9" s="18"/>
      <c r="AH9" s="19"/>
      <c r="AI9" s="15"/>
      <c r="AJ9" s="15"/>
      <c r="AK9" s="16"/>
      <c r="AL9" s="17"/>
      <c r="AM9" s="15"/>
      <c r="AN9" s="15"/>
      <c r="AO9" s="18"/>
      <c r="AP9" s="19"/>
      <c r="AQ9" s="15"/>
      <c r="AR9" s="15"/>
      <c r="AS9" s="16"/>
      <c r="AT9" s="17"/>
      <c r="AU9" s="15"/>
      <c r="AV9" s="15"/>
      <c r="AW9" s="16"/>
    </row>
    <row r="10" spans="1:50" ht="15" thickBot="1" x14ac:dyDescent="0.35">
      <c r="A10" s="20" t="s">
        <v>22</v>
      </c>
      <c r="B10" s="21"/>
      <c r="C10" s="22"/>
      <c r="D10" s="22"/>
      <c r="E10" s="27"/>
      <c r="F10" s="45"/>
      <c r="G10" s="22"/>
      <c r="H10" s="22"/>
      <c r="I10" s="28"/>
      <c r="J10" s="29"/>
      <c r="K10" s="22"/>
      <c r="L10" s="22"/>
      <c r="M10" s="27"/>
      <c r="N10" s="21"/>
      <c r="O10" s="22"/>
      <c r="P10" s="22"/>
      <c r="Q10" s="28"/>
      <c r="R10" s="29"/>
      <c r="S10" s="22"/>
      <c r="T10" s="46"/>
      <c r="U10" s="47"/>
      <c r="V10" s="45"/>
      <c r="W10" s="46"/>
      <c r="X10" s="22"/>
      <c r="Y10" s="28"/>
      <c r="Z10" s="29"/>
      <c r="AA10" s="22"/>
      <c r="AB10" s="22"/>
      <c r="AC10" s="27"/>
      <c r="AD10" s="45"/>
      <c r="AE10" s="46"/>
      <c r="AF10" s="46"/>
      <c r="AG10" s="48"/>
      <c r="AH10" s="29"/>
      <c r="AI10" s="22"/>
      <c r="AJ10" s="22"/>
      <c r="AK10" s="27"/>
      <c r="AL10" s="45"/>
      <c r="AM10" s="46"/>
      <c r="AN10" s="46"/>
      <c r="AO10" s="48"/>
      <c r="AP10" s="29"/>
      <c r="AQ10" s="22"/>
      <c r="AR10" s="22"/>
      <c r="AS10" s="27"/>
      <c r="AT10" s="21"/>
      <c r="AU10" s="22"/>
      <c r="AV10" s="22"/>
      <c r="AW10" s="27"/>
      <c r="AX10" s="30"/>
    </row>
    <row r="11" spans="1:50" ht="15" thickBot="1" x14ac:dyDescent="0.35">
      <c r="A11" s="49" t="s">
        <v>23</v>
      </c>
      <c r="B11" s="50"/>
      <c r="C11" s="51"/>
      <c r="D11" s="51"/>
      <c r="E11" s="52"/>
      <c r="F11" s="50"/>
      <c r="G11" s="51"/>
      <c r="H11" s="51"/>
      <c r="I11" s="53"/>
      <c r="J11" s="54"/>
      <c r="K11" s="51"/>
      <c r="L11" s="51"/>
      <c r="M11" s="52"/>
      <c r="N11" s="50"/>
      <c r="O11" s="51"/>
      <c r="P11" s="51"/>
      <c r="Q11" s="53"/>
      <c r="R11" s="54"/>
      <c r="S11" s="51"/>
      <c r="T11" s="51"/>
      <c r="U11" s="52"/>
      <c r="V11" s="50"/>
      <c r="W11" s="51"/>
      <c r="X11" s="51"/>
      <c r="Y11" s="53"/>
      <c r="Z11" s="54"/>
      <c r="AA11" s="51"/>
      <c r="AB11" s="51"/>
      <c r="AC11" s="52"/>
      <c r="AD11" s="50"/>
      <c r="AE11" s="51"/>
      <c r="AF11" s="51"/>
      <c r="AG11" s="53"/>
      <c r="AH11" s="54"/>
      <c r="AI11" s="51"/>
      <c r="AJ11" s="51"/>
      <c r="AK11" s="52"/>
      <c r="AL11" s="50"/>
      <c r="AM11" s="51"/>
      <c r="AN11" s="51"/>
      <c r="AO11" s="53"/>
      <c r="AP11" s="54"/>
      <c r="AQ11" s="51"/>
      <c r="AR11" s="51"/>
      <c r="AS11" s="52"/>
      <c r="AT11" s="50"/>
      <c r="AU11" s="51"/>
      <c r="AV11" s="51"/>
      <c r="AW11" s="52"/>
      <c r="AX11" s="55"/>
    </row>
    <row r="12" spans="1:50" ht="15" thickBot="1" x14ac:dyDescent="0.35">
      <c r="A12" s="49" t="s">
        <v>24</v>
      </c>
      <c r="B12" s="50"/>
      <c r="C12" s="51"/>
      <c r="D12" s="51"/>
      <c r="E12" s="52"/>
      <c r="F12" s="50"/>
      <c r="G12" s="51"/>
      <c r="H12" s="51"/>
      <c r="I12" s="53"/>
      <c r="J12" s="54"/>
      <c r="K12" s="51"/>
      <c r="L12" s="51"/>
      <c r="M12" s="52"/>
      <c r="N12" s="50"/>
      <c r="O12" s="51"/>
      <c r="P12" s="51"/>
      <c r="Q12" s="53"/>
      <c r="R12" s="54"/>
      <c r="S12" s="51"/>
      <c r="T12" s="51"/>
      <c r="U12" s="52"/>
      <c r="V12" s="50"/>
      <c r="W12" s="51"/>
      <c r="X12" s="51"/>
      <c r="Y12" s="53"/>
      <c r="Z12" s="54"/>
      <c r="AA12" s="51"/>
      <c r="AB12" s="51"/>
      <c r="AC12" s="52"/>
      <c r="AD12" s="50"/>
      <c r="AE12" s="51"/>
      <c r="AF12" s="51"/>
      <c r="AG12" s="53"/>
      <c r="AH12" s="54"/>
      <c r="AI12" s="51"/>
      <c r="AJ12" s="51"/>
      <c r="AK12" s="52"/>
      <c r="AL12" s="50"/>
      <c r="AM12" s="51"/>
      <c r="AN12" s="51"/>
      <c r="AO12" s="53"/>
      <c r="AP12" s="54"/>
      <c r="AQ12" s="51"/>
      <c r="AR12" s="51"/>
      <c r="AS12" s="52"/>
      <c r="AT12" s="50"/>
      <c r="AU12" s="51"/>
      <c r="AV12" s="51"/>
      <c r="AW12" s="52"/>
      <c r="AX12" s="55"/>
    </row>
    <row r="13" spans="1:50" ht="15" thickBot="1" x14ac:dyDescent="0.35">
      <c r="A13" s="49" t="s">
        <v>25</v>
      </c>
      <c r="B13" s="50"/>
      <c r="C13" s="51"/>
      <c r="D13" s="51"/>
      <c r="E13" s="52"/>
      <c r="F13" s="50"/>
      <c r="G13" s="51"/>
      <c r="H13" s="51"/>
      <c r="I13" s="53"/>
      <c r="J13" s="54"/>
      <c r="K13" s="51"/>
      <c r="L13" s="51"/>
      <c r="M13" s="52"/>
      <c r="N13" s="50"/>
      <c r="O13" s="51"/>
      <c r="P13" s="51"/>
      <c r="Q13" s="53"/>
      <c r="R13" s="54"/>
      <c r="S13" s="51"/>
      <c r="T13" s="51"/>
      <c r="U13" s="52"/>
      <c r="V13" s="50"/>
      <c r="W13" s="51"/>
      <c r="X13" s="51"/>
      <c r="Y13" s="53"/>
      <c r="Z13" s="54"/>
      <c r="AA13" s="51"/>
      <c r="AB13" s="51"/>
      <c r="AC13" s="52"/>
      <c r="AD13" s="50"/>
      <c r="AE13" s="51"/>
      <c r="AF13" s="51"/>
      <c r="AG13" s="53"/>
      <c r="AH13" s="54"/>
      <c r="AI13" s="51"/>
      <c r="AJ13" s="51"/>
      <c r="AK13" s="52"/>
      <c r="AL13" s="50"/>
      <c r="AM13" s="51"/>
      <c r="AN13" s="51"/>
      <c r="AO13" s="53"/>
      <c r="AP13" s="54"/>
      <c r="AQ13" s="51"/>
      <c r="AR13" s="51"/>
      <c r="AS13" s="52"/>
      <c r="AT13" s="50"/>
      <c r="AU13" s="51"/>
      <c r="AV13" s="51"/>
      <c r="AW13" s="52"/>
      <c r="AX13" s="55"/>
    </row>
    <row r="14" spans="1:50" ht="15" thickBot="1" x14ac:dyDescent="0.35">
      <c r="A14" s="49" t="s">
        <v>26</v>
      </c>
      <c r="B14" s="50"/>
      <c r="C14" s="51"/>
      <c r="D14" s="51"/>
      <c r="E14" s="52"/>
      <c r="F14" s="50"/>
      <c r="G14" s="51"/>
      <c r="H14" s="51"/>
      <c r="I14" s="53"/>
      <c r="J14" s="54"/>
      <c r="K14" s="51"/>
      <c r="L14" s="51"/>
      <c r="M14" s="52"/>
      <c r="N14" s="50"/>
      <c r="O14" s="51"/>
      <c r="P14" s="51"/>
      <c r="Q14" s="53"/>
      <c r="R14" s="54"/>
      <c r="S14" s="51"/>
      <c r="T14" s="51"/>
      <c r="U14" s="52"/>
      <c r="V14" s="50"/>
      <c r="W14" s="51"/>
      <c r="X14" s="51"/>
      <c r="Y14" s="53"/>
      <c r="Z14" s="54"/>
      <c r="AA14" s="51"/>
      <c r="AB14" s="51"/>
      <c r="AC14" s="52"/>
      <c r="AD14" s="50"/>
      <c r="AE14" s="51"/>
      <c r="AF14" s="51"/>
      <c r="AG14" s="53"/>
      <c r="AH14" s="54"/>
      <c r="AI14" s="51"/>
      <c r="AJ14" s="51"/>
      <c r="AK14" s="52"/>
      <c r="AL14" s="50"/>
      <c r="AM14" s="51"/>
      <c r="AN14" s="51"/>
      <c r="AO14" s="53"/>
      <c r="AP14" s="54"/>
      <c r="AQ14" s="51"/>
      <c r="AR14" s="51"/>
      <c r="AS14" s="52"/>
      <c r="AT14" s="50"/>
      <c r="AU14" s="51"/>
      <c r="AV14" s="51"/>
      <c r="AW14" s="52"/>
      <c r="AX14" s="55"/>
    </row>
    <row r="15" spans="1:50" ht="15" thickBot="1" x14ac:dyDescent="0.35">
      <c r="A15" s="39" t="s">
        <v>27</v>
      </c>
      <c r="B15" s="17"/>
      <c r="C15" s="15"/>
      <c r="D15" s="15"/>
      <c r="E15" s="16"/>
      <c r="F15" s="17"/>
      <c r="G15" s="15"/>
      <c r="H15" s="15"/>
      <c r="I15" s="18"/>
      <c r="J15" s="19"/>
      <c r="K15" s="15"/>
      <c r="L15" s="15"/>
      <c r="M15" s="16"/>
      <c r="N15" s="17"/>
      <c r="O15" s="15"/>
      <c r="P15" s="15"/>
      <c r="Q15" s="18"/>
      <c r="R15" s="19"/>
      <c r="S15" s="15"/>
      <c r="T15" s="15"/>
      <c r="U15" s="56"/>
      <c r="V15" s="57"/>
      <c r="W15" s="58"/>
      <c r="X15" s="15"/>
      <c r="Y15" s="18"/>
      <c r="Z15" s="19"/>
      <c r="AA15" s="15"/>
      <c r="AB15" s="58"/>
      <c r="AC15" s="56"/>
      <c r="AD15" s="57"/>
      <c r="AE15" s="15"/>
      <c r="AF15" s="15"/>
      <c r="AG15" s="18"/>
      <c r="AH15" s="19"/>
      <c r="AI15" s="58"/>
      <c r="AJ15" s="58"/>
      <c r="AK15" s="56"/>
      <c r="AL15" s="17"/>
      <c r="AM15" s="15"/>
      <c r="AN15" s="15"/>
      <c r="AO15" s="18"/>
      <c r="AP15" s="59"/>
      <c r="AQ15" s="58"/>
      <c r="AR15" s="58"/>
      <c r="AS15" s="16"/>
      <c r="AT15" s="17"/>
      <c r="AU15" s="15"/>
      <c r="AV15" s="15"/>
      <c r="AW15" s="16"/>
    </row>
    <row r="16" spans="1:50" ht="15" thickBot="1" x14ac:dyDescent="0.35">
      <c r="A16" s="20" t="s">
        <v>28</v>
      </c>
      <c r="B16" s="21"/>
      <c r="C16" s="22"/>
      <c r="D16" s="22"/>
      <c r="E16" s="27"/>
      <c r="F16" s="21"/>
      <c r="G16" s="22"/>
      <c r="H16" s="22"/>
      <c r="I16" s="28"/>
      <c r="J16" s="29"/>
      <c r="K16" s="22"/>
      <c r="L16" s="22"/>
      <c r="M16" s="27"/>
      <c r="N16" s="21"/>
      <c r="O16" s="22"/>
      <c r="P16" s="22"/>
      <c r="Q16" s="28"/>
      <c r="R16" s="29"/>
      <c r="S16" s="22"/>
      <c r="T16" s="51"/>
      <c r="U16" s="52"/>
      <c r="V16" s="60"/>
      <c r="W16" s="61"/>
      <c r="X16" s="61"/>
      <c r="Y16" s="53"/>
      <c r="Z16" s="54"/>
      <c r="AA16" s="51"/>
      <c r="AB16" s="51"/>
      <c r="AC16" s="52"/>
      <c r="AD16" s="50"/>
      <c r="AE16" s="61"/>
      <c r="AF16" s="61"/>
      <c r="AG16" s="53"/>
      <c r="AH16" s="54"/>
      <c r="AI16" s="51"/>
      <c r="AJ16" s="51"/>
      <c r="AK16" s="52"/>
      <c r="AL16" s="61"/>
      <c r="AM16" s="61"/>
      <c r="AN16" s="51"/>
      <c r="AO16" s="53"/>
      <c r="AP16" s="62"/>
      <c r="AQ16" s="63"/>
      <c r="AR16" s="63"/>
      <c r="AS16" s="27"/>
      <c r="AT16" s="21"/>
      <c r="AU16" s="22"/>
      <c r="AV16" s="22"/>
      <c r="AW16" s="27"/>
      <c r="AX16" s="30"/>
    </row>
    <row r="17" spans="1:50" ht="15" thickBot="1" x14ac:dyDescent="0.35">
      <c r="A17" s="39" t="s">
        <v>29</v>
      </c>
      <c r="B17" s="17"/>
      <c r="C17" s="15"/>
      <c r="D17" s="15"/>
      <c r="E17" s="16"/>
      <c r="F17" s="17"/>
      <c r="G17" s="15"/>
      <c r="H17" s="15"/>
      <c r="I17" s="18"/>
      <c r="J17" s="19"/>
      <c r="K17" s="15"/>
      <c r="L17" s="15"/>
      <c r="M17" s="16"/>
      <c r="N17" s="17"/>
      <c r="O17" s="15"/>
      <c r="P17" s="15"/>
      <c r="Q17" s="18"/>
      <c r="R17" s="19"/>
      <c r="S17" s="15"/>
      <c r="T17" s="15"/>
      <c r="U17" s="16"/>
      <c r="V17" s="17"/>
      <c r="W17" s="15"/>
      <c r="X17" s="15"/>
      <c r="Y17" s="64"/>
      <c r="Z17" s="65"/>
      <c r="AA17" s="66"/>
      <c r="AB17" s="15"/>
      <c r="AC17" s="16"/>
      <c r="AD17" s="17"/>
      <c r="AE17" s="66"/>
      <c r="AF17" s="66"/>
      <c r="AG17" s="64"/>
      <c r="AH17" s="19"/>
      <c r="AI17" s="15"/>
      <c r="AJ17" s="15"/>
      <c r="AK17" s="67"/>
      <c r="AL17" s="68"/>
      <c r="AM17" s="66"/>
      <c r="AN17" s="15"/>
      <c r="AO17" s="18"/>
      <c r="AP17" s="19"/>
      <c r="AQ17" s="15"/>
      <c r="AR17" s="15"/>
      <c r="AS17" s="16"/>
      <c r="AT17" s="17"/>
      <c r="AU17" s="15"/>
      <c r="AV17" s="15"/>
      <c r="AW17" s="16"/>
    </row>
    <row r="18" spans="1:50" ht="15" thickBot="1" x14ac:dyDescent="0.35">
      <c r="A18" s="20" t="s">
        <v>30</v>
      </c>
      <c r="B18" s="21"/>
      <c r="C18" s="22"/>
      <c r="D18" s="22"/>
      <c r="E18" s="27"/>
      <c r="F18" s="21"/>
      <c r="G18" s="22"/>
      <c r="H18" s="22"/>
      <c r="I18" s="28"/>
      <c r="J18" s="29"/>
      <c r="K18" s="22"/>
      <c r="L18" s="22"/>
      <c r="M18" s="27"/>
      <c r="N18" s="21"/>
      <c r="O18" s="22"/>
      <c r="P18" s="22"/>
      <c r="Q18" s="28"/>
      <c r="R18" s="29"/>
      <c r="S18" s="22"/>
      <c r="T18" s="22"/>
      <c r="U18" s="27"/>
      <c r="V18" s="69"/>
      <c r="W18" s="70"/>
      <c r="X18" s="70"/>
      <c r="Y18" s="71"/>
      <c r="Z18" s="72"/>
      <c r="AA18" s="70"/>
      <c r="AB18" s="22"/>
      <c r="AC18" s="27"/>
      <c r="AD18" s="21"/>
      <c r="AE18" s="22"/>
      <c r="AF18" s="22"/>
      <c r="AG18" s="28"/>
      <c r="AH18" s="29"/>
      <c r="AI18" s="22"/>
      <c r="AJ18" s="22"/>
      <c r="AK18" s="27"/>
      <c r="AL18" s="21"/>
      <c r="AM18" s="22"/>
      <c r="AN18" s="22"/>
      <c r="AO18" s="28"/>
      <c r="AP18" s="29"/>
      <c r="AQ18" s="22"/>
      <c r="AR18" s="22"/>
      <c r="AS18" s="27"/>
      <c r="AT18" s="21"/>
      <c r="AU18" s="22"/>
      <c r="AV18" s="22"/>
      <c r="AW18" s="27"/>
      <c r="AX18" s="30"/>
    </row>
    <row r="19" spans="1:50" ht="15" thickBot="1" x14ac:dyDescent="0.35">
      <c r="A19" s="39" t="s">
        <v>31</v>
      </c>
      <c r="B19" s="17"/>
      <c r="C19" s="15"/>
      <c r="D19" s="15"/>
      <c r="E19" s="16"/>
      <c r="F19" s="17"/>
      <c r="G19" s="15"/>
      <c r="H19" s="15"/>
      <c r="I19" s="18"/>
      <c r="J19" s="19"/>
      <c r="K19" s="15"/>
      <c r="L19" s="15"/>
      <c r="M19" s="16"/>
      <c r="N19" s="17"/>
      <c r="O19" s="15"/>
      <c r="P19" s="15"/>
      <c r="Q19" s="18"/>
      <c r="R19" s="19"/>
      <c r="S19" s="15"/>
      <c r="T19" s="15"/>
      <c r="U19" s="16"/>
      <c r="V19" s="73"/>
      <c r="W19" s="74"/>
      <c r="X19" s="74"/>
      <c r="Y19" s="75"/>
      <c r="Z19" s="76"/>
      <c r="AA19" s="74"/>
      <c r="AB19" s="15"/>
      <c r="AC19" s="16"/>
      <c r="AD19" s="17"/>
      <c r="AE19" s="15"/>
      <c r="AF19" s="15"/>
      <c r="AG19" s="18"/>
      <c r="AH19" s="19"/>
      <c r="AI19" s="15"/>
      <c r="AJ19" s="15"/>
      <c r="AK19" s="16"/>
      <c r="AL19" s="17"/>
      <c r="AM19" s="15"/>
      <c r="AN19" s="15"/>
      <c r="AO19" s="18"/>
      <c r="AP19" s="19"/>
      <c r="AQ19" s="15"/>
      <c r="AR19" s="15"/>
      <c r="AS19" s="16"/>
      <c r="AT19" s="17"/>
      <c r="AU19" s="15"/>
      <c r="AV19" s="15"/>
      <c r="AW19" s="16"/>
    </row>
    <row r="20" spans="1:50" ht="15" thickBot="1" x14ac:dyDescent="0.35">
      <c r="A20" s="20" t="s">
        <v>32</v>
      </c>
      <c r="B20" s="21"/>
      <c r="C20" s="22"/>
      <c r="D20" s="22"/>
      <c r="E20" s="27"/>
      <c r="F20" s="21"/>
      <c r="G20" s="22"/>
      <c r="H20" s="22"/>
      <c r="I20" s="28"/>
      <c r="J20" s="29"/>
      <c r="K20" s="22"/>
      <c r="L20" s="22"/>
      <c r="M20" s="27"/>
      <c r="N20" s="21"/>
      <c r="O20" s="22"/>
      <c r="P20" s="22"/>
      <c r="Q20" s="28"/>
      <c r="R20" s="29"/>
      <c r="S20" s="22"/>
      <c r="T20" s="22"/>
      <c r="U20" s="27"/>
      <c r="V20" s="21"/>
      <c r="W20" s="22"/>
      <c r="X20" s="22"/>
      <c r="Y20" s="28"/>
      <c r="Z20" s="29"/>
      <c r="AA20" s="22"/>
      <c r="AB20" s="22"/>
      <c r="AC20" s="27"/>
      <c r="AD20" s="21"/>
      <c r="AE20" s="22"/>
      <c r="AF20" s="22"/>
      <c r="AG20" s="28"/>
      <c r="AH20" s="29"/>
      <c r="AI20" s="22"/>
      <c r="AJ20" s="22"/>
      <c r="AK20" s="27"/>
      <c r="AL20" s="21"/>
      <c r="AM20" s="22"/>
      <c r="AN20" s="22"/>
      <c r="AO20" s="28"/>
      <c r="AP20" s="77"/>
      <c r="AQ20" s="78"/>
      <c r="AR20" s="78"/>
      <c r="AS20" s="79"/>
      <c r="AT20" s="21"/>
      <c r="AU20" s="22"/>
      <c r="AV20" s="22"/>
      <c r="AW20" s="27"/>
      <c r="AX20" s="30"/>
    </row>
    <row r="21" spans="1:50" ht="15" thickBot="1" x14ac:dyDescent="0.35">
      <c r="A21" s="20" t="s">
        <v>33</v>
      </c>
      <c r="B21" s="80"/>
      <c r="C21" s="81"/>
      <c r="D21" s="22"/>
      <c r="E21" s="27"/>
      <c r="F21" s="21"/>
      <c r="G21" s="22"/>
      <c r="H21" s="22"/>
      <c r="I21" s="28"/>
      <c r="J21" s="29"/>
      <c r="K21" s="22"/>
      <c r="L21" s="22"/>
      <c r="M21" s="27"/>
      <c r="N21" s="21"/>
      <c r="O21" s="22"/>
      <c r="P21" s="22"/>
      <c r="Q21" s="28"/>
      <c r="R21" s="29"/>
      <c r="S21" s="22"/>
      <c r="T21" s="22"/>
      <c r="U21" s="27"/>
      <c r="V21" s="21"/>
      <c r="W21" s="22"/>
      <c r="X21" s="22"/>
      <c r="Y21" s="28"/>
      <c r="Z21" s="29"/>
      <c r="AA21" s="22"/>
      <c r="AB21" s="22"/>
      <c r="AC21" s="27"/>
      <c r="AD21" s="21"/>
      <c r="AE21" s="22"/>
      <c r="AF21" s="22"/>
      <c r="AG21" s="28"/>
      <c r="AH21" s="29"/>
      <c r="AI21" s="22"/>
      <c r="AJ21" s="22"/>
      <c r="AK21" s="27"/>
      <c r="AL21" s="21"/>
      <c r="AM21" s="22"/>
      <c r="AN21" s="22"/>
      <c r="AO21" s="28"/>
      <c r="AP21" s="29"/>
      <c r="AQ21" s="22"/>
      <c r="AR21" s="22"/>
      <c r="AS21" s="27"/>
      <c r="AT21" s="21"/>
      <c r="AU21" s="22"/>
      <c r="AV21" s="22"/>
      <c r="AW21" s="82"/>
      <c r="AX21" s="30"/>
    </row>
    <row r="22" spans="1:50" ht="15" thickBot="1" x14ac:dyDescent="0.35">
      <c r="A22" s="31"/>
      <c r="B22" s="32"/>
      <c r="C22" s="33"/>
      <c r="D22" s="33"/>
      <c r="E22" s="34"/>
      <c r="F22" s="32"/>
      <c r="G22" s="33"/>
      <c r="H22" s="33"/>
      <c r="I22" s="35"/>
      <c r="J22" s="36"/>
      <c r="K22" s="33"/>
      <c r="L22" s="33"/>
      <c r="M22" s="34"/>
      <c r="N22" s="32"/>
      <c r="O22" s="33"/>
      <c r="P22" s="33"/>
      <c r="Q22" s="35"/>
      <c r="R22" s="36"/>
      <c r="S22" s="33"/>
      <c r="T22" s="33"/>
      <c r="U22" s="34"/>
      <c r="V22" s="32"/>
      <c r="W22" s="33"/>
      <c r="X22" s="33"/>
      <c r="Y22" s="35"/>
      <c r="Z22" s="36"/>
      <c r="AA22" s="33"/>
      <c r="AB22" s="33"/>
      <c r="AC22" s="34"/>
      <c r="AD22" s="32"/>
      <c r="AE22" s="33"/>
      <c r="AF22" s="33"/>
      <c r="AG22" s="35"/>
      <c r="AH22" s="36"/>
      <c r="AI22" s="33"/>
      <c r="AJ22" s="33"/>
      <c r="AK22" s="34"/>
      <c r="AL22" s="32"/>
      <c r="AM22" s="33"/>
      <c r="AN22" s="33"/>
      <c r="AO22" s="35"/>
      <c r="AP22" s="36"/>
      <c r="AQ22" s="33"/>
      <c r="AR22" s="33"/>
      <c r="AS22" s="34"/>
      <c r="AT22" s="32"/>
      <c r="AU22" s="33"/>
      <c r="AV22" s="33"/>
      <c r="AW22" s="34"/>
    </row>
  </sheetData>
  <mergeCells count="12">
    <mergeCell ref="AT4:AW4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4F5C-A4EF-46BC-B0E9-5FE642514ED2}">
  <dimension ref="A3:AX22"/>
  <sheetViews>
    <sheetView workbookViewId="0">
      <selection activeCell="A4" sqref="A4:AX22"/>
    </sheetView>
  </sheetViews>
  <sheetFormatPr baseColWidth="10" defaultRowHeight="14.4" x14ac:dyDescent="0.3"/>
  <sheetData>
    <row r="3" spans="1:50" ht="15" thickBot="1" x14ac:dyDescent="0.35"/>
    <row r="4" spans="1:50" x14ac:dyDescent="0.3">
      <c r="A4" s="1"/>
      <c r="B4" s="142" t="s">
        <v>6</v>
      </c>
      <c r="C4" s="143"/>
      <c r="D4" s="143"/>
      <c r="E4" s="144"/>
      <c r="F4" s="145" t="s">
        <v>7</v>
      </c>
      <c r="G4" s="143"/>
      <c r="H4" s="143"/>
      <c r="I4" s="146"/>
      <c r="J4" s="142" t="s">
        <v>8</v>
      </c>
      <c r="K4" s="143"/>
      <c r="L4" s="143"/>
      <c r="M4" s="144"/>
      <c r="N4" s="145" t="s">
        <v>9</v>
      </c>
      <c r="O4" s="143"/>
      <c r="P4" s="143"/>
      <c r="Q4" s="146"/>
      <c r="R4" s="142" t="s">
        <v>10</v>
      </c>
      <c r="S4" s="143"/>
      <c r="T4" s="143"/>
      <c r="U4" s="144"/>
      <c r="V4" s="145" t="s">
        <v>11</v>
      </c>
      <c r="W4" s="143"/>
      <c r="X4" s="143"/>
      <c r="Y4" s="146"/>
      <c r="Z4" s="142" t="s">
        <v>12</v>
      </c>
      <c r="AA4" s="143"/>
      <c r="AB4" s="143"/>
      <c r="AC4" s="144"/>
      <c r="AD4" s="145" t="s">
        <v>13</v>
      </c>
      <c r="AE4" s="143"/>
      <c r="AF4" s="143"/>
      <c r="AG4" s="146"/>
      <c r="AH4" s="142" t="s">
        <v>14</v>
      </c>
      <c r="AI4" s="143"/>
      <c r="AJ4" s="143"/>
      <c r="AK4" s="144"/>
      <c r="AL4" s="145" t="s">
        <v>15</v>
      </c>
      <c r="AM4" s="143"/>
      <c r="AN4" s="143"/>
      <c r="AO4" s="146"/>
      <c r="AP4" s="142" t="s">
        <v>16</v>
      </c>
      <c r="AQ4" s="143"/>
      <c r="AR4" s="143"/>
      <c r="AS4" s="144"/>
      <c r="AT4" s="145" t="s">
        <v>17</v>
      </c>
      <c r="AU4" s="143"/>
      <c r="AV4" s="143"/>
      <c r="AW4" s="144"/>
      <c r="AX4" s="2"/>
    </row>
    <row r="5" spans="1:50" ht="15" thickBot="1" x14ac:dyDescent="0.35">
      <c r="A5" s="3" t="s">
        <v>18</v>
      </c>
      <c r="B5" s="4">
        <v>1</v>
      </c>
      <c r="C5" s="5">
        <v>2</v>
      </c>
      <c r="D5" s="5">
        <v>3</v>
      </c>
      <c r="E5" s="6">
        <v>4</v>
      </c>
      <c r="F5" s="7">
        <v>1</v>
      </c>
      <c r="G5" s="5">
        <v>2</v>
      </c>
      <c r="H5" s="5">
        <v>3</v>
      </c>
      <c r="I5" s="8">
        <v>4</v>
      </c>
      <c r="J5" s="4">
        <v>1</v>
      </c>
      <c r="K5" s="5">
        <v>2</v>
      </c>
      <c r="L5" s="5">
        <v>3</v>
      </c>
      <c r="M5" s="6">
        <v>4</v>
      </c>
      <c r="N5" s="7">
        <v>1</v>
      </c>
      <c r="O5" s="5">
        <v>2</v>
      </c>
      <c r="P5" s="5">
        <v>3</v>
      </c>
      <c r="Q5" s="8">
        <v>4</v>
      </c>
      <c r="R5" s="4">
        <v>1</v>
      </c>
      <c r="S5" s="5">
        <v>2</v>
      </c>
      <c r="T5" s="5">
        <v>3</v>
      </c>
      <c r="U5" s="6">
        <v>4</v>
      </c>
      <c r="V5" s="7">
        <v>1</v>
      </c>
      <c r="W5" s="5">
        <v>2</v>
      </c>
      <c r="X5" s="5">
        <v>3</v>
      </c>
      <c r="Y5" s="8">
        <v>4</v>
      </c>
      <c r="Z5" s="4">
        <v>1</v>
      </c>
      <c r="AA5" s="5">
        <v>2</v>
      </c>
      <c r="AB5" s="5">
        <v>3</v>
      </c>
      <c r="AC5" s="6">
        <v>4</v>
      </c>
      <c r="AD5" s="7">
        <v>1</v>
      </c>
      <c r="AE5" s="5">
        <v>2</v>
      </c>
      <c r="AF5" s="5">
        <v>3</v>
      </c>
      <c r="AG5" s="8">
        <v>4</v>
      </c>
      <c r="AH5" s="4">
        <v>1</v>
      </c>
      <c r="AI5" s="5">
        <v>2</v>
      </c>
      <c r="AJ5" s="5">
        <v>3</v>
      </c>
      <c r="AK5" s="6">
        <v>4</v>
      </c>
      <c r="AL5" s="7">
        <v>1</v>
      </c>
      <c r="AM5" s="5">
        <v>2</v>
      </c>
      <c r="AN5" s="5">
        <v>3</v>
      </c>
      <c r="AO5" s="8">
        <v>4</v>
      </c>
      <c r="AP5" s="4">
        <v>1</v>
      </c>
      <c r="AQ5" s="5">
        <v>2</v>
      </c>
      <c r="AR5" s="5">
        <v>3</v>
      </c>
      <c r="AS5" s="6">
        <v>4</v>
      </c>
      <c r="AT5" s="7">
        <v>1</v>
      </c>
      <c r="AU5" s="5">
        <v>2</v>
      </c>
      <c r="AV5" s="5">
        <v>3</v>
      </c>
      <c r="AW5" s="6">
        <v>4</v>
      </c>
      <c r="AX5" s="2"/>
    </row>
    <row r="6" spans="1:50" ht="15" thickBot="1" x14ac:dyDescent="0.35">
      <c r="A6" s="9" t="s">
        <v>19</v>
      </c>
      <c r="B6" s="10"/>
      <c r="C6" s="11"/>
      <c r="D6" s="11"/>
      <c r="E6" s="12"/>
      <c r="F6" s="10"/>
      <c r="G6" s="11"/>
      <c r="H6" s="11"/>
      <c r="I6" s="13"/>
      <c r="J6" s="14"/>
      <c r="K6" s="11"/>
      <c r="L6" s="15"/>
      <c r="M6" s="16"/>
      <c r="N6" s="17"/>
      <c r="O6" s="15"/>
      <c r="P6" s="15"/>
      <c r="Q6" s="18"/>
      <c r="R6" s="19"/>
      <c r="S6" s="15"/>
      <c r="T6" s="15"/>
      <c r="U6" s="16"/>
      <c r="V6" s="17"/>
      <c r="W6" s="15"/>
      <c r="X6" s="15"/>
      <c r="Y6" s="18"/>
      <c r="Z6" s="19"/>
      <c r="AA6" s="15"/>
      <c r="AB6" s="15"/>
      <c r="AC6" s="16"/>
      <c r="AD6" s="17"/>
      <c r="AE6" s="15"/>
      <c r="AF6" s="15"/>
      <c r="AG6" s="18"/>
      <c r="AH6" s="19"/>
      <c r="AI6" s="15"/>
      <c r="AJ6" s="15"/>
      <c r="AK6" s="16"/>
      <c r="AL6" s="17"/>
      <c r="AM6" s="15"/>
      <c r="AN6" s="15"/>
      <c r="AO6" s="18"/>
      <c r="AP6" s="19"/>
      <c r="AQ6" s="15"/>
      <c r="AR6" s="11"/>
      <c r="AS6" s="12"/>
      <c r="AT6" s="10"/>
      <c r="AU6" s="11"/>
      <c r="AV6" s="11"/>
      <c r="AW6" s="13"/>
    </row>
    <row r="7" spans="1:50" ht="15" thickBot="1" x14ac:dyDescent="0.35">
      <c r="A7" s="20" t="s">
        <v>18</v>
      </c>
      <c r="B7" s="21"/>
      <c r="C7" s="22"/>
      <c r="D7" s="22"/>
      <c r="E7" s="23"/>
      <c r="F7" s="21"/>
      <c r="G7" s="22"/>
      <c r="H7" s="24"/>
      <c r="I7" s="25"/>
      <c r="J7" s="26"/>
      <c r="K7" s="24"/>
      <c r="L7" s="22"/>
      <c r="M7" s="27"/>
      <c r="N7" s="21"/>
      <c r="O7" s="22"/>
      <c r="P7" s="22"/>
      <c r="Q7" s="28"/>
      <c r="R7" s="29"/>
      <c r="S7" s="22"/>
      <c r="T7" s="22"/>
      <c r="U7" s="27"/>
      <c r="V7" s="21"/>
      <c r="W7" s="22"/>
      <c r="X7" s="22"/>
      <c r="Y7" s="28"/>
      <c r="Z7" s="29"/>
      <c r="AA7" s="22"/>
      <c r="AB7" s="22"/>
      <c r="AC7" s="27"/>
      <c r="AD7" s="21"/>
      <c r="AE7" s="22"/>
      <c r="AF7" s="22"/>
      <c r="AG7" s="28"/>
      <c r="AH7" s="29"/>
      <c r="AI7" s="22"/>
      <c r="AJ7" s="22"/>
      <c r="AK7" s="27"/>
      <c r="AL7" s="21"/>
      <c r="AM7" s="22"/>
      <c r="AN7" s="22"/>
      <c r="AO7" s="28"/>
      <c r="AP7" s="29"/>
      <c r="AQ7" s="22"/>
      <c r="AR7" s="22"/>
      <c r="AS7" s="27"/>
      <c r="AT7" s="21"/>
      <c r="AU7" s="22"/>
      <c r="AV7" s="22"/>
      <c r="AW7" s="27"/>
      <c r="AX7" s="30"/>
    </row>
    <row r="8" spans="1:50" ht="15" thickBot="1" x14ac:dyDescent="0.35">
      <c r="A8" s="31" t="s">
        <v>20</v>
      </c>
      <c r="B8" s="32"/>
      <c r="C8" s="33"/>
      <c r="D8" s="33"/>
      <c r="E8" s="34"/>
      <c r="F8" s="32"/>
      <c r="G8" s="33"/>
      <c r="H8" s="33"/>
      <c r="I8" s="35"/>
      <c r="J8" s="36"/>
      <c r="K8" s="33"/>
      <c r="L8" s="33"/>
      <c r="M8" s="34"/>
      <c r="N8" s="32"/>
      <c r="O8" s="33"/>
      <c r="P8" s="33"/>
      <c r="Q8" s="35"/>
      <c r="R8" s="36"/>
      <c r="S8" s="33"/>
      <c r="T8" s="33"/>
      <c r="U8" s="34"/>
      <c r="V8" s="32"/>
      <c r="W8" s="33"/>
      <c r="X8" s="33"/>
      <c r="Y8" s="35"/>
      <c r="Z8" s="36"/>
      <c r="AA8" s="33"/>
      <c r="AB8" s="33"/>
      <c r="AC8" s="34"/>
      <c r="AD8" s="32"/>
      <c r="AE8" s="33"/>
      <c r="AF8" s="33"/>
      <c r="AG8" s="35"/>
      <c r="AH8" s="37"/>
      <c r="AI8" s="38"/>
      <c r="AJ8" s="33"/>
      <c r="AK8" s="34"/>
      <c r="AL8" s="32"/>
      <c r="AM8" s="33"/>
      <c r="AN8" s="33"/>
      <c r="AO8" s="35"/>
      <c r="AP8" s="36"/>
      <c r="AQ8" s="33"/>
      <c r="AR8" s="33"/>
      <c r="AS8" s="34"/>
      <c r="AT8" s="32"/>
      <c r="AU8" s="33"/>
      <c r="AV8" s="33"/>
      <c r="AW8" s="34"/>
    </row>
    <row r="9" spans="1:50" ht="15" thickBot="1" x14ac:dyDescent="0.35">
      <c r="A9" s="39" t="s">
        <v>21</v>
      </c>
      <c r="B9" s="17"/>
      <c r="C9" s="15"/>
      <c r="D9" s="15"/>
      <c r="E9" s="16"/>
      <c r="F9" s="17"/>
      <c r="G9" s="15"/>
      <c r="H9" s="15"/>
      <c r="I9" s="18"/>
      <c r="J9" s="19"/>
      <c r="K9" s="15"/>
      <c r="L9" s="40"/>
      <c r="M9" s="41"/>
      <c r="N9" s="42"/>
      <c r="O9" s="40"/>
      <c r="P9" s="40"/>
      <c r="Q9" s="43"/>
      <c r="R9" s="44"/>
      <c r="S9" s="40"/>
      <c r="T9" s="15"/>
      <c r="U9" s="16"/>
      <c r="V9" s="17"/>
      <c r="W9" s="15"/>
      <c r="X9" s="15"/>
      <c r="Y9" s="18"/>
      <c r="Z9" s="19"/>
      <c r="AA9" s="15"/>
      <c r="AB9" s="15"/>
      <c r="AC9" s="16"/>
      <c r="AD9" s="17"/>
      <c r="AE9" s="15"/>
      <c r="AF9" s="15"/>
      <c r="AG9" s="18"/>
      <c r="AH9" s="19"/>
      <c r="AI9" s="15"/>
      <c r="AJ9" s="15"/>
      <c r="AK9" s="16"/>
      <c r="AL9" s="17"/>
      <c r="AM9" s="15"/>
      <c r="AN9" s="15"/>
      <c r="AO9" s="18"/>
      <c r="AP9" s="19"/>
      <c r="AQ9" s="15"/>
      <c r="AR9" s="15"/>
      <c r="AS9" s="16"/>
      <c r="AT9" s="17"/>
      <c r="AU9" s="15"/>
      <c r="AV9" s="15"/>
      <c r="AW9" s="16"/>
    </row>
    <row r="10" spans="1:50" ht="15" thickBot="1" x14ac:dyDescent="0.35">
      <c r="A10" s="20" t="s">
        <v>22</v>
      </c>
      <c r="B10" s="21"/>
      <c r="C10" s="22"/>
      <c r="D10" s="22"/>
      <c r="E10" s="27"/>
      <c r="F10" s="45"/>
      <c r="G10" s="22"/>
      <c r="H10" s="22"/>
      <c r="I10" s="28"/>
      <c r="J10" s="29"/>
      <c r="K10" s="22"/>
      <c r="L10" s="22"/>
      <c r="M10" s="27"/>
      <c r="N10" s="21"/>
      <c r="O10" s="22"/>
      <c r="P10" s="22"/>
      <c r="Q10" s="28"/>
      <c r="R10" s="29"/>
      <c r="S10" s="22"/>
      <c r="T10" s="46"/>
      <c r="U10" s="47"/>
      <c r="V10" s="45"/>
      <c r="W10" s="46"/>
      <c r="X10" s="22"/>
      <c r="Y10" s="28"/>
      <c r="Z10" s="29"/>
      <c r="AA10" s="22"/>
      <c r="AB10" s="22"/>
      <c r="AC10" s="27"/>
      <c r="AD10" s="45"/>
      <c r="AE10" s="46"/>
      <c r="AF10" s="46"/>
      <c r="AG10" s="48"/>
      <c r="AH10" s="29"/>
      <c r="AI10" s="22"/>
      <c r="AJ10" s="22"/>
      <c r="AK10" s="27"/>
      <c r="AL10" s="45"/>
      <c r="AM10" s="46"/>
      <c r="AN10" s="46"/>
      <c r="AO10" s="48"/>
      <c r="AP10" s="29"/>
      <c r="AQ10" s="22"/>
      <c r="AR10" s="22"/>
      <c r="AS10" s="27"/>
      <c r="AT10" s="21"/>
      <c r="AU10" s="22"/>
      <c r="AV10" s="22"/>
      <c r="AW10" s="27"/>
      <c r="AX10" s="30"/>
    </row>
    <row r="11" spans="1:50" ht="15" thickBot="1" x14ac:dyDescent="0.35">
      <c r="A11" s="49" t="s">
        <v>23</v>
      </c>
      <c r="B11" s="50"/>
      <c r="C11" s="51"/>
      <c r="D11" s="51"/>
      <c r="E11" s="52"/>
      <c r="F11" s="50"/>
      <c r="G11" s="51"/>
      <c r="H11" s="51"/>
      <c r="I11" s="53"/>
      <c r="J11" s="54"/>
      <c r="K11" s="51"/>
      <c r="L11" s="51"/>
      <c r="M11" s="52"/>
      <c r="N11" s="50"/>
      <c r="O11" s="51"/>
      <c r="P11" s="51"/>
      <c r="Q11" s="53"/>
      <c r="R11" s="54"/>
      <c r="S11" s="51"/>
      <c r="T11" s="51"/>
      <c r="U11" s="52"/>
      <c r="V11" s="50"/>
      <c r="W11" s="51"/>
      <c r="X11" s="51"/>
      <c r="Y11" s="53"/>
      <c r="Z11" s="54"/>
      <c r="AA11" s="51"/>
      <c r="AB11" s="51"/>
      <c r="AC11" s="52"/>
      <c r="AD11" s="50"/>
      <c r="AE11" s="51"/>
      <c r="AF11" s="51"/>
      <c r="AG11" s="53"/>
      <c r="AH11" s="54"/>
      <c r="AI11" s="51"/>
      <c r="AJ11" s="51"/>
      <c r="AK11" s="52"/>
      <c r="AL11" s="50"/>
      <c r="AM11" s="51"/>
      <c r="AN11" s="51"/>
      <c r="AO11" s="53"/>
      <c r="AP11" s="54"/>
      <c r="AQ11" s="51"/>
      <c r="AR11" s="51"/>
      <c r="AS11" s="52"/>
      <c r="AT11" s="50"/>
      <c r="AU11" s="51"/>
      <c r="AV11" s="51"/>
      <c r="AW11" s="52"/>
      <c r="AX11" s="55"/>
    </row>
    <row r="12" spans="1:50" ht="15" thickBot="1" x14ac:dyDescent="0.35">
      <c r="A12" s="49" t="s">
        <v>24</v>
      </c>
      <c r="B12" s="50"/>
      <c r="C12" s="51"/>
      <c r="D12" s="51"/>
      <c r="E12" s="52"/>
      <c r="F12" s="50"/>
      <c r="G12" s="51"/>
      <c r="H12" s="51"/>
      <c r="I12" s="53"/>
      <c r="J12" s="54"/>
      <c r="K12" s="51"/>
      <c r="L12" s="51"/>
      <c r="M12" s="52"/>
      <c r="N12" s="50"/>
      <c r="O12" s="51"/>
      <c r="P12" s="51"/>
      <c r="Q12" s="53"/>
      <c r="R12" s="54"/>
      <c r="S12" s="51"/>
      <c r="T12" s="51"/>
      <c r="U12" s="52"/>
      <c r="V12" s="50"/>
      <c r="W12" s="51"/>
      <c r="X12" s="51"/>
      <c r="Y12" s="53"/>
      <c r="Z12" s="54"/>
      <c r="AA12" s="51"/>
      <c r="AB12" s="51"/>
      <c r="AC12" s="52"/>
      <c r="AD12" s="50"/>
      <c r="AE12" s="51"/>
      <c r="AF12" s="51"/>
      <c r="AG12" s="53"/>
      <c r="AH12" s="54"/>
      <c r="AI12" s="51"/>
      <c r="AJ12" s="51"/>
      <c r="AK12" s="52"/>
      <c r="AL12" s="50"/>
      <c r="AM12" s="51"/>
      <c r="AN12" s="51"/>
      <c r="AO12" s="53"/>
      <c r="AP12" s="54"/>
      <c r="AQ12" s="51"/>
      <c r="AR12" s="51"/>
      <c r="AS12" s="52"/>
      <c r="AT12" s="50"/>
      <c r="AU12" s="51"/>
      <c r="AV12" s="51"/>
      <c r="AW12" s="52"/>
      <c r="AX12" s="55"/>
    </row>
    <row r="13" spans="1:50" ht="15" thickBot="1" x14ac:dyDescent="0.35">
      <c r="A13" s="49" t="s">
        <v>25</v>
      </c>
      <c r="B13" s="50"/>
      <c r="C13" s="51"/>
      <c r="D13" s="51"/>
      <c r="E13" s="52"/>
      <c r="F13" s="50"/>
      <c r="G13" s="51"/>
      <c r="H13" s="51"/>
      <c r="I13" s="53"/>
      <c r="J13" s="54"/>
      <c r="K13" s="51"/>
      <c r="L13" s="51"/>
      <c r="M13" s="52"/>
      <c r="N13" s="50"/>
      <c r="O13" s="51"/>
      <c r="P13" s="51"/>
      <c r="Q13" s="53"/>
      <c r="R13" s="54"/>
      <c r="S13" s="51"/>
      <c r="T13" s="51"/>
      <c r="U13" s="52"/>
      <c r="V13" s="50"/>
      <c r="W13" s="51"/>
      <c r="X13" s="51"/>
      <c r="Y13" s="53"/>
      <c r="Z13" s="54"/>
      <c r="AA13" s="51"/>
      <c r="AB13" s="51"/>
      <c r="AC13" s="52"/>
      <c r="AD13" s="50"/>
      <c r="AE13" s="51"/>
      <c r="AF13" s="51"/>
      <c r="AG13" s="53"/>
      <c r="AH13" s="54"/>
      <c r="AI13" s="51"/>
      <c r="AJ13" s="51"/>
      <c r="AK13" s="52"/>
      <c r="AL13" s="50"/>
      <c r="AM13" s="51"/>
      <c r="AN13" s="51"/>
      <c r="AO13" s="53"/>
      <c r="AP13" s="54"/>
      <c r="AQ13" s="51"/>
      <c r="AR13" s="51"/>
      <c r="AS13" s="52"/>
      <c r="AT13" s="50"/>
      <c r="AU13" s="51"/>
      <c r="AV13" s="51"/>
      <c r="AW13" s="52"/>
      <c r="AX13" s="55"/>
    </row>
    <row r="14" spans="1:50" ht="15" thickBot="1" x14ac:dyDescent="0.35">
      <c r="A14" s="49" t="s">
        <v>26</v>
      </c>
      <c r="B14" s="50"/>
      <c r="C14" s="51"/>
      <c r="D14" s="51"/>
      <c r="E14" s="52"/>
      <c r="F14" s="50"/>
      <c r="G14" s="51"/>
      <c r="H14" s="51"/>
      <c r="I14" s="53"/>
      <c r="J14" s="54"/>
      <c r="K14" s="51"/>
      <c r="L14" s="51"/>
      <c r="M14" s="52"/>
      <c r="N14" s="50"/>
      <c r="O14" s="51"/>
      <c r="P14" s="51"/>
      <c r="Q14" s="53"/>
      <c r="R14" s="54"/>
      <c r="S14" s="51"/>
      <c r="T14" s="51"/>
      <c r="U14" s="52"/>
      <c r="V14" s="50"/>
      <c r="W14" s="51"/>
      <c r="X14" s="51"/>
      <c r="Y14" s="53"/>
      <c r="Z14" s="54"/>
      <c r="AA14" s="51"/>
      <c r="AB14" s="51"/>
      <c r="AC14" s="52"/>
      <c r="AD14" s="50"/>
      <c r="AE14" s="51"/>
      <c r="AF14" s="51"/>
      <c r="AG14" s="53"/>
      <c r="AH14" s="54"/>
      <c r="AI14" s="51"/>
      <c r="AJ14" s="51"/>
      <c r="AK14" s="52"/>
      <c r="AL14" s="50"/>
      <c r="AM14" s="51"/>
      <c r="AN14" s="51"/>
      <c r="AO14" s="53"/>
      <c r="AP14" s="54"/>
      <c r="AQ14" s="51"/>
      <c r="AR14" s="51"/>
      <c r="AS14" s="52"/>
      <c r="AT14" s="50"/>
      <c r="AU14" s="51"/>
      <c r="AV14" s="51"/>
      <c r="AW14" s="52"/>
      <c r="AX14" s="55"/>
    </row>
    <row r="15" spans="1:50" ht="15" thickBot="1" x14ac:dyDescent="0.35">
      <c r="A15" s="39" t="s">
        <v>27</v>
      </c>
      <c r="B15" s="17"/>
      <c r="C15" s="15"/>
      <c r="D15" s="15"/>
      <c r="E15" s="16"/>
      <c r="F15" s="17"/>
      <c r="G15" s="15"/>
      <c r="H15" s="15"/>
      <c r="I15" s="18"/>
      <c r="J15" s="19"/>
      <c r="K15" s="15"/>
      <c r="L15" s="15"/>
      <c r="M15" s="16"/>
      <c r="N15" s="17"/>
      <c r="O15" s="15"/>
      <c r="P15" s="15"/>
      <c r="Q15" s="18"/>
      <c r="R15" s="19"/>
      <c r="S15" s="15"/>
      <c r="T15" s="15"/>
      <c r="U15" s="56"/>
      <c r="V15" s="57"/>
      <c r="W15" s="58"/>
      <c r="X15" s="15"/>
      <c r="Y15" s="18"/>
      <c r="Z15" s="19"/>
      <c r="AA15" s="15"/>
      <c r="AB15" s="58"/>
      <c r="AC15" s="56"/>
      <c r="AD15" s="57"/>
      <c r="AE15" s="15"/>
      <c r="AF15" s="15"/>
      <c r="AG15" s="18"/>
      <c r="AH15" s="19"/>
      <c r="AI15" s="58"/>
      <c r="AJ15" s="58"/>
      <c r="AK15" s="56"/>
      <c r="AL15" s="17"/>
      <c r="AM15" s="15"/>
      <c r="AN15" s="15"/>
      <c r="AO15" s="18"/>
      <c r="AP15" s="59"/>
      <c r="AQ15" s="58"/>
      <c r="AR15" s="58"/>
      <c r="AS15" s="16"/>
      <c r="AT15" s="17"/>
      <c r="AU15" s="15"/>
      <c r="AV15" s="15"/>
      <c r="AW15" s="16"/>
    </row>
    <row r="16" spans="1:50" ht="15" thickBot="1" x14ac:dyDescent="0.35">
      <c r="A16" s="20" t="s">
        <v>28</v>
      </c>
      <c r="B16" s="21"/>
      <c r="C16" s="22"/>
      <c r="D16" s="22"/>
      <c r="E16" s="27"/>
      <c r="F16" s="21"/>
      <c r="G16" s="22"/>
      <c r="H16" s="22"/>
      <c r="I16" s="28"/>
      <c r="J16" s="29"/>
      <c r="K16" s="22"/>
      <c r="L16" s="22"/>
      <c r="M16" s="27"/>
      <c r="N16" s="21"/>
      <c r="O16" s="22"/>
      <c r="P16" s="22"/>
      <c r="Q16" s="28"/>
      <c r="R16" s="29"/>
      <c r="S16" s="22"/>
      <c r="T16" s="51"/>
      <c r="U16" s="52"/>
      <c r="V16" s="60"/>
      <c r="W16" s="61"/>
      <c r="X16" s="61"/>
      <c r="Y16" s="53"/>
      <c r="Z16" s="54"/>
      <c r="AA16" s="51"/>
      <c r="AB16" s="51"/>
      <c r="AC16" s="52"/>
      <c r="AD16" s="50"/>
      <c r="AE16" s="61"/>
      <c r="AF16" s="61"/>
      <c r="AG16" s="53"/>
      <c r="AH16" s="54"/>
      <c r="AI16" s="51"/>
      <c r="AJ16" s="51"/>
      <c r="AK16" s="52"/>
      <c r="AL16" s="61"/>
      <c r="AM16" s="61"/>
      <c r="AN16" s="51"/>
      <c r="AO16" s="53"/>
      <c r="AP16" s="62"/>
      <c r="AQ16" s="63"/>
      <c r="AR16" s="63"/>
      <c r="AS16" s="27"/>
      <c r="AT16" s="21"/>
      <c r="AU16" s="22"/>
      <c r="AV16" s="22"/>
      <c r="AW16" s="27"/>
      <c r="AX16" s="30"/>
    </row>
    <row r="17" spans="1:50" ht="15" thickBot="1" x14ac:dyDescent="0.35">
      <c r="A17" s="39" t="s">
        <v>29</v>
      </c>
      <c r="B17" s="17"/>
      <c r="C17" s="15"/>
      <c r="D17" s="15"/>
      <c r="E17" s="16"/>
      <c r="F17" s="17"/>
      <c r="G17" s="15"/>
      <c r="H17" s="15"/>
      <c r="I17" s="18"/>
      <c r="J17" s="19"/>
      <c r="K17" s="15"/>
      <c r="L17" s="15"/>
      <c r="M17" s="16"/>
      <c r="N17" s="17"/>
      <c r="O17" s="15"/>
      <c r="P17" s="15"/>
      <c r="Q17" s="18"/>
      <c r="R17" s="19"/>
      <c r="S17" s="15"/>
      <c r="T17" s="15"/>
      <c r="U17" s="16"/>
      <c r="V17" s="17"/>
      <c r="W17" s="15"/>
      <c r="X17" s="15"/>
      <c r="Y17" s="64"/>
      <c r="Z17" s="65"/>
      <c r="AA17" s="66"/>
      <c r="AB17" s="15"/>
      <c r="AC17" s="16"/>
      <c r="AD17" s="17"/>
      <c r="AE17" s="66"/>
      <c r="AF17" s="66"/>
      <c r="AG17" s="64"/>
      <c r="AH17" s="19"/>
      <c r="AI17" s="15"/>
      <c r="AJ17" s="15"/>
      <c r="AK17" s="67"/>
      <c r="AL17" s="68"/>
      <c r="AM17" s="66"/>
      <c r="AN17" s="15"/>
      <c r="AO17" s="18"/>
      <c r="AP17" s="19"/>
      <c r="AQ17" s="15"/>
      <c r="AR17" s="15"/>
      <c r="AS17" s="16"/>
      <c r="AT17" s="17"/>
      <c r="AU17" s="15"/>
      <c r="AV17" s="15"/>
      <c r="AW17" s="16"/>
    </row>
    <row r="18" spans="1:50" ht="15" thickBot="1" x14ac:dyDescent="0.35">
      <c r="A18" s="20" t="s">
        <v>30</v>
      </c>
      <c r="B18" s="21"/>
      <c r="C18" s="22"/>
      <c r="D18" s="22"/>
      <c r="E18" s="27"/>
      <c r="F18" s="21"/>
      <c r="G18" s="22"/>
      <c r="H18" s="22"/>
      <c r="I18" s="28"/>
      <c r="J18" s="29"/>
      <c r="K18" s="22"/>
      <c r="L18" s="22"/>
      <c r="M18" s="27"/>
      <c r="N18" s="21"/>
      <c r="O18" s="22"/>
      <c r="P18" s="22"/>
      <c r="Q18" s="28"/>
      <c r="R18" s="29"/>
      <c r="S18" s="22"/>
      <c r="T18" s="22"/>
      <c r="U18" s="27"/>
      <c r="V18" s="69"/>
      <c r="W18" s="70"/>
      <c r="X18" s="70"/>
      <c r="Y18" s="71"/>
      <c r="Z18" s="72"/>
      <c r="AA18" s="70"/>
      <c r="AB18" s="22"/>
      <c r="AC18" s="27"/>
      <c r="AD18" s="21"/>
      <c r="AE18" s="22"/>
      <c r="AF18" s="22"/>
      <c r="AG18" s="28"/>
      <c r="AH18" s="29"/>
      <c r="AI18" s="22"/>
      <c r="AJ18" s="22"/>
      <c r="AK18" s="27"/>
      <c r="AL18" s="21"/>
      <c r="AM18" s="22"/>
      <c r="AN18" s="22"/>
      <c r="AO18" s="28"/>
      <c r="AP18" s="29"/>
      <c r="AQ18" s="22"/>
      <c r="AR18" s="22"/>
      <c r="AS18" s="27"/>
      <c r="AT18" s="21"/>
      <c r="AU18" s="22"/>
      <c r="AV18" s="22"/>
      <c r="AW18" s="27"/>
      <c r="AX18" s="30"/>
    </row>
    <row r="19" spans="1:50" ht="15" thickBot="1" x14ac:dyDescent="0.35">
      <c r="A19" s="39" t="s">
        <v>31</v>
      </c>
      <c r="B19" s="17"/>
      <c r="C19" s="15"/>
      <c r="D19" s="15"/>
      <c r="E19" s="16"/>
      <c r="F19" s="17"/>
      <c r="G19" s="15"/>
      <c r="H19" s="15"/>
      <c r="I19" s="18"/>
      <c r="J19" s="19"/>
      <c r="K19" s="15"/>
      <c r="L19" s="15"/>
      <c r="M19" s="16"/>
      <c r="N19" s="17"/>
      <c r="O19" s="15"/>
      <c r="P19" s="15"/>
      <c r="Q19" s="18"/>
      <c r="R19" s="19"/>
      <c r="S19" s="15"/>
      <c r="T19" s="15"/>
      <c r="U19" s="16"/>
      <c r="V19" s="73"/>
      <c r="W19" s="74"/>
      <c r="X19" s="74"/>
      <c r="Y19" s="75"/>
      <c r="Z19" s="76"/>
      <c r="AA19" s="74"/>
      <c r="AB19" s="15"/>
      <c r="AC19" s="16"/>
      <c r="AD19" s="17"/>
      <c r="AE19" s="15"/>
      <c r="AF19" s="15"/>
      <c r="AG19" s="18"/>
      <c r="AH19" s="19"/>
      <c r="AI19" s="15"/>
      <c r="AJ19" s="15"/>
      <c r="AK19" s="16"/>
      <c r="AL19" s="17"/>
      <c r="AM19" s="15"/>
      <c r="AN19" s="15"/>
      <c r="AO19" s="18"/>
      <c r="AP19" s="19"/>
      <c r="AQ19" s="15"/>
      <c r="AR19" s="15"/>
      <c r="AS19" s="16"/>
      <c r="AT19" s="17"/>
      <c r="AU19" s="15"/>
      <c r="AV19" s="15"/>
      <c r="AW19" s="16"/>
    </row>
    <row r="20" spans="1:50" ht="15" thickBot="1" x14ac:dyDescent="0.35">
      <c r="A20" s="20" t="s">
        <v>32</v>
      </c>
      <c r="B20" s="21"/>
      <c r="C20" s="22"/>
      <c r="D20" s="22"/>
      <c r="E20" s="27"/>
      <c r="F20" s="21"/>
      <c r="G20" s="22"/>
      <c r="H20" s="22"/>
      <c r="I20" s="28"/>
      <c r="J20" s="29"/>
      <c r="K20" s="22"/>
      <c r="L20" s="22"/>
      <c r="M20" s="27"/>
      <c r="N20" s="21"/>
      <c r="O20" s="22"/>
      <c r="P20" s="22"/>
      <c r="Q20" s="28"/>
      <c r="R20" s="29"/>
      <c r="S20" s="22"/>
      <c r="T20" s="22"/>
      <c r="U20" s="27"/>
      <c r="V20" s="21"/>
      <c r="W20" s="22"/>
      <c r="X20" s="22"/>
      <c r="Y20" s="28"/>
      <c r="Z20" s="29"/>
      <c r="AA20" s="22"/>
      <c r="AB20" s="22"/>
      <c r="AC20" s="27"/>
      <c r="AD20" s="21"/>
      <c r="AE20" s="22"/>
      <c r="AF20" s="22"/>
      <c r="AG20" s="28"/>
      <c r="AH20" s="29"/>
      <c r="AI20" s="22"/>
      <c r="AJ20" s="22"/>
      <c r="AK20" s="27"/>
      <c r="AL20" s="21"/>
      <c r="AM20" s="22"/>
      <c r="AN20" s="22"/>
      <c r="AO20" s="28"/>
      <c r="AP20" s="77"/>
      <c r="AQ20" s="78"/>
      <c r="AR20" s="78"/>
      <c r="AS20" s="79"/>
      <c r="AT20" s="21"/>
      <c r="AU20" s="22"/>
      <c r="AV20" s="22"/>
      <c r="AW20" s="27"/>
      <c r="AX20" s="30"/>
    </row>
    <row r="21" spans="1:50" ht="15" thickBot="1" x14ac:dyDescent="0.35">
      <c r="A21" s="20" t="s">
        <v>33</v>
      </c>
      <c r="B21" s="80"/>
      <c r="C21" s="81"/>
      <c r="D21" s="22"/>
      <c r="E21" s="27"/>
      <c r="F21" s="21"/>
      <c r="G21" s="22"/>
      <c r="H21" s="22"/>
      <c r="I21" s="28"/>
      <c r="J21" s="29"/>
      <c r="K21" s="22"/>
      <c r="L21" s="22"/>
      <c r="M21" s="27"/>
      <c r="N21" s="21"/>
      <c r="O21" s="22"/>
      <c r="P21" s="22"/>
      <c r="Q21" s="28"/>
      <c r="R21" s="29"/>
      <c r="S21" s="22"/>
      <c r="T21" s="22"/>
      <c r="U21" s="27"/>
      <c r="V21" s="21"/>
      <c r="W21" s="22"/>
      <c r="X21" s="22"/>
      <c r="Y21" s="28"/>
      <c r="Z21" s="29"/>
      <c r="AA21" s="22"/>
      <c r="AB21" s="22"/>
      <c r="AC21" s="27"/>
      <c r="AD21" s="21"/>
      <c r="AE21" s="22"/>
      <c r="AF21" s="22"/>
      <c r="AG21" s="28"/>
      <c r="AH21" s="29"/>
      <c r="AI21" s="22"/>
      <c r="AJ21" s="22"/>
      <c r="AK21" s="27"/>
      <c r="AL21" s="21"/>
      <c r="AM21" s="22"/>
      <c r="AN21" s="22"/>
      <c r="AO21" s="28"/>
      <c r="AP21" s="29"/>
      <c r="AQ21" s="22"/>
      <c r="AR21" s="22"/>
      <c r="AS21" s="27"/>
      <c r="AT21" s="21"/>
      <c r="AU21" s="22"/>
      <c r="AV21" s="22"/>
      <c r="AW21" s="82"/>
      <c r="AX21" s="30"/>
    </row>
    <row r="22" spans="1:50" ht="15" thickBot="1" x14ac:dyDescent="0.35">
      <c r="A22" s="31"/>
      <c r="B22" s="32"/>
      <c r="C22" s="33"/>
      <c r="D22" s="33"/>
      <c r="E22" s="34"/>
      <c r="F22" s="32"/>
      <c r="G22" s="33"/>
      <c r="H22" s="33"/>
      <c r="I22" s="35"/>
      <c r="J22" s="36"/>
      <c r="K22" s="33"/>
      <c r="L22" s="33"/>
      <c r="M22" s="34"/>
      <c r="N22" s="32"/>
      <c r="O22" s="33"/>
      <c r="P22" s="33"/>
      <c r="Q22" s="35"/>
      <c r="R22" s="36"/>
      <c r="S22" s="33"/>
      <c r="T22" s="33"/>
      <c r="U22" s="34"/>
      <c r="V22" s="32"/>
      <c r="W22" s="33"/>
      <c r="X22" s="33"/>
      <c r="Y22" s="35"/>
      <c r="Z22" s="36"/>
      <c r="AA22" s="33"/>
      <c r="AB22" s="33"/>
      <c r="AC22" s="34"/>
      <c r="AD22" s="32"/>
      <c r="AE22" s="33"/>
      <c r="AF22" s="33"/>
      <c r="AG22" s="35"/>
      <c r="AH22" s="36"/>
      <c r="AI22" s="33"/>
      <c r="AJ22" s="33"/>
      <c r="AK22" s="34"/>
      <c r="AL22" s="32"/>
      <c r="AM22" s="33"/>
      <c r="AN22" s="33"/>
      <c r="AO22" s="35"/>
      <c r="AP22" s="36"/>
      <c r="AQ22" s="33"/>
      <c r="AR22" s="33"/>
      <c r="AS22" s="34"/>
      <c r="AT22" s="32"/>
      <c r="AU22" s="33"/>
      <c r="AV22" s="33"/>
      <c r="AW22" s="34"/>
    </row>
  </sheetData>
  <mergeCells count="12">
    <mergeCell ref="AT4:AW4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31D3-58E8-4A5D-A12D-E0E1DCFB0F12}">
  <dimension ref="A3:AX22"/>
  <sheetViews>
    <sheetView workbookViewId="0">
      <selection activeCell="A4" sqref="A4:AX22"/>
    </sheetView>
  </sheetViews>
  <sheetFormatPr baseColWidth="10" defaultRowHeight="14.4" x14ac:dyDescent="0.3"/>
  <sheetData>
    <row r="3" spans="1:50" ht="15" thickBot="1" x14ac:dyDescent="0.35"/>
    <row r="4" spans="1:50" x14ac:dyDescent="0.3">
      <c r="A4" s="1"/>
      <c r="B4" s="142" t="s">
        <v>6</v>
      </c>
      <c r="C4" s="143"/>
      <c r="D4" s="143"/>
      <c r="E4" s="144"/>
      <c r="F4" s="145" t="s">
        <v>7</v>
      </c>
      <c r="G4" s="143"/>
      <c r="H4" s="143"/>
      <c r="I4" s="146"/>
      <c r="J4" s="142" t="s">
        <v>8</v>
      </c>
      <c r="K4" s="143"/>
      <c r="L4" s="143"/>
      <c r="M4" s="144"/>
      <c r="N4" s="145" t="s">
        <v>9</v>
      </c>
      <c r="O4" s="143"/>
      <c r="P4" s="143"/>
      <c r="Q4" s="146"/>
      <c r="R4" s="142" t="s">
        <v>10</v>
      </c>
      <c r="S4" s="143"/>
      <c r="T4" s="143"/>
      <c r="U4" s="144"/>
      <c r="V4" s="145" t="s">
        <v>11</v>
      </c>
      <c r="W4" s="143"/>
      <c r="X4" s="143"/>
      <c r="Y4" s="146"/>
      <c r="Z4" s="142" t="s">
        <v>12</v>
      </c>
      <c r="AA4" s="143"/>
      <c r="AB4" s="143"/>
      <c r="AC4" s="144"/>
      <c r="AD4" s="145" t="s">
        <v>13</v>
      </c>
      <c r="AE4" s="143"/>
      <c r="AF4" s="143"/>
      <c r="AG4" s="146"/>
      <c r="AH4" s="142" t="s">
        <v>14</v>
      </c>
      <c r="AI4" s="143"/>
      <c r="AJ4" s="143"/>
      <c r="AK4" s="144"/>
      <c r="AL4" s="145" t="s">
        <v>15</v>
      </c>
      <c r="AM4" s="143"/>
      <c r="AN4" s="143"/>
      <c r="AO4" s="146"/>
      <c r="AP4" s="142" t="s">
        <v>16</v>
      </c>
      <c r="AQ4" s="143"/>
      <c r="AR4" s="143"/>
      <c r="AS4" s="144"/>
      <c r="AT4" s="145" t="s">
        <v>17</v>
      </c>
      <c r="AU4" s="143"/>
      <c r="AV4" s="143"/>
      <c r="AW4" s="144"/>
      <c r="AX4" s="2"/>
    </row>
    <row r="5" spans="1:50" ht="15" thickBot="1" x14ac:dyDescent="0.35">
      <c r="A5" s="3" t="s">
        <v>18</v>
      </c>
      <c r="B5" s="4">
        <v>1</v>
      </c>
      <c r="C5" s="5">
        <v>2</v>
      </c>
      <c r="D5" s="5">
        <v>3</v>
      </c>
      <c r="E5" s="6">
        <v>4</v>
      </c>
      <c r="F5" s="7">
        <v>1</v>
      </c>
      <c r="G5" s="5">
        <v>2</v>
      </c>
      <c r="H5" s="5">
        <v>3</v>
      </c>
      <c r="I5" s="8">
        <v>4</v>
      </c>
      <c r="J5" s="4">
        <v>1</v>
      </c>
      <c r="K5" s="5">
        <v>2</v>
      </c>
      <c r="L5" s="5">
        <v>3</v>
      </c>
      <c r="M5" s="6">
        <v>4</v>
      </c>
      <c r="N5" s="7">
        <v>1</v>
      </c>
      <c r="O5" s="5">
        <v>2</v>
      </c>
      <c r="P5" s="5">
        <v>3</v>
      </c>
      <c r="Q5" s="8">
        <v>4</v>
      </c>
      <c r="R5" s="4">
        <v>1</v>
      </c>
      <c r="S5" s="5">
        <v>2</v>
      </c>
      <c r="T5" s="5">
        <v>3</v>
      </c>
      <c r="U5" s="6">
        <v>4</v>
      </c>
      <c r="V5" s="7">
        <v>1</v>
      </c>
      <c r="W5" s="5">
        <v>2</v>
      </c>
      <c r="X5" s="5">
        <v>3</v>
      </c>
      <c r="Y5" s="8">
        <v>4</v>
      </c>
      <c r="Z5" s="4">
        <v>1</v>
      </c>
      <c r="AA5" s="5">
        <v>2</v>
      </c>
      <c r="AB5" s="5">
        <v>3</v>
      </c>
      <c r="AC5" s="6">
        <v>4</v>
      </c>
      <c r="AD5" s="7">
        <v>1</v>
      </c>
      <c r="AE5" s="5">
        <v>2</v>
      </c>
      <c r="AF5" s="5">
        <v>3</v>
      </c>
      <c r="AG5" s="8">
        <v>4</v>
      </c>
      <c r="AH5" s="4">
        <v>1</v>
      </c>
      <c r="AI5" s="5">
        <v>2</v>
      </c>
      <c r="AJ5" s="5">
        <v>3</v>
      </c>
      <c r="AK5" s="6">
        <v>4</v>
      </c>
      <c r="AL5" s="7">
        <v>1</v>
      </c>
      <c r="AM5" s="5">
        <v>2</v>
      </c>
      <c r="AN5" s="5">
        <v>3</v>
      </c>
      <c r="AO5" s="8">
        <v>4</v>
      </c>
      <c r="AP5" s="4">
        <v>1</v>
      </c>
      <c r="AQ5" s="5">
        <v>2</v>
      </c>
      <c r="AR5" s="5">
        <v>3</v>
      </c>
      <c r="AS5" s="6">
        <v>4</v>
      </c>
      <c r="AT5" s="7">
        <v>1</v>
      </c>
      <c r="AU5" s="5">
        <v>2</v>
      </c>
      <c r="AV5" s="5">
        <v>3</v>
      </c>
      <c r="AW5" s="6">
        <v>4</v>
      </c>
      <c r="AX5" s="2"/>
    </row>
    <row r="6" spans="1:50" ht="15" thickBot="1" x14ac:dyDescent="0.35">
      <c r="A6" s="9" t="s">
        <v>19</v>
      </c>
      <c r="B6" s="10"/>
      <c r="C6" s="11"/>
      <c r="D6" s="11"/>
      <c r="E6" s="12"/>
      <c r="F6" s="10"/>
      <c r="G6" s="11"/>
      <c r="H6" s="11"/>
      <c r="I6" s="13"/>
      <c r="J6" s="14"/>
      <c r="K6" s="11"/>
      <c r="L6" s="15"/>
      <c r="M6" s="16"/>
      <c r="N6" s="17"/>
      <c r="O6" s="15"/>
      <c r="P6" s="15"/>
      <c r="Q6" s="18"/>
      <c r="R6" s="19"/>
      <c r="S6" s="15"/>
      <c r="T6" s="15"/>
      <c r="U6" s="16"/>
      <c r="V6" s="17"/>
      <c r="W6" s="15"/>
      <c r="X6" s="15"/>
      <c r="Y6" s="18"/>
      <c r="Z6" s="19"/>
      <c r="AA6" s="15"/>
      <c r="AB6" s="15"/>
      <c r="AC6" s="16"/>
      <c r="AD6" s="17"/>
      <c r="AE6" s="15"/>
      <c r="AF6" s="15"/>
      <c r="AG6" s="18"/>
      <c r="AH6" s="19"/>
      <c r="AI6" s="15"/>
      <c r="AJ6" s="15"/>
      <c r="AK6" s="16"/>
      <c r="AL6" s="17"/>
      <c r="AM6" s="15"/>
      <c r="AN6" s="15"/>
      <c r="AO6" s="18"/>
      <c r="AP6" s="19"/>
      <c r="AQ6" s="15"/>
      <c r="AR6" s="11"/>
      <c r="AS6" s="12"/>
      <c r="AT6" s="10"/>
      <c r="AU6" s="11"/>
      <c r="AV6" s="11"/>
      <c r="AW6" s="13"/>
    </row>
    <row r="7" spans="1:50" ht="15" thickBot="1" x14ac:dyDescent="0.35">
      <c r="A7" s="20" t="s">
        <v>18</v>
      </c>
      <c r="B7" s="21"/>
      <c r="C7" s="22"/>
      <c r="D7" s="22"/>
      <c r="E7" s="23"/>
      <c r="F7" s="21"/>
      <c r="G7" s="22"/>
      <c r="H7" s="24"/>
      <c r="I7" s="25"/>
      <c r="J7" s="26"/>
      <c r="K7" s="24"/>
      <c r="L7" s="22"/>
      <c r="M7" s="27"/>
      <c r="N7" s="21"/>
      <c r="O7" s="22"/>
      <c r="P7" s="22"/>
      <c r="Q7" s="28"/>
      <c r="R7" s="29"/>
      <c r="S7" s="22"/>
      <c r="T7" s="22"/>
      <c r="U7" s="27"/>
      <c r="V7" s="21"/>
      <c r="W7" s="22"/>
      <c r="X7" s="22"/>
      <c r="Y7" s="28"/>
      <c r="Z7" s="29"/>
      <c r="AA7" s="22"/>
      <c r="AB7" s="22"/>
      <c r="AC7" s="27"/>
      <c r="AD7" s="21"/>
      <c r="AE7" s="22"/>
      <c r="AF7" s="22"/>
      <c r="AG7" s="28"/>
      <c r="AH7" s="29"/>
      <c r="AI7" s="22"/>
      <c r="AJ7" s="22"/>
      <c r="AK7" s="27"/>
      <c r="AL7" s="21"/>
      <c r="AM7" s="22"/>
      <c r="AN7" s="22"/>
      <c r="AO7" s="28"/>
      <c r="AP7" s="29"/>
      <c r="AQ7" s="22"/>
      <c r="AR7" s="22"/>
      <c r="AS7" s="27"/>
      <c r="AT7" s="21"/>
      <c r="AU7" s="22"/>
      <c r="AV7" s="22"/>
      <c r="AW7" s="27"/>
      <c r="AX7" s="30"/>
    </row>
    <row r="8" spans="1:50" ht="15" thickBot="1" x14ac:dyDescent="0.35">
      <c r="A8" s="31" t="s">
        <v>20</v>
      </c>
      <c r="B8" s="32"/>
      <c r="C8" s="33"/>
      <c r="D8" s="33"/>
      <c r="E8" s="34"/>
      <c r="F8" s="32"/>
      <c r="G8" s="33"/>
      <c r="H8" s="33"/>
      <c r="I8" s="35"/>
      <c r="J8" s="36"/>
      <c r="K8" s="33"/>
      <c r="L8" s="33"/>
      <c r="M8" s="34"/>
      <c r="N8" s="32"/>
      <c r="O8" s="33"/>
      <c r="P8" s="33"/>
      <c r="Q8" s="35"/>
      <c r="R8" s="36"/>
      <c r="S8" s="33"/>
      <c r="T8" s="33"/>
      <c r="U8" s="34"/>
      <c r="V8" s="32"/>
      <c r="W8" s="33"/>
      <c r="X8" s="33"/>
      <c r="Y8" s="35"/>
      <c r="Z8" s="36"/>
      <c r="AA8" s="33"/>
      <c r="AB8" s="33"/>
      <c r="AC8" s="34"/>
      <c r="AD8" s="32"/>
      <c r="AE8" s="33"/>
      <c r="AF8" s="33"/>
      <c r="AG8" s="35"/>
      <c r="AH8" s="37"/>
      <c r="AI8" s="38"/>
      <c r="AJ8" s="33"/>
      <c r="AK8" s="34"/>
      <c r="AL8" s="32"/>
      <c r="AM8" s="33"/>
      <c r="AN8" s="33"/>
      <c r="AO8" s="35"/>
      <c r="AP8" s="36"/>
      <c r="AQ8" s="33"/>
      <c r="AR8" s="33"/>
      <c r="AS8" s="34"/>
      <c r="AT8" s="32"/>
      <c r="AU8" s="33"/>
      <c r="AV8" s="33"/>
      <c r="AW8" s="34"/>
    </row>
    <row r="9" spans="1:50" ht="15" thickBot="1" x14ac:dyDescent="0.35">
      <c r="A9" s="39" t="s">
        <v>21</v>
      </c>
      <c r="B9" s="17"/>
      <c r="C9" s="15"/>
      <c r="D9" s="15"/>
      <c r="E9" s="16"/>
      <c r="F9" s="17"/>
      <c r="G9" s="15"/>
      <c r="H9" s="15"/>
      <c r="I9" s="18"/>
      <c r="J9" s="19"/>
      <c r="K9" s="15"/>
      <c r="L9" s="40"/>
      <c r="M9" s="41"/>
      <c r="N9" s="42"/>
      <c r="O9" s="40"/>
      <c r="P9" s="40"/>
      <c r="Q9" s="43"/>
      <c r="R9" s="44"/>
      <c r="S9" s="40"/>
      <c r="T9" s="15"/>
      <c r="U9" s="16"/>
      <c r="V9" s="17"/>
      <c r="W9" s="15"/>
      <c r="X9" s="15"/>
      <c r="Y9" s="18"/>
      <c r="Z9" s="19"/>
      <c r="AA9" s="15"/>
      <c r="AB9" s="15"/>
      <c r="AC9" s="16"/>
      <c r="AD9" s="17"/>
      <c r="AE9" s="15"/>
      <c r="AF9" s="15"/>
      <c r="AG9" s="18"/>
      <c r="AH9" s="19"/>
      <c r="AI9" s="15"/>
      <c r="AJ9" s="15"/>
      <c r="AK9" s="16"/>
      <c r="AL9" s="17"/>
      <c r="AM9" s="15"/>
      <c r="AN9" s="15"/>
      <c r="AO9" s="18"/>
      <c r="AP9" s="19"/>
      <c r="AQ9" s="15"/>
      <c r="AR9" s="15"/>
      <c r="AS9" s="16"/>
      <c r="AT9" s="17"/>
      <c r="AU9" s="15"/>
      <c r="AV9" s="15"/>
      <c r="AW9" s="16"/>
    </row>
    <row r="10" spans="1:50" ht="15" thickBot="1" x14ac:dyDescent="0.35">
      <c r="A10" s="20" t="s">
        <v>22</v>
      </c>
      <c r="B10" s="21"/>
      <c r="C10" s="22"/>
      <c r="D10" s="22"/>
      <c r="E10" s="27"/>
      <c r="F10" s="45"/>
      <c r="G10" s="22"/>
      <c r="H10" s="22"/>
      <c r="I10" s="28"/>
      <c r="J10" s="29"/>
      <c r="K10" s="22"/>
      <c r="L10" s="22"/>
      <c r="M10" s="27"/>
      <c r="N10" s="21"/>
      <c r="O10" s="22"/>
      <c r="P10" s="22"/>
      <c r="Q10" s="28"/>
      <c r="R10" s="29"/>
      <c r="S10" s="22"/>
      <c r="T10" s="46"/>
      <c r="U10" s="47"/>
      <c r="V10" s="45"/>
      <c r="W10" s="46"/>
      <c r="X10" s="22"/>
      <c r="Y10" s="28"/>
      <c r="Z10" s="29"/>
      <c r="AA10" s="22"/>
      <c r="AB10" s="22"/>
      <c r="AC10" s="27"/>
      <c r="AD10" s="45"/>
      <c r="AE10" s="46"/>
      <c r="AF10" s="46"/>
      <c r="AG10" s="48"/>
      <c r="AH10" s="29"/>
      <c r="AI10" s="22"/>
      <c r="AJ10" s="22"/>
      <c r="AK10" s="27"/>
      <c r="AL10" s="45"/>
      <c r="AM10" s="46"/>
      <c r="AN10" s="46"/>
      <c r="AO10" s="48"/>
      <c r="AP10" s="29"/>
      <c r="AQ10" s="22"/>
      <c r="AR10" s="22"/>
      <c r="AS10" s="27"/>
      <c r="AT10" s="21"/>
      <c r="AU10" s="22"/>
      <c r="AV10" s="22"/>
      <c r="AW10" s="27"/>
      <c r="AX10" s="30"/>
    </row>
    <row r="11" spans="1:50" ht="15" thickBot="1" x14ac:dyDescent="0.35">
      <c r="A11" s="49" t="s">
        <v>23</v>
      </c>
      <c r="B11" s="50"/>
      <c r="C11" s="51"/>
      <c r="D11" s="51"/>
      <c r="E11" s="52"/>
      <c r="F11" s="50"/>
      <c r="G11" s="51"/>
      <c r="H11" s="51"/>
      <c r="I11" s="53"/>
      <c r="J11" s="54"/>
      <c r="K11" s="51"/>
      <c r="L11" s="51"/>
      <c r="M11" s="52"/>
      <c r="N11" s="50"/>
      <c r="O11" s="51"/>
      <c r="P11" s="51"/>
      <c r="Q11" s="53"/>
      <c r="R11" s="54"/>
      <c r="S11" s="51"/>
      <c r="T11" s="51"/>
      <c r="U11" s="52"/>
      <c r="V11" s="50"/>
      <c r="W11" s="51"/>
      <c r="X11" s="51"/>
      <c r="Y11" s="53"/>
      <c r="Z11" s="54"/>
      <c r="AA11" s="51"/>
      <c r="AB11" s="51"/>
      <c r="AC11" s="52"/>
      <c r="AD11" s="50"/>
      <c r="AE11" s="51"/>
      <c r="AF11" s="51"/>
      <c r="AG11" s="53"/>
      <c r="AH11" s="54"/>
      <c r="AI11" s="51"/>
      <c r="AJ11" s="51"/>
      <c r="AK11" s="52"/>
      <c r="AL11" s="50"/>
      <c r="AM11" s="51"/>
      <c r="AN11" s="51"/>
      <c r="AO11" s="53"/>
      <c r="AP11" s="54"/>
      <c r="AQ11" s="51"/>
      <c r="AR11" s="51"/>
      <c r="AS11" s="52"/>
      <c r="AT11" s="50"/>
      <c r="AU11" s="51"/>
      <c r="AV11" s="51"/>
      <c r="AW11" s="52"/>
      <c r="AX11" s="55"/>
    </row>
    <row r="12" spans="1:50" ht="15" thickBot="1" x14ac:dyDescent="0.35">
      <c r="A12" s="49" t="s">
        <v>24</v>
      </c>
      <c r="B12" s="50"/>
      <c r="C12" s="51"/>
      <c r="D12" s="51"/>
      <c r="E12" s="52"/>
      <c r="F12" s="50"/>
      <c r="G12" s="51"/>
      <c r="H12" s="51"/>
      <c r="I12" s="53"/>
      <c r="J12" s="54"/>
      <c r="K12" s="51"/>
      <c r="L12" s="51"/>
      <c r="M12" s="52"/>
      <c r="N12" s="50"/>
      <c r="O12" s="51"/>
      <c r="P12" s="51"/>
      <c r="Q12" s="53"/>
      <c r="R12" s="54"/>
      <c r="S12" s="51"/>
      <c r="T12" s="51"/>
      <c r="U12" s="52"/>
      <c r="V12" s="50"/>
      <c r="W12" s="51"/>
      <c r="X12" s="51"/>
      <c r="Y12" s="53"/>
      <c r="Z12" s="54"/>
      <c r="AA12" s="51"/>
      <c r="AB12" s="51"/>
      <c r="AC12" s="52"/>
      <c r="AD12" s="50"/>
      <c r="AE12" s="51"/>
      <c r="AF12" s="51"/>
      <c r="AG12" s="53"/>
      <c r="AH12" s="54"/>
      <c r="AI12" s="51"/>
      <c r="AJ12" s="51"/>
      <c r="AK12" s="52"/>
      <c r="AL12" s="50"/>
      <c r="AM12" s="51"/>
      <c r="AN12" s="51"/>
      <c r="AO12" s="53"/>
      <c r="AP12" s="54"/>
      <c r="AQ12" s="51"/>
      <c r="AR12" s="51"/>
      <c r="AS12" s="52"/>
      <c r="AT12" s="50"/>
      <c r="AU12" s="51"/>
      <c r="AV12" s="51"/>
      <c r="AW12" s="52"/>
      <c r="AX12" s="55"/>
    </row>
    <row r="13" spans="1:50" ht="15" thickBot="1" x14ac:dyDescent="0.35">
      <c r="A13" s="49" t="s">
        <v>25</v>
      </c>
      <c r="B13" s="50"/>
      <c r="C13" s="51"/>
      <c r="D13" s="51"/>
      <c r="E13" s="52"/>
      <c r="F13" s="50"/>
      <c r="G13" s="51"/>
      <c r="H13" s="51"/>
      <c r="I13" s="53"/>
      <c r="J13" s="54"/>
      <c r="K13" s="51"/>
      <c r="L13" s="51"/>
      <c r="M13" s="52"/>
      <c r="N13" s="50"/>
      <c r="O13" s="51"/>
      <c r="P13" s="51"/>
      <c r="Q13" s="53"/>
      <c r="R13" s="54"/>
      <c r="S13" s="51"/>
      <c r="T13" s="51"/>
      <c r="U13" s="52"/>
      <c r="V13" s="50"/>
      <c r="W13" s="51"/>
      <c r="X13" s="51"/>
      <c r="Y13" s="53"/>
      <c r="Z13" s="54"/>
      <c r="AA13" s="51"/>
      <c r="AB13" s="51"/>
      <c r="AC13" s="52"/>
      <c r="AD13" s="50"/>
      <c r="AE13" s="51"/>
      <c r="AF13" s="51"/>
      <c r="AG13" s="53"/>
      <c r="AH13" s="54"/>
      <c r="AI13" s="51"/>
      <c r="AJ13" s="51"/>
      <c r="AK13" s="52"/>
      <c r="AL13" s="50"/>
      <c r="AM13" s="51"/>
      <c r="AN13" s="51"/>
      <c r="AO13" s="53"/>
      <c r="AP13" s="54"/>
      <c r="AQ13" s="51"/>
      <c r="AR13" s="51"/>
      <c r="AS13" s="52"/>
      <c r="AT13" s="50"/>
      <c r="AU13" s="51"/>
      <c r="AV13" s="51"/>
      <c r="AW13" s="52"/>
      <c r="AX13" s="55"/>
    </row>
    <row r="14" spans="1:50" ht="15" thickBot="1" x14ac:dyDescent="0.35">
      <c r="A14" s="49" t="s">
        <v>26</v>
      </c>
      <c r="B14" s="50"/>
      <c r="C14" s="51"/>
      <c r="D14" s="51"/>
      <c r="E14" s="52"/>
      <c r="F14" s="50"/>
      <c r="G14" s="51"/>
      <c r="H14" s="51"/>
      <c r="I14" s="53"/>
      <c r="J14" s="54"/>
      <c r="K14" s="51"/>
      <c r="L14" s="51"/>
      <c r="M14" s="52"/>
      <c r="N14" s="50"/>
      <c r="O14" s="51"/>
      <c r="P14" s="51"/>
      <c r="Q14" s="53"/>
      <c r="R14" s="54"/>
      <c r="S14" s="51"/>
      <c r="T14" s="51"/>
      <c r="U14" s="52"/>
      <c r="V14" s="50"/>
      <c r="W14" s="51"/>
      <c r="X14" s="51"/>
      <c r="Y14" s="53"/>
      <c r="Z14" s="54"/>
      <c r="AA14" s="51"/>
      <c r="AB14" s="51"/>
      <c r="AC14" s="52"/>
      <c r="AD14" s="50"/>
      <c r="AE14" s="51"/>
      <c r="AF14" s="51"/>
      <c r="AG14" s="53"/>
      <c r="AH14" s="54"/>
      <c r="AI14" s="51"/>
      <c r="AJ14" s="51"/>
      <c r="AK14" s="52"/>
      <c r="AL14" s="50"/>
      <c r="AM14" s="51"/>
      <c r="AN14" s="51"/>
      <c r="AO14" s="53"/>
      <c r="AP14" s="54"/>
      <c r="AQ14" s="51"/>
      <c r="AR14" s="51"/>
      <c r="AS14" s="52"/>
      <c r="AT14" s="50"/>
      <c r="AU14" s="51"/>
      <c r="AV14" s="51"/>
      <c r="AW14" s="52"/>
      <c r="AX14" s="55"/>
    </row>
    <row r="15" spans="1:50" ht="15" thickBot="1" x14ac:dyDescent="0.35">
      <c r="A15" s="39" t="s">
        <v>27</v>
      </c>
      <c r="B15" s="17"/>
      <c r="C15" s="15"/>
      <c r="D15" s="15"/>
      <c r="E15" s="16"/>
      <c r="F15" s="17"/>
      <c r="G15" s="15"/>
      <c r="H15" s="15"/>
      <c r="I15" s="18"/>
      <c r="J15" s="19"/>
      <c r="K15" s="15"/>
      <c r="L15" s="15"/>
      <c r="M15" s="16"/>
      <c r="N15" s="17"/>
      <c r="O15" s="15"/>
      <c r="P15" s="15"/>
      <c r="Q15" s="18"/>
      <c r="R15" s="19"/>
      <c r="S15" s="15"/>
      <c r="T15" s="15"/>
      <c r="U15" s="56"/>
      <c r="V15" s="57"/>
      <c r="W15" s="58"/>
      <c r="X15" s="15"/>
      <c r="Y15" s="18"/>
      <c r="Z15" s="19"/>
      <c r="AA15" s="15"/>
      <c r="AB15" s="58"/>
      <c r="AC15" s="56"/>
      <c r="AD15" s="57"/>
      <c r="AE15" s="15"/>
      <c r="AF15" s="15"/>
      <c r="AG15" s="18"/>
      <c r="AH15" s="19"/>
      <c r="AI15" s="58"/>
      <c r="AJ15" s="58"/>
      <c r="AK15" s="56"/>
      <c r="AL15" s="17"/>
      <c r="AM15" s="15"/>
      <c r="AN15" s="15"/>
      <c r="AO15" s="18"/>
      <c r="AP15" s="59"/>
      <c r="AQ15" s="58"/>
      <c r="AR15" s="58"/>
      <c r="AS15" s="16"/>
      <c r="AT15" s="17"/>
      <c r="AU15" s="15"/>
      <c r="AV15" s="15"/>
      <c r="AW15" s="16"/>
    </row>
    <row r="16" spans="1:50" ht="15" thickBot="1" x14ac:dyDescent="0.35">
      <c r="A16" s="20" t="s">
        <v>28</v>
      </c>
      <c r="B16" s="21"/>
      <c r="C16" s="22"/>
      <c r="D16" s="22"/>
      <c r="E16" s="27"/>
      <c r="F16" s="21"/>
      <c r="G16" s="22"/>
      <c r="H16" s="22"/>
      <c r="I16" s="28"/>
      <c r="J16" s="29"/>
      <c r="K16" s="22"/>
      <c r="L16" s="22"/>
      <c r="M16" s="27"/>
      <c r="N16" s="21"/>
      <c r="O16" s="22"/>
      <c r="P16" s="22"/>
      <c r="Q16" s="28"/>
      <c r="R16" s="29"/>
      <c r="S16" s="22"/>
      <c r="T16" s="51"/>
      <c r="U16" s="52"/>
      <c r="V16" s="60"/>
      <c r="W16" s="61"/>
      <c r="X16" s="61"/>
      <c r="Y16" s="53"/>
      <c r="Z16" s="54"/>
      <c r="AA16" s="51"/>
      <c r="AB16" s="51"/>
      <c r="AC16" s="52"/>
      <c r="AD16" s="50"/>
      <c r="AE16" s="61"/>
      <c r="AF16" s="61"/>
      <c r="AG16" s="53"/>
      <c r="AH16" s="54"/>
      <c r="AI16" s="51"/>
      <c r="AJ16" s="51"/>
      <c r="AK16" s="52"/>
      <c r="AL16" s="61"/>
      <c r="AM16" s="61"/>
      <c r="AN16" s="51"/>
      <c r="AO16" s="53"/>
      <c r="AP16" s="62"/>
      <c r="AQ16" s="63"/>
      <c r="AR16" s="63"/>
      <c r="AS16" s="27"/>
      <c r="AT16" s="21"/>
      <c r="AU16" s="22"/>
      <c r="AV16" s="22"/>
      <c r="AW16" s="27"/>
      <c r="AX16" s="30"/>
    </row>
    <row r="17" spans="1:50" ht="15" thickBot="1" x14ac:dyDescent="0.35">
      <c r="A17" s="39" t="s">
        <v>29</v>
      </c>
      <c r="B17" s="17"/>
      <c r="C17" s="15"/>
      <c r="D17" s="15"/>
      <c r="E17" s="16"/>
      <c r="F17" s="17"/>
      <c r="G17" s="15"/>
      <c r="H17" s="15"/>
      <c r="I17" s="18"/>
      <c r="J17" s="19"/>
      <c r="K17" s="15"/>
      <c r="L17" s="15"/>
      <c r="M17" s="16"/>
      <c r="N17" s="17"/>
      <c r="O17" s="15"/>
      <c r="P17" s="15"/>
      <c r="Q17" s="18"/>
      <c r="R17" s="19"/>
      <c r="S17" s="15"/>
      <c r="T17" s="15"/>
      <c r="U17" s="16"/>
      <c r="V17" s="17"/>
      <c r="W17" s="15"/>
      <c r="X17" s="15"/>
      <c r="Y17" s="64"/>
      <c r="Z17" s="65"/>
      <c r="AA17" s="66"/>
      <c r="AB17" s="15"/>
      <c r="AC17" s="16"/>
      <c r="AD17" s="17"/>
      <c r="AE17" s="66"/>
      <c r="AF17" s="66"/>
      <c r="AG17" s="64"/>
      <c r="AH17" s="19"/>
      <c r="AI17" s="15"/>
      <c r="AJ17" s="15"/>
      <c r="AK17" s="67"/>
      <c r="AL17" s="68"/>
      <c r="AM17" s="66"/>
      <c r="AN17" s="15"/>
      <c r="AO17" s="18"/>
      <c r="AP17" s="19"/>
      <c r="AQ17" s="15"/>
      <c r="AR17" s="15"/>
      <c r="AS17" s="16"/>
      <c r="AT17" s="17"/>
      <c r="AU17" s="15"/>
      <c r="AV17" s="15"/>
      <c r="AW17" s="16"/>
    </row>
    <row r="18" spans="1:50" ht="15" thickBot="1" x14ac:dyDescent="0.35">
      <c r="A18" s="20" t="s">
        <v>30</v>
      </c>
      <c r="B18" s="21"/>
      <c r="C18" s="22"/>
      <c r="D18" s="22"/>
      <c r="E18" s="27"/>
      <c r="F18" s="21"/>
      <c r="G18" s="22"/>
      <c r="H18" s="22"/>
      <c r="I18" s="28"/>
      <c r="J18" s="29"/>
      <c r="K18" s="22"/>
      <c r="L18" s="22"/>
      <c r="M18" s="27"/>
      <c r="N18" s="21"/>
      <c r="O18" s="22"/>
      <c r="P18" s="22"/>
      <c r="Q18" s="28"/>
      <c r="R18" s="29"/>
      <c r="S18" s="22"/>
      <c r="T18" s="22"/>
      <c r="U18" s="27"/>
      <c r="V18" s="69"/>
      <c r="W18" s="70"/>
      <c r="X18" s="70"/>
      <c r="Y18" s="71"/>
      <c r="Z18" s="72"/>
      <c r="AA18" s="70"/>
      <c r="AB18" s="22"/>
      <c r="AC18" s="27"/>
      <c r="AD18" s="21"/>
      <c r="AE18" s="22"/>
      <c r="AF18" s="22"/>
      <c r="AG18" s="28"/>
      <c r="AH18" s="29"/>
      <c r="AI18" s="22"/>
      <c r="AJ18" s="22"/>
      <c r="AK18" s="27"/>
      <c r="AL18" s="21"/>
      <c r="AM18" s="22"/>
      <c r="AN18" s="22"/>
      <c r="AO18" s="28"/>
      <c r="AP18" s="29"/>
      <c r="AQ18" s="22"/>
      <c r="AR18" s="22"/>
      <c r="AS18" s="27"/>
      <c r="AT18" s="21"/>
      <c r="AU18" s="22"/>
      <c r="AV18" s="22"/>
      <c r="AW18" s="27"/>
      <c r="AX18" s="30"/>
    </row>
    <row r="19" spans="1:50" ht="15" thickBot="1" x14ac:dyDescent="0.35">
      <c r="A19" s="39" t="s">
        <v>31</v>
      </c>
      <c r="B19" s="17"/>
      <c r="C19" s="15"/>
      <c r="D19" s="15"/>
      <c r="E19" s="16"/>
      <c r="F19" s="17"/>
      <c r="G19" s="15"/>
      <c r="H19" s="15"/>
      <c r="I19" s="18"/>
      <c r="J19" s="19"/>
      <c r="K19" s="15"/>
      <c r="L19" s="15"/>
      <c r="M19" s="16"/>
      <c r="N19" s="17"/>
      <c r="O19" s="15"/>
      <c r="P19" s="15"/>
      <c r="Q19" s="18"/>
      <c r="R19" s="19"/>
      <c r="S19" s="15"/>
      <c r="T19" s="15"/>
      <c r="U19" s="16"/>
      <c r="V19" s="73"/>
      <c r="W19" s="74"/>
      <c r="X19" s="74"/>
      <c r="Y19" s="75"/>
      <c r="Z19" s="76"/>
      <c r="AA19" s="74"/>
      <c r="AB19" s="15"/>
      <c r="AC19" s="16"/>
      <c r="AD19" s="17"/>
      <c r="AE19" s="15"/>
      <c r="AF19" s="15"/>
      <c r="AG19" s="18"/>
      <c r="AH19" s="19"/>
      <c r="AI19" s="15"/>
      <c r="AJ19" s="15"/>
      <c r="AK19" s="16"/>
      <c r="AL19" s="17"/>
      <c r="AM19" s="15"/>
      <c r="AN19" s="15"/>
      <c r="AO19" s="18"/>
      <c r="AP19" s="19"/>
      <c r="AQ19" s="15"/>
      <c r="AR19" s="15"/>
      <c r="AS19" s="16"/>
      <c r="AT19" s="17"/>
      <c r="AU19" s="15"/>
      <c r="AV19" s="15"/>
      <c r="AW19" s="16"/>
    </row>
    <row r="20" spans="1:50" ht="15" thickBot="1" x14ac:dyDescent="0.35">
      <c r="A20" s="20" t="s">
        <v>32</v>
      </c>
      <c r="B20" s="21"/>
      <c r="C20" s="22"/>
      <c r="D20" s="22"/>
      <c r="E20" s="27"/>
      <c r="F20" s="21"/>
      <c r="G20" s="22"/>
      <c r="H20" s="22"/>
      <c r="I20" s="28"/>
      <c r="J20" s="29"/>
      <c r="K20" s="22"/>
      <c r="L20" s="22"/>
      <c r="M20" s="27"/>
      <c r="N20" s="21"/>
      <c r="O20" s="22"/>
      <c r="P20" s="22"/>
      <c r="Q20" s="28"/>
      <c r="R20" s="29"/>
      <c r="S20" s="22"/>
      <c r="T20" s="22"/>
      <c r="U20" s="27"/>
      <c r="V20" s="21"/>
      <c r="W20" s="22"/>
      <c r="X20" s="22"/>
      <c r="Y20" s="28"/>
      <c r="Z20" s="29"/>
      <c r="AA20" s="22"/>
      <c r="AB20" s="22"/>
      <c r="AC20" s="27"/>
      <c r="AD20" s="21"/>
      <c r="AE20" s="22"/>
      <c r="AF20" s="22"/>
      <c r="AG20" s="28"/>
      <c r="AH20" s="29"/>
      <c r="AI20" s="22"/>
      <c r="AJ20" s="22"/>
      <c r="AK20" s="27"/>
      <c r="AL20" s="21"/>
      <c r="AM20" s="22"/>
      <c r="AN20" s="22"/>
      <c r="AO20" s="28"/>
      <c r="AP20" s="77"/>
      <c r="AQ20" s="78"/>
      <c r="AR20" s="78"/>
      <c r="AS20" s="79"/>
      <c r="AT20" s="21"/>
      <c r="AU20" s="22"/>
      <c r="AV20" s="22"/>
      <c r="AW20" s="27"/>
      <c r="AX20" s="30"/>
    </row>
    <row r="21" spans="1:50" ht="15" thickBot="1" x14ac:dyDescent="0.35">
      <c r="A21" s="20" t="s">
        <v>33</v>
      </c>
      <c r="B21" s="80"/>
      <c r="C21" s="81"/>
      <c r="D21" s="22"/>
      <c r="E21" s="27"/>
      <c r="F21" s="21"/>
      <c r="G21" s="22"/>
      <c r="H21" s="22"/>
      <c r="I21" s="28"/>
      <c r="J21" s="29"/>
      <c r="K21" s="22"/>
      <c r="L21" s="22"/>
      <c r="M21" s="27"/>
      <c r="N21" s="21"/>
      <c r="O21" s="22"/>
      <c r="P21" s="22"/>
      <c r="Q21" s="28"/>
      <c r="R21" s="29"/>
      <c r="S21" s="22"/>
      <c r="T21" s="22"/>
      <c r="U21" s="27"/>
      <c r="V21" s="21"/>
      <c r="W21" s="22"/>
      <c r="X21" s="22"/>
      <c r="Y21" s="28"/>
      <c r="Z21" s="29"/>
      <c r="AA21" s="22"/>
      <c r="AB21" s="22"/>
      <c r="AC21" s="27"/>
      <c r="AD21" s="21"/>
      <c r="AE21" s="22"/>
      <c r="AF21" s="22"/>
      <c r="AG21" s="28"/>
      <c r="AH21" s="29"/>
      <c r="AI21" s="22"/>
      <c r="AJ21" s="22"/>
      <c r="AK21" s="27"/>
      <c r="AL21" s="21"/>
      <c r="AM21" s="22"/>
      <c r="AN21" s="22"/>
      <c r="AO21" s="28"/>
      <c r="AP21" s="29"/>
      <c r="AQ21" s="22"/>
      <c r="AR21" s="22"/>
      <c r="AS21" s="27"/>
      <c r="AT21" s="21"/>
      <c r="AU21" s="22"/>
      <c r="AV21" s="22"/>
      <c r="AW21" s="82"/>
      <c r="AX21" s="30"/>
    </row>
    <row r="22" spans="1:50" ht="15" thickBot="1" x14ac:dyDescent="0.35">
      <c r="A22" s="31"/>
      <c r="B22" s="32"/>
      <c r="C22" s="33"/>
      <c r="D22" s="33"/>
      <c r="E22" s="34"/>
      <c r="F22" s="32"/>
      <c r="G22" s="33"/>
      <c r="H22" s="33"/>
      <c r="I22" s="35"/>
      <c r="J22" s="36"/>
      <c r="K22" s="33"/>
      <c r="L22" s="33"/>
      <c r="M22" s="34"/>
      <c r="N22" s="32"/>
      <c r="O22" s="33"/>
      <c r="P22" s="33"/>
      <c r="Q22" s="35"/>
      <c r="R22" s="36"/>
      <c r="S22" s="33"/>
      <c r="T22" s="33"/>
      <c r="U22" s="34"/>
      <c r="V22" s="32"/>
      <c r="W22" s="33"/>
      <c r="X22" s="33"/>
      <c r="Y22" s="35"/>
      <c r="Z22" s="36"/>
      <c r="AA22" s="33"/>
      <c r="AB22" s="33"/>
      <c r="AC22" s="34"/>
      <c r="AD22" s="32"/>
      <c r="AE22" s="33"/>
      <c r="AF22" s="33"/>
      <c r="AG22" s="35"/>
      <c r="AH22" s="36"/>
      <c r="AI22" s="33"/>
      <c r="AJ22" s="33"/>
      <c r="AK22" s="34"/>
      <c r="AL22" s="32"/>
      <c r="AM22" s="33"/>
      <c r="AN22" s="33"/>
      <c r="AO22" s="35"/>
      <c r="AP22" s="36"/>
      <c r="AQ22" s="33"/>
      <c r="AR22" s="33"/>
      <c r="AS22" s="34"/>
      <c r="AT22" s="32"/>
      <c r="AU22" s="33"/>
      <c r="AV22" s="33"/>
      <c r="AW22" s="34"/>
    </row>
  </sheetData>
  <mergeCells count="12">
    <mergeCell ref="AT4:AW4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GENERAL</vt:lpstr>
      <vt:lpstr>VUELTA GRANDE 1</vt:lpstr>
      <vt:lpstr>VUELTA GRANDE 2</vt:lpstr>
      <vt:lpstr>CRUZ2</vt:lpstr>
      <vt:lpstr>CRUZ 1</vt:lpstr>
      <vt:lpstr>MIRASOL</vt:lpstr>
      <vt:lpstr>CANOA 1</vt:lpstr>
      <vt:lpstr>CANOA 2</vt:lpstr>
      <vt:lpstr>CAÑADA</vt:lpstr>
      <vt:lpstr>CORONA</vt:lpstr>
      <vt:lpstr>ARENERA</vt:lpstr>
      <vt:lpstr>GALERA</vt:lpstr>
      <vt:lpstr>SAN EMILIANO CRUZ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Castellanos</dc:creator>
  <cp:lastModifiedBy>Luis Castellanos</cp:lastModifiedBy>
  <dcterms:created xsi:type="dcterms:W3CDTF">2026-02-24T21:49:13Z</dcterms:created>
  <dcterms:modified xsi:type="dcterms:W3CDTF">2026-03-09T18:06:23Z</dcterms:modified>
</cp:coreProperties>
</file>