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cg22-my.sharepoint.com/personal/luis_castellanos_fincadanilandia_com_gt/Documents/Documentos/PLANILLAS 2526/"/>
    </mc:Choice>
  </mc:AlternateContent>
  <xr:revisionPtr revIDLastSave="87" documentId="8_{AA67BAB7-22EB-4FED-90AD-52BEF0816CAA}" xr6:coauthVersionLast="47" xr6:coauthVersionMax="47" xr10:uidLastSave="{8AA9055F-5318-45EA-92F5-4344E7AB3FC8}"/>
  <bookViews>
    <workbookView xWindow="-108" yWindow="-108" windowWidth="23256" windowHeight="12456" xr2:uid="{00000000-000D-0000-FFFF-FFFF00000000}"/>
  </bookViews>
  <sheets>
    <sheet name="Registro_Actividades" sheetId="1" r:id="rId1"/>
    <sheet name="Control_Actividades" sheetId="2" r:id="rId2"/>
    <sheet name="Resumen_Semanal" sheetId="3" r:id="rId3"/>
    <sheet name="RESUMEN PERSONAL" sheetId="5" r:id="rId4"/>
    <sheet name="Resumen_Lot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2" i="1" l="1"/>
  <c r="D3" i="5"/>
  <c r="C41" i="5"/>
  <c r="C42" i="5"/>
  <c r="D19" i="5"/>
  <c r="D38" i="5"/>
  <c r="D18" i="5"/>
  <c r="D14" i="5"/>
  <c r="D13" i="5"/>
  <c r="D12" i="5"/>
  <c r="D11" i="5"/>
  <c r="D8" i="5"/>
  <c r="D7" i="5"/>
  <c r="D6" i="5"/>
  <c r="D5" i="5"/>
  <c r="C40" i="5"/>
  <c r="C39" i="5"/>
  <c r="F42" i="5" l="1"/>
  <c r="F41" i="5"/>
  <c r="F38" i="5"/>
  <c r="F40" i="5"/>
  <c r="F39" i="5"/>
  <c r="F37" i="5"/>
  <c r="F43" i="5" l="1"/>
  <c r="I271" i="1" l="1"/>
  <c r="J271" i="1" s="1"/>
  <c r="G271" i="1"/>
  <c r="B271" i="1"/>
  <c r="I270" i="1"/>
  <c r="J270" i="1" s="1"/>
  <c r="G270" i="1"/>
  <c r="B270" i="1"/>
  <c r="I269" i="1"/>
  <c r="J269" i="1" s="1"/>
  <c r="G269" i="1"/>
  <c r="B269" i="1"/>
  <c r="I268" i="1"/>
  <c r="J268" i="1" s="1"/>
  <c r="G268" i="1"/>
  <c r="B268" i="1"/>
  <c r="I267" i="1"/>
  <c r="J267" i="1" s="1"/>
  <c r="G267" i="1"/>
  <c r="B267" i="1"/>
  <c r="I266" i="1"/>
  <c r="J266" i="1" s="1"/>
  <c r="G266" i="1"/>
  <c r="B266" i="1"/>
  <c r="I265" i="1"/>
  <c r="J265" i="1" s="1"/>
  <c r="G265" i="1"/>
  <c r="B265" i="1"/>
  <c r="I264" i="1"/>
  <c r="J264" i="1" s="1"/>
  <c r="G264" i="1"/>
  <c r="B264" i="1"/>
  <c r="I263" i="1"/>
  <c r="J263" i="1" s="1"/>
  <c r="G263" i="1"/>
  <c r="B263" i="1"/>
  <c r="I262" i="1"/>
  <c r="J262" i="1" s="1"/>
  <c r="G262" i="1"/>
  <c r="B262" i="1"/>
  <c r="I261" i="1"/>
  <c r="J261" i="1" s="1"/>
  <c r="G261" i="1"/>
  <c r="B261" i="1"/>
  <c r="I260" i="1"/>
  <c r="J260" i="1" s="1"/>
  <c r="G260" i="1"/>
  <c r="B260" i="1"/>
  <c r="I259" i="1"/>
  <c r="J259" i="1" s="1"/>
  <c r="G259" i="1"/>
  <c r="B259" i="1"/>
  <c r="I258" i="1"/>
  <c r="J258" i="1" s="1"/>
  <c r="G258" i="1"/>
  <c r="B258" i="1"/>
  <c r="I257" i="1"/>
  <c r="J257" i="1" s="1"/>
  <c r="G257" i="1"/>
  <c r="B257" i="1"/>
  <c r="I256" i="1"/>
  <c r="J256" i="1" s="1"/>
  <c r="G256" i="1"/>
  <c r="B256" i="1"/>
  <c r="I255" i="1"/>
  <c r="J255" i="1" s="1"/>
  <c r="G255" i="1"/>
  <c r="B255" i="1"/>
  <c r="I254" i="1"/>
  <c r="J254" i="1" s="1"/>
  <c r="G254" i="1"/>
  <c r="B254" i="1"/>
  <c r="I253" i="1"/>
  <c r="J253" i="1" s="1"/>
  <c r="G253" i="1"/>
  <c r="B253" i="1"/>
  <c r="I252" i="1"/>
  <c r="J252" i="1" s="1"/>
  <c r="G252" i="1"/>
  <c r="B252" i="1"/>
  <c r="I251" i="1"/>
  <c r="J251" i="1" s="1"/>
  <c r="G251" i="1"/>
  <c r="B251" i="1"/>
  <c r="I250" i="1"/>
  <c r="J250" i="1" s="1"/>
  <c r="G250" i="1"/>
  <c r="B250" i="1"/>
  <c r="I249" i="1"/>
  <c r="J249" i="1" s="1"/>
  <c r="G249" i="1"/>
  <c r="B249" i="1"/>
  <c r="I248" i="1"/>
  <c r="J248" i="1" s="1"/>
  <c r="G248" i="1"/>
  <c r="B248" i="1"/>
  <c r="I247" i="1"/>
  <c r="J247" i="1" s="1"/>
  <c r="G247" i="1"/>
  <c r="B247" i="1"/>
  <c r="I246" i="1"/>
  <c r="J246" i="1" s="1"/>
  <c r="G246" i="1"/>
  <c r="B246" i="1"/>
  <c r="I245" i="1"/>
  <c r="J245" i="1" s="1"/>
  <c r="G245" i="1"/>
  <c r="B245" i="1"/>
  <c r="I244" i="1"/>
  <c r="J244" i="1" s="1"/>
  <c r="G244" i="1"/>
  <c r="B244" i="1"/>
  <c r="I243" i="1"/>
  <c r="J243" i="1" s="1"/>
  <c r="G243" i="1"/>
  <c r="B243" i="1"/>
  <c r="I242" i="1"/>
  <c r="J242" i="1" s="1"/>
  <c r="G242" i="1"/>
  <c r="B242" i="1"/>
  <c r="I241" i="1"/>
  <c r="J241" i="1" s="1"/>
  <c r="G241" i="1"/>
  <c r="B241" i="1"/>
  <c r="I240" i="1"/>
  <c r="J240" i="1" s="1"/>
  <c r="G240" i="1"/>
  <c r="B240" i="1"/>
  <c r="I239" i="1"/>
  <c r="J239" i="1" s="1"/>
  <c r="G239" i="1"/>
  <c r="B239" i="1"/>
  <c r="I238" i="1"/>
  <c r="J238" i="1" s="1"/>
  <c r="G238" i="1"/>
  <c r="B238" i="1"/>
  <c r="I237" i="1"/>
  <c r="J237" i="1" s="1"/>
  <c r="G237" i="1"/>
  <c r="B237" i="1"/>
  <c r="I236" i="1"/>
  <c r="J236" i="1" s="1"/>
  <c r="G236" i="1"/>
  <c r="B236" i="1"/>
  <c r="I235" i="1"/>
  <c r="J235" i="1" s="1"/>
  <c r="G235" i="1"/>
  <c r="B235" i="1"/>
  <c r="I234" i="1"/>
  <c r="J234" i="1" s="1"/>
  <c r="G234" i="1"/>
  <c r="B234" i="1"/>
  <c r="I233" i="1"/>
  <c r="J233" i="1" s="1"/>
  <c r="G233" i="1"/>
  <c r="B233" i="1"/>
  <c r="I232" i="1"/>
  <c r="J232" i="1" s="1"/>
  <c r="G232" i="1"/>
  <c r="B232" i="1"/>
  <c r="I231" i="1"/>
  <c r="J231" i="1" s="1"/>
  <c r="G231" i="1"/>
  <c r="B231" i="1"/>
  <c r="I230" i="1"/>
  <c r="J230" i="1" s="1"/>
  <c r="G230" i="1"/>
  <c r="B230" i="1"/>
  <c r="I229" i="1"/>
  <c r="J229" i="1" s="1"/>
  <c r="G229" i="1"/>
  <c r="B229" i="1"/>
  <c r="I228" i="1"/>
  <c r="J228" i="1" s="1"/>
  <c r="G228" i="1"/>
  <c r="B228" i="1"/>
  <c r="I227" i="1"/>
  <c r="J227" i="1" s="1"/>
  <c r="G227" i="1"/>
  <c r="B227" i="1"/>
  <c r="I226" i="1"/>
  <c r="J226" i="1" s="1"/>
  <c r="G226" i="1"/>
  <c r="B226" i="1"/>
  <c r="I225" i="1"/>
  <c r="J225" i="1" s="1"/>
  <c r="G225" i="1"/>
  <c r="B225" i="1"/>
  <c r="I224" i="1"/>
  <c r="J224" i="1" s="1"/>
  <c r="G224" i="1"/>
  <c r="B224" i="1"/>
  <c r="I223" i="1"/>
  <c r="J223" i="1" s="1"/>
  <c r="G223" i="1"/>
  <c r="B223" i="1"/>
  <c r="I222" i="1"/>
  <c r="J222" i="1" s="1"/>
  <c r="G222" i="1"/>
  <c r="B222" i="1"/>
  <c r="I221" i="1"/>
  <c r="J221" i="1" s="1"/>
  <c r="G221" i="1"/>
  <c r="B221" i="1"/>
  <c r="I220" i="1"/>
  <c r="J220" i="1" s="1"/>
  <c r="G220" i="1"/>
  <c r="B220" i="1"/>
  <c r="I219" i="1"/>
  <c r="J219" i="1" s="1"/>
  <c r="G219" i="1"/>
  <c r="B219" i="1"/>
  <c r="I218" i="1"/>
  <c r="J218" i="1" s="1"/>
  <c r="G218" i="1"/>
  <c r="B218" i="1"/>
  <c r="I217" i="1"/>
  <c r="J217" i="1" s="1"/>
  <c r="G217" i="1"/>
  <c r="B217" i="1"/>
  <c r="I216" i="1"/>
  <c r="J216" i="1" s="1"/>
  <c r="G216" i="1"/>
  <c r="B216" i="1"/>
  <c r="I215" i="1"/>
  <c r="J215" i="1" s="1"/>
  <c r="G215" i="1"/>
  <c r="B215" i="1"/>
  <c r="I214" i="1"/>
  <c r="J214" i="1" s="1"/>
  <c r="G214" i="1"/>
  <c r="B214" i="1"/>
  <c r="I213" i="1"/>
  <c r="J213" i="1" s="1"/>
  <c r="G213" i="1"/>
  <c r="B213" i="1"/>
  <c r="I212" i="1"/>
  <c r="J212" i="1" s="1"/>
  <c r="G212" i="1"/>
  <c r="B212" i="1"/>
  <c r="I210" i="1"/>
  <c r="J210" i="1" s="1"/>
  <c r="I211" i="1"/>
  <c r="J211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I122" i="1"/>
  <c r="J122" i="1"/>
  <c r="I123" i="1"/>
  <c r="J123" i="1"/>
  <c r="I124" i="1"/>
  <c r="J124" i="1" s="1"/>
  <c r="I125" i="1"/>
  <c r="J125" i="1"/>
  <c r="I126" i="1"/>
  <c r="J126" i="1" s="1"/>
  <c r="I127" i="1"/>
  <c r="J127" i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/>
  <c r="I144" i="1"/>
  <c r="J144" i="1" s="1"/>
  <c r="I145" i="1"/>
  <c r="J145" i="1" s="1"/>
  <c r="I146" i="1"/>
  <c r="J146" i="1"/>
  <c r="I147" i="1"/>
  <c r="J147" i="1" s="1"/>
  <c r="I148" i="1"/>
  <c r="J148" i="1" s="1"/>
  <c r="I149" i="1"/>
  <c r="J149" i="1"/>
  <c r="I150" i="1"/>
  <c r="J150" i="1"/>
  <c r="I151" i="1"/>
  <c r="J151" i="1"/>
  <c r="I152" i="1"/>
  <c r="J152" i="1" s="1"/>
  <c r="I153" i="1"/>
  <c r="J153" i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/>
  <c r="I175" i="1"/>
  <c r="J175" i="1" s="1"/>
  <c r="I176" i="1"/>
  <c r="J176" i="1" s="1"/>
  <c r="I177" i="1"/>
  <c r="J177" i="1"/>
  <c r="I178" i="1"/>
  <c r="J178" i="1" s="1"/>
  <c r="I179" i="1"/>
  <c r="J179" i="1" s="1"/>
  <c r="I180" i="1"/>
  <c r="J180" i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/>
  <c r="I104" i="1"/>
  <c r="J104" i="1" s="1"/>
  <c r="I105" i="1"/>
  <c r="J105" i="1" s="1"/>
  <c r="I106" i="1"/>
  <c r="J106" i="1" s="1"/>
  <c r="I107" i="1"/>
  <c r="J107" i="1" s="1"/>
  <c r="I108" i="1"/>
  <c r="J108" i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/>
  <c r="I116" i="1"/>
  <c r="J116" i="1" s="1"/>
  <c r="I117" i="1"/>
  <c r="J117" i="1"/>
  <c r="I118" i="1"/>
  <c r="J118" i="1"/>
  <c r="I119" i="1"/>
  <c r="J119" i="1" s="1"/>
  <c r="I120" i="1"/>
  <c r="J120" i="1" s="1"/>
  <c r="I121" i="1"/>
  <c r="J121" i="1" s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89" i="1"/>
  <c r="B90" i="1"/>
  <c r="B9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I2" i="1" l="1"/>
  <c r="J2" i="1" s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3" i="1"/>
  <c r="G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C38" i="3" l="1"/>
  <c r="C49" i="3"/>
  <c r="C60" i="3"/>
  <c r="F60" i="3" s="1"/>
  <c r="C59" i="3"/>
  <c r="F59" i="3" s="1"/>
  <c r="C58" i="3"/>
  <c r="F58" i="3" s="1"/>
  <c r="C57" i="3"/>
  <c r="F57" i="3" s="1"/>
  <c r="C56" i="3"/>
  <c r="F56" i="3" s="1"/>
  <c r="C55" i="3"/>
  <c r="F55" i="3" s="1"/>
  <c r="C43" i="3"/>
  <c r="C42" i="3"/>
  <c r="C53" i="3"/>
  <c r="F53" i="3" s="1"/>
  <c r="C52" i="3"/>
  <c r="F52" i="3" s="1"/>
  <c r="C40" i="3"/>
  <c r="C50" i="3"/>
  <c r="C61" i="3"/>
  <c r="F61" i="3" s="1"/>
  <c r="C48" i="3"/>
  <c r="C47" i="3"/>
  <c r="C46" i="3"/>
  <c r="C45" i="3"/>
  <c r="C44" i="3"/>
  <c r="C54" i="3"/>
  <c r="F54" i="3" s="1"/>
  <c r="C41" i="3"/>
  <c r="C51" i="3"/>
  <c r="C39" i="3"/>
  <c r="C51" i="4" l="1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J97" i="1"/>
  <c r="C37" i="3" s="1"/>
  <c r="F37" i="3" s="1"/>
  <c r="J96" i="1"/>
  <c r="C36" i="3" s="1"/>
  <c r="F36" i="3" s="1"/>
  <c r="J95" i="1"/>
  <c r="C35" i="3" s="1"/>
  <c r="F35" i="3" s="1"/>
  <c r="J94" i="1"/>
  <c r="C34" i="3" s="1"/>
  <c r="F34" i="3" s="1"/>
  <c r="J93" i="1"/>
  <c r="C33" i="3" s="1"/>
  <c r="F33" i="3" s="1"/>
  <c r="J92" i="1"/>
  <c r="C32" i="3" s="1"/>
  <c r="F32" i="3" s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C2" i="3" s="1"/>
  <c r="F2" i="3" s="1"/>
  <c r="J31" i="1"/>
  <c r="C31" i="3" s="1"/>
  <c r="F31" i="3" s="1"/>
  <c r="C27" i="5" s="1"/>
  <c r="F27" i="5" s="1"/>
  <c r="J30" i="1"/>
  <c r="J29" i="1"/>
  <c r="J28" i="1"/>
  <c r="J27" i="1"/>
  <c r="J26" i="1"/>
  <c r="J25" i="1"/>
  <c r="J24" i="1"/>
  <c r="J23" i="1"/>
  <c r="C23" i="3" s="1"/>
  <c r="F23" i="3" s="1"/>
  <c r="C22" i="5" s="1"/>
  <c r="F22" i="5" s="1"/>
  <c r="J22" i="1"/>
  <c r="C22" i="3" s="1"/>
  <c r="F22" i="3" s="1"/>
  <c r="C9" i="5" s="1"/>
  <c r="F9" i="5" s="1"/>
  <c r="J21" i="1"/>
  <c r="C21" i="3" s="1"/>
  <c r="F21" i="3" s="1"/>
  <c r="C23" i="5" s="1"/>
  <c r="F23" i="5" s="1"/>
  <c r="J20" i="1"/>
  <c r="C20" i="3" s="1"/>
  <c r="F20" i="3" s="1"/>
  <c r="C26" i="5" s="1"/>
  <c r="F26" i="5" s="1"/>
  <c r="J19" i="1"/>
  <c r="C19" i="3" s="1"/>
  <c r="F19" i="3" s="1"/>
  <c r="C5" i="5" s="1"/>
  <c r="F5" i="5" s="1"/>
  <c r="J18" i="1"/>
  <c r="J17" i="1"/>
  <c r="J16" i="1"/>
  <c r="J15" i="1"/>
  <c r="J14" i="1"/>
  <c r="J13" i="1"/>
  <c r="J12" i="1"/>
  <c r="J11" i="1"/>
  <c r="C11" i="3" s="1"/>
  <c r="F11" i="3" s="1"/>
  <c r="C18" i="5" s="1"/>
  <c r="F18" i="5" s="1"/>
  <c r="J10" i="1"/>
  <c r="C10" i="3" s="1"/>
  <c r="F10" i="3" s="1"/>
  <c r="C14" i="5" s="1"/>
  <c r="F14" i="5" s="1"/>
  <c r="J9" i="1"/>
  <c r="C9" i="3" s="1"/>
  <c r="F9" i="3" s="1"/>
  <c r="C29" i="5" s="1"/>
  <c r="F29" i="5" s="1"/>
  <c r="J8" i="1"/>
  <c r="C8" i="3" s="1"/>
  <c r="F8" i="3" s="1"/>
  <c r="C11" i="5" s="1"/>
  <c r="F11" i="5" s="1"/>
  <c r="J7" i="1"/>
  <c r="C7" i="3" s="1"/>
  <c r="F7" i="3" s="1"/>
  <c r="C13" i="5" s="1"/>
  <c r="F13" i="5" s="1"/>
  <c r="J6" i="1"/>
  <c r="J5" i="1"/>
  <c r="J4" i="1"/>
  <c r="J3" i="1"/>
  <c r="C19" i="5" l="1"/>
  <c r="F19" i="5" s="1"/>
  <c r="C12" i="3"/>
  <c r="F12" i="3" s="1"/>
  <c r="C7" i="5" s="1"/>
  <c r="F7" i="5" s="1"/>
  <c r="C24" i="3"/>
  <c r="F24" i="3" s="1"/>
  <c r="C16" i="5" s="1"/>
  <c r="F16" i="5" s="1"/>
  <c r="C13" i="3"/>
  <c r="F13" i="3" s="1"/>
  <c r="C24" i="5" s="1"/>
  <c r="F24" i="5" s="1"/>
  <c r="C25" i="3"/>
  <c r="F25" i="3" s="1"/>
  <c r="C4" i="5" s="1"/>
  <c r="F4" i="5" s="1"/>
  <c r="C14" i="3"/>
  <c r="F14" i="3" s="1"/>
  <c r="C6" i="5" s="1"/>
  <c r="F6" i="5" s="1"/>
  <c r="C27" i="3"/>
  <c r="F27" i="3" s="1"/>
  <c r="C15" i="5" s="1"/>
  <c r="F15" i="5" s="1"/>
  <c r="C16" i="3"/>
  <c r="F16" i="3" s="1"/>
  <c r="C28" i="5" s="1"/>
  <c r="F28" i="5" s="1"/>
  <c r="C17" i="3"/>
  <c r="F17" i="3" s="1"/>
  <c r="C12" i="5" s="1"/>
  <c r="F12" i="5" s="1"/>
  <c r="C29" i="3"/>
  <c r="F29" i="3" s="1"/>
  <c r="C31" i="5" s="1"/>
  <c r="F31" i="5" s="1"/>
  <c r="C26" i="3"/>
  <c r="F26" i="3" s="1"/>
  <c r="C10" i="5" s="1"/>
  <c r="F10" i="5" s="1"/>
  <c r="C3" i="3"/>
  <c r="F3" i="3" s="1"/>
  <c r="C8" i="5" s="1"/>
  <c r="F8" i="5" s="1"/>
  <c r="C15" i="3"/>
  <c r="F15" i="3" s="1"/>
  <c r="C3" i="5" s="1"/>
  <c r="F3" i="5" s="1"/>
  <c r="C4" i="3"/>
  <c r="F4" i="3" s="1"/>
  <c r="C25" i="5" s="1"/>
  <c r="F25" i="5" s="1"/>
  <c r="C28" i="3"/>
  <c r="F28" i="3" s="1"/>
  <c r="C32" i="5" s="1"/>
  <c r="F32" i="5" s="1"/>
  <c r="C5" i="3"/>
  <c r="F5" i="3" s="1"/>
  <c r="C20" i="5" s="1"/>
  <c r="F20" i="5" s="1"/>
  <c r="C6" i="3"/>
  <c r="F6" i="3" s="1"/>
  <c r="C30" i="5" s="1"/>
  <c r="F30" i="5" s="1"/>
  <c r="C18" i="3"/>
  <c r="F18" i="3" s="1"/>
  <c r="C21" i="5" s="1"/>
  <c r="F21" i="5" s="1"/>
  <c r="C30" i="3"/>
  <c r="F30" i="3" s="1"/>
  <c r="C17" i="5" s="1"/>
  <c r="F17" i="5" s="1"/>
  <c r="F33" i="5" l="1"/>
</calcChain>
</file>

<file path=xl/sharedStrings.xml><?xml version="1.0" encoding="utf-8"?>
<sst xmlns="http://schemas.openxmlformats.org/spreadsheetml/2006/main" count="797" uniqueCount="79">
  <si>
    <t>Fecha</t>
  </si>
  <si>
    <t>Semana</t>
  </si>
  <si>
    <t>Nombre Trabajador</t>
  </si>
  <si>
    <t>DPI</t>
  </si>
  <si>
    <t>Actividad</t>
  </si>
  <si>
    <t>Lote</t>
  </si>
  <si>
    <t>Unidad</t>
  </si>
  <si>
    <t>Cantidad</t>
  </si>
  <si>
    <t>Precio Unitario</t>
  </si>
  <si>
    <t>Total Devengado</t>
  </si>
  <si>
    <t>Corte de Café</t>
  </si>
  <si>
    <t>Quintal</t>
  </si>
  <si>
    <t>Pepena</t>
  </si>
  <si>
    <t>Fertilización</t>
  </si>
  <si>
    <t>Hectárea</t>
  </si>
  <si>
    <t>Limpia Manual</t>
  </si>
  <si>
    <t>Jornal</t>
  </si>
  <si>
    <t>Poda</t>
  </si>
  <si>
    <t>Bonificación</t>
  </si>
  <si>
    <t>Anticipos</t>
  </si>
  <si>
    <t>Total a Pagar</t>
  </si>
  <si>
    <t>Total Devengado Lote</t>
  </si>
  <si>
    <t>HENRY RANDOLFO HERNANDEZ</t>
  </si>
  <si>
    <t>CARMELO GUAMUCH</t>
  </si>
  <si>
    <t>LUZ DE MARIA MARTINEZ</t>
  </si>
  <si>
    <t>JAIME ANIBAL MARROQUIN</t>
  </si>
  <si>
    <t>SUSANA SOLANO</t>
  </si>
  <si>
    <t>ENMA PEREZ</t>
  </si>
  <si>
    <t>EDGAR ROLANDO NAVAS</t>
  </si>
  <si>
    <t>SULEIMA MARROQUIN</t>
  </si>
  <si>
    <t>FERNANDO GUAMUCH</t>
  </si>
  <si>
    <t>GERMAN SOLANO</t>
  </si>
  <si>
    <t>CARLOS GARCIA</t>
  </si>
  <si>
    <t>JULIA MARROQUIN</t>
  </si>
  <si>
    <t>BALDOMERO SOLANO</t>
  </si>
  <si>
    <t>ADISTER ARCENIO</t>
  </si>
  <si>
    <t>OLIVER AGUILAR</t>
  </si>
  <si>
    <t>ELMER MANUEL HERNANDEZ</t>
  </si>
  <si>
    <t>JONATHAN AGUILAR</t>
  </si>
  <si>
    <t>AXEL ALVAREZ</t>
  </si>
  <si>
    <t>MARLENI SALAZAR</t>
  </si>
  <si>
    <t>JORGE ODILIO SOLANO</t>
  </si>
  <si>
    <t>DANILO SOLANO</t>
  </si>
  <si>
    <t>JORGE MARROQUIN</t>
  </si>
  <si>
    <t>FRANCISCO NAVAS</t>
  </si>
  <si>
    <t>ALEXANDER NAVAS</t>
  </si>
  <si>
    <t>DIXON HERNANDEZ</t>
  </si>
  <si>
    <t>FLORIDALMA ALVAREZ</t>
  </si>
  <si>
    <t>WILFRIDO HERNANDEZ</t>
  </si>
  <si>
    <t>TELMA HERNANDEZ</t>
  </si>
  <si>
    <t>GABY ALVAREZ</t>
  </si>
  <si>
    <t>NOHEMI ALVAREZ</t>
  </si>
  <si>
    <t>Encargado de Beneficio</t>
  </si>
  <si>
    <t>Dia</t>
  </si>
  <si>
    <t>Encargado de beneficio</t>
  </si>
  <si>
    <t>Beneficio</t>
  </si>
  <si>
    <t>corona</t>
  </si>
  <si>
    <t>Manzana</t>
  </si>
  <si>
    <t>dia</t>
  </si>
  <si>
    <t>Mantenimiento General</t>
  </si>
  <si>
    <t>Mantenimiento general</t>
  </si>
  <si>
    <t>mantenimiento general</t>
  </si>
  <si>
    <t>beneficio</t>
  </si>
  <si>
    <t># DE CUENTA</t>
  </si>
  <si>
    <t>BANCO</t>
  </si>
  <si>
    <t>BANRURAL</t>
  </si>
  <si>
    <t>SE DEPOSITA A TONO</t>
  </si>
  <si>
    <t>N/A</t>
  </si>
  <si>
    <t>TOTAL A PAGAR</t>
  </si>
  <si>
    <t>Marco Antonio Solano</t>
  </si>
  <si>
    <t>Alicia Yanet Morales</t>
  </si>
  <si>
    <t>Keylin Yaneth Alvarez</t>
  </si>
  <si>
    <t>Gildaberto Solano</t>
  </si>
  <si>
    <t>cañada</t>
  </si>
  <si>
    <t>leña</t>
  </si>
  <si>
    <t>PLANILLA DEL 30/3/2026 AL 11/4/2026</t>
  </si>
  <si>
    <t>se estan pagando los dias de la semana santa</t>
  </si>
  <si>
    <t>Deshije</t>
  </si>
  <si>
    <t>encargado de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</si>
</sst>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44" fontId="0" fillId="0" borderId="0" xfId="1" applyFont="1"/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44" fontId="0" fillId="0" borderId="0" xfId="0" applyNumberFormat="1"/>
    <xf numFmtId="0" fontId="4" fillId="2" borderId="5" xfId="0" applyFont="1" applyFill="1" applyBorder="1"/>
    <xf numFmtId="0" fontId="4" fillId="2" borderId="2" xfId="0" applyFont="1" applyFill="1" applyBorder="1"/>
    <xf numFmtId="44" fontId="0" fillId="3" borderId="6" xfId="1" applyFont="1" applyFill="1" applyBorder="1"/>
    <xf numFmtId="44" fontId="0" fillId="3" borderId="7" xfId="1" applyFont="1" applyFill="1" applyBorder="1"/>
    <xf numFmtId="1" fontId="0" fillId="0" borderId="0" xfId="0" applyNumberFormat="1"/>
    <xf numFmtId="0" fontId="0" fillId="0" borderId="8" xfId="0" applyBorder="1"/>
    <xf numFmtId="0" fontId="4" fillId="2" borderId="9" xfId="0" applyFont="1" applyFill="1" applyBorder="1"/>
    <xf numFmtId="44" fontId="0" fillId="0" borderId="8" xfId="1" applyFont="1" applyBorder="1"/>
    <xf numFmtId="1" fontId="0" fillId="0" borderId="8" xfId="0" applyNumberFormat="1" applyBorder="1"/>
    <xf numFmtId="0" fontId="5" fillId="0" borderId="10" xfId="0" applyFont="1" applyBorder="1"/>
    <xf numFmtId="0" fontId="0" fillId="0" borderId="10" xfId="0" applyBorder="1"/>
    <xf numFmtId="1" fontId="0" fillId="0" borderId="10" xfId="0" applyNumberFormat="1" applyBorder="1"/>
    <xf numFmtId="44" fontId="0" fillId="0" borderId="0" xfId="1" applyFont="1" applyBorder="1"/>
    <xf numFmtId="44" fontId="5" fillId="0" borderId="10" xfId="0" applyNumberFormat="1" applyFont="1" applyBorder="1"/>
    <xf numFmtId="44" fontId="0" fillId="0" borderId="10" xfId="0" applyNumberFormat="1" applyBorder="1"/>
    <xf numFmtId="0" fontId="0" fillId="4" borderId="0" xfId="0" applyFill="1"/>
    <xf numFmtId="0" fontId="0" fillId="4" borderId="8" xfId="0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/m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</dxf>
    <dxf>
      <numFmt numFmtId="34" formatCode="_-&quot;Q&quot;* #,##0.00_-;\-&quot;Q&quot;* #,##0.00_-;_-&quot;Q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Q&quot;* #,##0.00_-;\-&quot;Q&quot;* #,##0.00_-;_-&quot;Q&quot;* &quot;-&quot;??_-;_-@_-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Q&quot;* #,##0.00_-;\-&quot;Q&quot;* #,##0.00_-;_-&quot;Q&quot;* &quot;-&quot;??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Q&quot;* #,##0.00_-;\-&quot;Q&quot;* #,##0.00_-;_-&quot;Q&quot;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Q&quot;* #,##0.00_-;\-&quot;Q&quot;* #,##0.00_-;_-&quot;Q&quot;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Q&quot;* #,##0.00_-;\-&quot;Q&quot;* #,##0.00_-;_-&quot;Q&quot;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9AD1DE-6AB8-49E4-B60F-E0CD37E7D17A}" name="Tabla6" displayName="Tabla6" ref="A1:J271" totalsRowShown="0" headerRowDxfId="4" tableBorderDxfId="3">
  <autoFilter ref="A1:J271" xr:uid="{9B9AD1DE-6AB8-49E4-B60F-E0CD37E7D17A}"/>
  <tableColumns count="10">
    <tableColumn id="1" xr3:uid="{CC5AC77E-CB9E-4448-BB82-F6D8316A84FF}" name="Fecha" dataDxfId="2"/>
    <tableColumn id="2" xr3:uid="{F5B95C28-9C43-4B1D-9D72-2BCF96658AA1}" name="Semana">
      <calculatedColumnFormula>WEEKNUM(A2,2)</calculatedColumnFormula>
    </tableColumn>
    <tableColumn id="3" xr3:uid="{1EE22517-087E-452A-BBD3-4B83A1EE323F}" name="Nombre Trabajador"/>
    <tableColumn id="4" xr3:uid="{A3E843E2-92DB-4CD2-95E5-E473EEF2ADAB}" name="DPI"/>
    <tableColumn id="5" xr3:uid="{2CB67A3A-3445-447A-8FC3-F697C6D94A97}" name="Actividad"/>
    <tableColumn id="6" xr3:uid="{7BAFBF0E-BF00-457B-B650-7B89ED583D19}" name="Lote"/>
    <tableColumn id="7" xr3:uid="{A3C69DB3-0C48-46CE-9005-62FF81794BC8}" name="Unidad">
      <calculatedColumnFormula>IFERROR(VLOOKUP(E2,Control_Actividades!A:C,2,FALSE),)</calculatedColumnFormula>
    </tableColumn>
    <tableColumn id="8" xr3:uid="{299B931A-615B-47F8-972F-E2A9B4CE5DB2}" name="Cantidad"/>
    <tableColumn id="9" xr3:uid="{B307411C-31CC-4859-ABDE-952EAC402A05}" name="Precio Unitario" dataDxfId="1" dataCellStyle="Moneda">
      <calculatedColumnFormula>IFERROR(VLOOKUP(E2,Control_Actividades!A:C,3,FALSE),"")</calculatedColumnFormula>
    </tableColumn>
    <tableColumn id="10" xr3:uid="{0D06929C-9727-43D8-8332-4DE1C3DCE811}" name="Total Devengado" dataDxfId="0" dataCellStyle="Moneda">
      <calculatedColumnFormula>H2*I2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8B9C66-E460-4B64-9F0C-4A548413A30E}" name="Tabla5" displayName="Tabla5" ref="A1:F61" totalsRowShown="0" headerRowDxfId="13">
  <autoFilter ref="A1:F61" xr:uid="{248B9C66-E460-4B64-9F0C-4A548413A30E}"/>
  <tableColumns count="6">
    <tableColumn id="1" xr3:uid="{CC2CCB08-6A46-406E-97EF-D08EF24A41FA}" name="Semana"/>
    <tableColumn id="2" xr3:uid="{190C32D5-1657-4664-9618-F4A00BF06FBB}" name="Nombre Trabajador"/>
    <tableColumn id="3" xr3:uid="{F0A345EC-4734-480D-86B7-5EF501D9EB62}" name="Total Devengado" dataDxfId="12" dataCellStyle="Moneda">
      <calculatedColumnFormula>SUMIFS(Registro_Actividades!J:J,Registro_Actividades!C:C,B2,Registro_Actividades!B:B,A2)</calculatedColumnFormula>
    </tableColumn>
    <tableColumn id="4" xr3:uid="{1C350BA4-E77C-412D-8F3E-FEF8EA4AC26C}" name="Bonificación"/>
    <tableColumn id="5" xr3:uid="{D8D26A59-066F-4E90-A12C-8245EE5E53EB}" name="Anticipos"/>
    <tableColumn id="6" xr3:uid="{D3CF5667-1EB4-41C1-B167-6922D25AFE3C}" name="Total a Pagar" dataDxfId="11" dataCellStyle="Moneda">
      <calculatedColumnFormula>C2+D2-E2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3FEEC-8949-48CA-966B-E2ED24C1B9A2}" name="Tabla3" displayName="Tabla3" ref="B2:I33" totalsRowCount="1" headerRowDxfId="33" headerRowBorderDxfId="32">
  <autoFilter ref="B2:I32" xr:uid="{B413FEEC-8949-48CA-966B-E2ED24C1B9A2}"/>
  <sortState xmlns:xlrd2="http://schemas.microsoft.com/office/spreadsheetml/2017/richdata2" ref="B3:I32">
    <sortCondition ref="B2:B32"/>
  </sortState>
  <tableColumns count="8">
    <tableColumn id="1" xr3:uid="{645AF7DF-C6AC-4528-BC52-A02B08C148D2}" name="Nombre Trabajador" totalsRowLabel="TOTAL A PAGAR"/>
    <tableColumn id="2" xr3:uid="{89650B9C-5F27-42BF-8A4C-2E1EC06D7BF9}" name="Total Devengado" dataDxfId="10" dataCellStyle="Moneda">
      <calculatedColumnFormula>+SUMIFS(Resumen_Semanal!F:F,Resumen_Semanal!B:B,Resumen_Semanal!B2)</calculatedColumnFormula>
    </tableColumn>
    <tableColumn id="3" xr3:uid="{94CCFA5C-532E-4F47-A314-72AB20B02070}" name="Bonificación" dataDxfId="9" dataCellStyle="Moneda"/>
    <tableColumn id="4" xr3:uid="{9FEAB678-CC0C-4174-92DC-805195293C92}" name="Anticipos" dataDxfId="8" dataCellStyle="Moneda"/>
    <tableColumn id="5" xr3:uid="{77E61ECB-F34B-4130-8B41-FAAF57624B65}" name="Total a Pagar" totalsRowFunction="sum" dataDxfId="7" totalsRowDxfId="6" dataCellStyle="Moneda">
      <calculatedColumnFormula>C3+D3-E3</calculatedColumnFormula>
    </tableColumn>
    <tableColumn id="6" xr3:uid="{DC662046-4E08-4704-AE93-1465A0E63A0F}" name="DPI" dataDxfId="5"/>
    <tableColumn id="7" xr3:uid="{0B199241-82CD-4D0F-9FB5-8576D9B0F783}" name="# DE CUENTA"/>
    <tableColumn id="8" xr3:uid="{DB289388-D0FB-4D35-B6F4-096CB144C5F8}" name="BANC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BF7F1-9FF1-405D-AE2E-9A8B05E54FA4}" name="Tabla4" displayName="Tabla4" ref="B36:I43" totalsRowCount="1" headerRowDxfId="31" headerRowBorderDxfId="30">
  <autoFilter ref="B36:I42" xr:uid="{373BF7F1-9FF1-405D-AE2E-9A8B05E54FA4}"/>
  <tableColumns count="8">
    <tableColumn id="1" xr3:uid="{8BF53438-8DAB-49FE-A023-CFD38AD79564}" name="Nombre Trabajador" dataDxfId="29" totalsRowDxfId="28"/>
    <tableColumn id="2" xr3:uid="{37E30708-A6CC-4741-A562-5ED78BF11765}" name="Total Devengado" dataDxfId="27" totalsRowDxfId="26" dataCellStyle="Moneda"/>
    <tableColumn id="3" xr3:uid="{2B5C1523-02D1-42FA-8359-59D7B7F51401}" name="Bonificación" dataDxfId="25" totalsRowDxfId="24" dataCellStyle="Moneda">
      <calculatedColumnFormula>75*4</calculatedColumnFormula>
    </tableColumn>
    <tableColumn id="4" xr3:uid="{236C5DC0-B188-43CA-A177-FBCBA41FB4F8}" name="Anticipos" dataDxfId="23" totalsRowDxfId="22"/>
    <tableColumn id="5" xr3:uid="{14C01F3E-16BB-496E-AFD7-EF050002E9BC}" name="Total a Pagar" totalsRowFunction="sum" dataDxfId="21" totalsRowDxfId="20" dataCellStyle="Moneda">
      <calculatedColumnFormula>+Tabla4[[#This Row],[Total Devengado]]+Tabla4[[#This Row],[Bonificación]]-Tabla4[[#This Row],[Anticipos]]</calculatedColumnFormula>
    </tableColumn>
    <tableColumn id="6" xr3:uid="{512682F2-753F-49D2-AC09-3613CE226944}" name="DPI" dataDxfId="19" totalsRowDxfId="18"/>
    <tableColumn id="7" xr3:uid="{58C6CF88-C75D-4D3E-A07E-C45B94C08579}" name="# DE CUENTA" dataDxfId="17" totalsRowDxfId="16"/>
    <tableColumn id="8" xr3:uid="{87B2F7A5-B7BC-4338-9053-5EF2ECA7EB7C}" name="BANCO" dataDxfId="15" totalsRow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2"/>
  <sheetViews>
    <sheetView tabSelected="1" topLeftCell="A235" workbookViewId="0">
      <selection activeCell="L249" sqref="L249"/>
    </sheetView>
  </sheetViews>
  <sheetFormatPr baseColWidth="10" defaultColWidth="8.88671875" defaultRowHeight="14.4" x14ac:dyDescent="0.3"/>
  <cols>
    <col min="1" max="1" width="12" customWidth="1"/>
    <col min="2" max="2" width="11.33203125" bestFit="1" customWidth="1"/>
    <col min="3" max="3" width="27.33203125" bestFit="1" customWidth="1"/>
    <col min="4" max="4" width="18" customWidth="1"/>
    <col min="5" max="5" width="20" customWidth="1"/>
    <col min="6" max="6" width="15" customWidth="1"/>
    <col min="7" max="7" width="12" customWidth="1"/>
    <col min="8" max="8" width="10.44140625" customWidth="1"/>
    <col min="9" max="9" width="15.33203125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46111</v>
      </c>
      <c r="B2">
        <f>WEEKNUM(A2,2)</f>
        <v>14</v>
      </c>
      <c r="C2" t="s">
        <v>22</v>
      </c>
      <c r="E2" t="s">
        <v>78</v>
      </c>
      <c r="F2" t="s">
        <v>55</v>
      </c>
      <c r="G2" t="str">
        <f>IFERROR(VLOOKUP(E2,Control_Actividades!A:C,2,FALSE),)</f>
        <v>Dia</v>
      </c>
      <c r="H2">
        <v>1</v>
      </c>
      <c r="I2" s="3">
        <f>IFERROR(VLOOKUP(E2,Control_Actividades!A:C,3,FALSE),"")</f>
        <v>130</v>
      </c>
      <c r="J2" s="3">
        <f t="shared" ref="J2:J31" si="0">H2*I2</f>
        <v>130</v>
      </c>
    </row>
    <row r="3" spans="1:10" x14ac:dyDescent="0.3">
      <c r="A3" s="2">
        <v>46111</v>
      </c>
      <c r="B3">
        <f t="shared" ref="B3:B66" si="1">WEEKNUM(A3,2)</f>
        <v>14</v>
      </c>
      <c r="C3" t="s">
        <v>23</v>
      </c>
      <c r="E3" t="s">
        <v>10</v>
      </c>
      <c r="F3" t="s">
        <v>56</v>
      </c>
      <c r="G3" t="str">
        <f>IFERROR(VLOOKUP(E3,Control_Actividades!A:C,2,FALSE),)</f>
        <v>Quintal</v>
      </c>
      <c r="H3">
        <v>0.8</v>
      </c>
      <c r="I3" s="3">
        <f>IFERROR(VLOOKUP(E3,Control_Actividades!A:C,3,FALSE),"")</f>
        <v>70</v>
      </c>
      <c r="J3" s="3">
        <f t="shared" si="0"/>
        <v>56</v>
      </c>
    </row>
    <row r="4" spans="1:10" x14ac:dyDescent="0.3">
      <c r="A4" s="2">
        <v>46111</v>
      </c>
      <c r="B4">
        <f t="shared" si="1"/>
        <v>14</v>
      </c>
      <c r="C4" t="s">
        <v>24</v>
      </c>
      <c r="E4" t="s">
        <v>10</v>
      </c>
      <c r="F4" t="s">
        <v>56</v>
      </c>
      <c r="G4" t="str">
        <f>IFERROR(VLOOKUP(E4,Control_Actividades!A:C,2,FALSE),)</f>
        <v>Quintal</v>
      </c>
      <c r="H4">
        <v>0.85</v>
      </c>
      <c r="I4" s="3">
        <f>IFERROR(VLOOKUP(E4,Control_Actividades!A:C,3,FALSE),"")</f>
        <v>70</v>
      </c>
      <c r="J4" s="3">
        <f t="shared" si="0"/>
        <v>59.5</v>
      </c>
    </row>
    <row r="5" spans="1:10" x14ac:dyDescent="0.3">
      <c r="A5" s="2">
        <v>46111</v>
      </c>
      <c r="B5">
        <f t="shared" si="1"/>
        <v>14</v>
      </c>
      <c r="C5" t="s">
        <v>25</v>
      </c>
      <c r="E5" t="s">
        <v>10</v>
      </c>
      <c r="F5" t="s">
        <v>56</v>
      </c>
      <c r="G5" t="str">
        <f>IFERROR(VLOOKUP(E5,Control_Actividades!A:C,2,FALSE),)</f>
        <v>Quintal</v>
      </c>
      <c r="H5">
        <v>0.85</v>
      </c>
      <c r="I5" s="3">
        <f>IFERROR(VLOOKUP(E5,Control_Actividades!A:C,3,FALSE),"")</f>
        <v>70</v>
      </c>
      <c r="J5" s="3">
        <f t="shared" si="0"/>
        <v>59.5</v>
      </c>
    </row>
    <row r="6" spans="1:10" x14ac:dyDescent="0.3">
      <c r="A6" s="2">
        <v>46111</v>
      </c>
      <c r="B6">
        <f t="shared" si="1"/>
        <v>14</v>
      </c>
      <c r="C6" t="s">
        <v>26</v>
      </c>
      <c r="E6" t="s">
        <v>10</v>
      </c>
      <c r="F6" t="s">
        <v>56</v>
      </c>
      <c r="G6" t="str">
        <f>IFERROR(VLOOKUP(E6,Control_Actividades!A:C,2,FALSE),)</f>
        <v>Quintal</v>
      </c>
      <c r="H6">
        <v>0.9</v>
      </c>
      <c r="I6" s="3">
        <f>IFERROR(VLOOKUP(E6,Control_Actividades!A:C,3,FALSE),"")</f>
        <v>70</v>
      </c>
      <c r="J6" s="3">
        <f t="shared" si="0"/>
        <v>63</v>
      </c>
    </row>
    <row r="7" spans="1:10" x14ac:dyDescent="0.3">
      <c r="A7" s="2">
        <v>46111</v>
      </c>
      <c r="B7">
        <f t="shared" si="1"/>
        <v>14</v>
      </c>
      <c r="C7" t="s">
        <v>27</v>
      </c>
      <c r="E7" t="s">
        <v>10</v>
      </c>
      <c r="F7" t="s">
        <v>56</v>
      </c>
      <c r="G7" t="str">
        <f>IFERROR(VLOOKUP(E7,Control_Actividades!A:C,2,FALSE),)</f>
        <v>Quintal</v>
      </c>
      <c r="H7">
        <v>1.05</v>
      </c>
      <c r="I7" s="3">
        <f>IFERROR(VLOOKUP(E7,Control_Actividades!A:C,3,FALSE),"")</f>
        <v>70</v>
      </c>
      <c r="J7" s="3">
        <f t="shared" si="0"/>
        <v>73.5</v>
      </c>
    </row>
    <row r="8" spans="1:10" x14ac:dyDescent="0.3">
      <c r="A8" s="2">
        <v>46111</v>
      </c>
      <c r="B8">
        <f t="shared" si="1"/>
        <v>14</v>
      </c>
      <c r="C8" t="s">
        <v>28</v>
      </c>
      <c r="E8" t="s">
        <v>10</v>
      </c>
      <c r="F8" t="s">
        <v>56</v>
      </c>
      <c r="G8" t="str">
        <f>IFERROR(VLOOKUP(E8,Control_Actividades!A:C,2,FALSE),)</f>
        <v>Quintal</v>
      </c>
      <c r="H8">
        <v>1.05</v>
      </c>
      <c r="I8" s="3">
        <f>IFERROR(VLOOKUP(E8,Control_Actividades!A:C,3,FALSE),"")</f>
        <v>70</v>
      </c>
      <c r="J8" s="3">
        <f t="shared" si="0"/>
        <v>73.5</v>
      </c>
    </row>
    <row r="9" spans="1:10" x14ac:dyDescent="0.3">
      <c r="A9" s="2">
        <v>46111</v>
      </c>
      <c r="B9">
        <f t="shared" si="1"/>
        <v>14</v>
      </c>
      <c r="C9" t="s">
        <v>29</v>
      </c>
      <c r="E9" t="s">
        <v>10</v>
      </c>
      <c r="F9" t="s">
        <v>56</v>
      </c>
      <c r="G9" t="str">
        <f>IFERROR(VLOOKUP(E9,Control_Actividades!A:C,2,FALSE),)</f>
        <v>Quintal</v>
      </c>
      <c r="H9">
        <v>0.35</v>
      </c>
      <c r="I9" s="3">
        <f>IFERROR(VLOOKUP(E9,Control_Actividades!A:C,3,FALSE),"")</f>
        <v>70</v>
      </c>
      <c r="J9" s="3">
        <f t="shared" si="0"/>
        <v>24.5</v>
      </c>
    </row>
    <row r="10" spans="1:10" x14ac:dyDescent="0.3">
      <c r="A10" s="2">
        <v>46111</v>
      </c>
      <c r="B10">
        <f t="shared" si="1"/>
        <v>14</v>
      </c>
      <c r="C10" t="s">
        <v>30</v>
      </c>
      <c r="E10" t="s">
        <v>10</v>
      </c>
      <c r="F10" t="s">
        <v>56</v>
      </c>
      <c r="G10" t="str">
        <f>IFERROR(VLOOKUP(E10,Control_Actividades!A:C,2,FALSE),)</f>
        <v>Quintal</v>
      </c>
      <c r="H10">
        <v>0.4</v>
      </c>
      <c r="I10" s="3">
        <f>IFERROR(VLOOKUP(E10,Control_Actividades!A:C,3,FALSE),"")</f>
        <v>70</v>
      </c>
      <c r="J10" s="3">
        <f t="shared" si="0"/>
        <v>28</v>
      </c>
    </row>
    <row r="11" spans="1:10" x14ac:dyDescent="0.3">
      <c r="A11" s="2">
        <v>46111</v>
      </c>
      <c r="B11">
        <f t="shared" si="1"/>
        <v>14</v>
      </c>
      <c r="C11" t="s">
        <v>31</v>
      </c>
      <c r="E11" t="s">
        <v>10</v>
      </c>
      <c r="F11" t="s">
        <v>56</v>
      </c>
      <c r="G11" t="str">
        <f>IFERROR(VLOOKUP(E11,Control_Actividades!A:C,2,FALSE),)</f>
        <v>Quintal</v>
      </c>
      <c r="H11">
        <v>1.05</v>
      </c>
      <c r="I11" s="3">
        <f>IFERROR(VLOOKUP(E11,Control_Actividades!A:C,3,FALSE),"")</f>
        <v>70</v>
      </c>
      <c r="J11" s="3">
        <f t="shared" si="0"/>
        <v>73.5</v>
      </c>
    </row>
    <row r="12" spans="1:10" x14ac:dyDescent="0.3">
      <c r="A12" s="2">
        <v>46111</v>
      </c>
      <c r="B12">
        <f t="shared" si="1"/>
        <v>14</v>
      </c>
      <c r="C12" t="s">
        <v>32</v>
      </c>
      <c r="E12" t="s">
        <v>10</v>
      </c>
      <c r="F12" t="s">
        <v>56</v>
      </c>
      <c r="G12" t="str">
        <f>IFERROR(VLOOKUP(E12,Control_Actividades!A:C,2,FALSE),)</f>
        <v>Quintal</v>
      </c>
      <c r="H12">
        <v>0.5</v>
      </c>
      <c r="I12" s="3">
        <f>IFERROR(VLOOKUP(E12,Control_Actividades!A:C,3,FALSE),"")</f>
        <v>70</v>
      </c>
      <c r="J12" s="3">
        <f t="shared" si="0"/>
        <v>35</v>
      </c>
    </row>
    <row r="13" spans="1:10" x14ac:dyDescent="0.3">
      <c r="A13" s="2">
        <v>46111</v>
      </c>
      <c r="B13">
        <f t="shared" si="1"/>
        <v>14</v>
      </c>
      <c r="C13" t="s">
        <v>33</v>
      </c>
      <c r="E13" t="s">
        <v>10</v>
      </c>
      <c r="F13" t="s">
        <v>56</v>
      </c>
      <c r="G13" t="str">
        <f>IFERROR(VLOOKUP(E13,Control_Actividades!A:C,2,FALSE),)</f>
        <v>Quintal</v>
      </c>
      <c r="H13">
        <v>0.5</v>
      </c>
      <c r="I13" s="3">
        <f>IFERROR(VLOOKUP(E13,Control_Actividades!A:C,3,FALSE),"")</f>
        <v>70</v>
      </c>
      <c r="J13" s="3">
        <f t="shared" si="0"/>
        <v>35</v>
      </c>
    </row>
    <row r="14" spans="1:10" x14ac:dyDescent="0.3">
      <c r="A14" s="2">
        <v>46111</v>
      </c>
      <c r="B14">
        <f t="shared" si="1"/>
        <v>14</v>
      </c>
      <c r="C14" t="s">
        <v>34</v>
      </c>
      <c r="E14" t="s">
        <v>10</v>
      </c>
      <c r="F14" t="s">
        <v>56</v>
      </c>
      <c r="G14" t="str">
        <f>IFERROR(VLOOKUP(E14,Control_Actividades!A:C,2,FALSE),)</f>
        <v>Quintal</v>
      </c>
      <c r="H14">
        <v>0.9</v>
      </c>
      <c r="I14" s="3">
        <f>IFERROR(VLOOKUP(E14,Control_Actividades!A:C,3,FALSE),"")</f>
        <v>70</v>
      </c>
      <c r="J14" s="3">
        <f t="shared" si="0"/>
        <v>63</v>
      </c>
    </row>
    <row r="15" spans="1:10" x14ac:dyDescent="0.3">
      <c r="A15" s="2">
        <v>46111</v>
      </c>
      <c r="B15">
        <f t="shared" si="1"/>
        <v>14</v>
      </c>
      <c r="C15" t="s">
        <v>35</v>
      </c>
      <c r="E15" t="s">
        <v>17</v>
      </c>
      <c r="F15" t="s">
        <v>56</v>
      </c>
      <c r="G15" t="str">
        <f>IFERROR(VLOOKUP(E15,Control_Actividades!A:C,2,FALSE),)</f>
        <v>Manzana</v>
      </c>
      <c r="H15">
        <v>0.5</v>
      </c>
      <c r="I15" s="3">
        <f>IFERROR(VLOOKUP(E15,Control_Actividades!A:C,3,FALSE),"")</f>
        <v>110</v>
      </c>
      <c r="J15" s="3">
        <f t="shared" si="0"/>
        <v>55</v>
      </c>
    </row>
    <row r="16" spans="1:10" x14ac:dyDescent="0.3">
      <c r="A16" s="2">
        <v>46111</v>
      </c>
      <c r="B16">
        <f t="shared" si="1"/>
        <v>14</v>
      </c>
      <c r="C16" t="s">
        <v>36</v>
      </c>
      <c r="E16" t="s">
        <v>10</v>
      </c>
      <c r="F16" t="s">
        <v>56</v>
      </c>
      <c r="G16" t="str">
        <f>IFERROR(VLOOKUP(E16,Control_Actividades!A:C,2,FALSE),)</f>
        <v>Quintal</v>
      </c>
      <c r="H16">
        <v>0.8</v>
      </c>
      <c r="I16" s="3">
        <f>IFERROR(VLOOKUP(E16,Control_Actividades!A:C,3,FALSE),"")</f>
        <v>70</v>
      </c>
      <c r="J16" s="3">
        <f t="shared" si="0"/>
        <v>56</v>
      </c>
    </row>
    <row r="17" spans="1:10" x14ac:dyDescent="0.3">
      <c r="A17" s="2">
        <v>46111</v>
      </c>
      <c r="B17">
        <f t="shared" si="1"/>
        <v>14</v>
      </c>
      <c r="C17" t="s">
        <v>37</v>
      </c>
      <c r="E17" t="s">
        <v>55</v>
      </c>
      <c r="F17" t="s">
        <v>55</v>
      </c>
      <c r="G17" t="s">
        <v>58</v>
      </c>
      <c r="H17">
        <v>1</v>
      </c>
      <c r="I17" s="3">
        <v>100</v>
      </c>
      <c r="J17" s="3">
        <f t="shared" si="0"/>
        <v>100</v>
      </c>
    </row>
    <row r="18" spans="1:10" x14ac:dyDescent="0.3">
      <c r="A18" s="2">
        <v>46111</v>
      </c>
      <c r="B18">
        <f t="shared" si="1"/>
        <v>14</v>
      </c>
      <c r="C18" t="s">
        <v>38</v>
      </c>
      <c r="E18" t="s">
        <v>10</v>
      </c>
      <c r="F18" t="s">
        <v>56</v>
      </c>
      <c r="G18" t="str">
        <f>IFERROR(VLOOKUP(E18,Control_Actividades!A:C,2,FALSE),)</f>
        <v>Quintal</v>
      </c>
      <c r="H18">
        <v>0.4</v>
      </c>
      <c r="I18" s="3">
        <f>IFERROR(VLOOKUP(E18,Control_Actividades!A:C,3,FALSE),"")</f>
        <v>70</v>
      </c>
      <c r="J18" s="3">
        <f t="shared" si="0"/>
        <v>28</v>
      </c>
    </row>
    <row r="19" spans="1:10" x14ac:dyDescent="0.3">
      <c r="A19" s="2">
        <v>46111</v>
      </c>
      <c r="B19">
        <f t="shared" si="1"/>
        <v>14</v>
      </c>
      <c r="C19" t="s">
        <v>39</v>
      </c>
      <c r="E19" t="s">
        <v>17</v>
      </c>
      <c r="F19" t="s">
        <v>56</v>
      </c>
      <c r="G19" t="str">
        <f>IFERROR(VLOOKUP(E19,Control_Actividades!A:C,2,FALSE),)</f>
        <v>Manzana</v>
      </c>
      <c r="H19">
        <v>0.5</v>
      </c>
      <c r="I19" s="3">
        <f>IFERROR(VLOOKUP(E19,Control_Actividades!A:C,3,FALSE),"")</f>
        <v>110</v>
      </c>
      <c r="J19" s="3">
        <f t="shared" si="0"/>
        <v>55</v>
      </c>
    </row>
    <row r="20" spans="1:10" x14ac:dyDescent="0.3">
      <c r="A20" s="2">
        <v>46111</v>
      </c>
      <c r="B20">
        <f t="shared" si="1"/>
        <v>14</v>
      </c>
      <c r="C20" t="s">
        <v>40</v>
      </c>
      <c r="E20" t="s">
        <v>10</v>
      </c>
      <c r="F20" t="s">
        <v>56</v>
      </c>
      <c r="G20" t="str">
        <f>IFERROR(VLOOKUP(E20,Control_Actividades!A:C,2,FALSE),)</f>
        <v>Quintal</v>
      </c>
      <c r="H20">
        <v>0.4</v>
      </c>
      <c r="I20" s="3">
        <f>IFERROR(VLOOKUP(E20,Control_Actividades!A:C,3,FALSE),"")</f>
        <v>70</v>
      </c>
      <c r="J20" s="3">
        <f t="shared" si="0"/>
        <v>28</v>
      </c>
    </row>
    <row r="21" spans="1:10" x14ac:dyDescent="0.3">
      <c r="A21" s="2">
        <v>46111</v>
      </c>
      <c r="B21">
        <f t="shared" si="1"/>
        <v>14</v>
      </c>
      <c r="C21" t="s">
        <v>41</v>
      </c>
      <c r="E21" t="s">
        <v>10</v>
      </c>
      <c r="F21" t="s">
        <v>56</v>
      </c>
      <c r="G21" t="str">
        <f>IFERROR(VLOOKUP(E21,Control_Actividades!A:C,2,FALSE),)</f>
        <v>Quintal</v>
      </c>
      <c r="H21">
        <v>1.1499999999999999</v>
      </c>
      <c r="I21" s="3">
        <f>IFERROR(VLOOKUP(E21,Control_Actividades!A:C,3,FALSE),"")</f>
        <v>70</v>
      </c>
      <c r="J21" s="3">
        <f t="shared" si="0"/>
        <v>80.5</v>
      </c>
    </row>
    <row r="22" spans="1:10" x14ac:dyDescent="0.3">
      <c r="A22" s="2">
        <v>46111</v>
      </c>
      <c r="B22">
        <f t="shared" si="1"/>
        <v>14</v>
      </c>
      <c r="C22" t="s">
        <v>42</v>
      </c>
      <c r="E22" t="s">
        <v>10</v>
      </c>
      <c r="F22" t="s">
        <v>56</v>
      </c>
      <c r="G22" t="str">
        <f>IFERROR(VLOOKUP(E22,Control_Actividades!A:C,2,FALSE),)</f>
        <v>Quintal</v>
      </c>
      <c r="H22">
        <v>0.55000000000000004</v>
      </c>
      <c r="I22" s="3">
        <f>IFERROR(VLOOKUP(E22,Control_Actividades!A:C,3,FALSE),"")</f>
        <v>70</v>
      </c>
      <c r="J22" s="3">
        <f t="shared" si="0"/>
        <v>38.5</v>
      </c>
    </row>
    <row r="23" spans="1:10" x14ac:dyDescent="0.3">
      <c r="A23" s="2">
        <v>46111</v>
      </c>
      <c r="B23">
        <f t="shared" si="1"/>
        <v>14</v>
      </c>
      <c r="C23" t="s">
        <v>43</v>
      </c>
      <c r="E23" t="s">
        <v>10</v>
      </c>
      <c r="F23" t="s">
        <v>56</v>
      </c>
      <c r="G23" t="str">
        <f>IFERROR(VLOOKUP(E23,Control_Actividades!A:C,2,FALSE),)</f>
        <v>Quintal</v>
      </c>
      <c r="I23" s="3">
        <f>IFERROR(VLOOKUP(E23,Control_Actividades!A:C,3,FALSE),"")</f>
        <v>70</v>
      </c>
      <c r="J23" s="3">
        <f t="shared" si="0"/>
        <v>0</v>
      </c>
    </row>
    <row r="24" spans="1:10" x14ac:dyDescent="0.3">
      <c r="A24" s="2">
        <v>46111</v>
      </c>
      <c r="B24">
        <f t="shared" si="1"/>
        <v>14</v>
      </c>
      <c r="C24" t="s">
        <v>44</v>
      </c>
      <c r="E24" t="s">
        <v>10</v>
      </c>
      <c r="F24" t="s">
        <v>56</v>
      </c>
      <c r="G24" t="str">
        <f>IFERROR(VLOOKUP(E24,Control_Actividades!A:C,2,FALSE),)</f>
        <v>Quintal</v>
      </c>
      <c r="H24">
        <v>0.45</v>
      </c>
      <c r="I24" s="3">
        <f>IFERROR(VLOOKUP(E24,Control_Actividades!A:C,3,FALSE),"")</f>
        <v>70</v>
      </c>
      <c r="J24" s="3">
        <f t="shared" si="0"/>
        <v>31.5</v>
      </c>
    </row>
    <row r="25" spans="1:10" x14ac:dyDescent="0.3">
      <c r="A25" s="2">
        <v>46111</v>
      </c>
      <c r="B25">
        <f t="shared" si="1"/>
        <v>14</v>
      </c>
      <c r="C25" t="s">
        <v>45</v>
      </c>
      <c r="E25" t="s">
        <v>10</v>
      </c>
      <c r="F25" t="s">
        <v>56</v>
      </c>
      <c r="G25" t="str">
        <f>IFERROR(VLOOKUP(E25,Control_Actividades!A:C,2,FALSE),)</f>
        <v>Quintal</v>
      </c>
      <c r="H25">
        <v>0.7</v>
      </c>
      <c r="I25" s="3">
        <f>IFERROR(VLOOKUP(E25,Control_Actividades!A:C,3,FALSE),"")</f>
        <v>70</v>
      </c>
      <c r="J25" s="3">
        <f t="shared" si="0"/>
        <v>49</v>
      </c>
    </row>
    <row r="26" spans="1:10" x14ac:dyDescent="0.3">
      <c r="A26" s="2">
        <v>46111</v>
      </c>
      <c r="B26">
        <f t="shared" si="1"/>
        <v>14</v>
      </c>
      <c r="C26" t="s">
        <v>46</v>
      </c>
      <c r="E26" t="s">
        <v>10</v>
      </c>
      <c r="F26" t="s">
        <v>56</v>
      </c>
      <c r="G26" t="str">
        <f>IFERROR(VLOOKUP(E26,Control_Actividades!A:C,2,FALSE),)</f>
        <v>Quintal</v>
      </c>
      <c r="H26">
        <v>0.7</v>
      </c>
      <c r="I26" s="3">
        <f>IFERROR(VLOOKUP(E26,Control_Actividades!A:C,3,FALSE),"")</f>
        <v>70</v>
      </c>
      <c r="J26" s="3">
        <f t="shared" si="0"/>
        <v>49</v>
      </c>
    </row>
    <row r="27" spans="1:10" x14ac:dyDescent="0.3">
      <c r="A27" s="2">
        <v>46111</v>
      </c>
      <c r="B27">
        <f t="shared" si="1"/>
        <v>14</v>
      </c>
      <c r="C27" t="s">
        <v>47</v>
      </c>
      <c r="E27" t="s">
        <v>10</v>
      </c>
      <c r="F27" t="s">
        <v>56</v>
      </c>
      <c r="G27" t="str">
        <f>IFERROR(VLOOKUP(E27,Control_Actividades!A:C,2,FALSE),)</f>
        <v>Quintal</v>
      </c>
      <c r="H27">
        <v>1</v>
      </c>
      <c r="I27" s="3">
        <f>IFERROR(VLOOKUP(E27,Control_Actividades!A:C,3,FALSE),"")</f>
        <v>70</v>
      </c>
      <c r="J27" s="3">
        <f t="shared" si="0"/>
        <v>70</v>
      </c>
    </row>
    <row r="28" spans="1:10" x14ac:dyDescent="0.3">
      <c r="A28" s="2">
        <v>46111</v>
      </c>
      <c r="B28">
        <f t="shared" si="1"/>
        <v>14</v>
      </c>
      <c r="C28" t="s">
        <v>48</v>
      </c>
      <c r="E28" t="s">
        <v>10</v>
      </c>
      <c r="F28" t="s">
        <v>56</v>
      </c>
      <c r="G28" t="str">
        <f>IFERROR(VLOOKUP(E28,Control_Actividades!A:C,2,FALSE),)</f>
        <v>Quintal</v>
      </c>
      <c r="H28">
        <v>1.2</v>
      </c>
      <c r="I28" s="3">
        <f>IFERROR(VLOOKUP(E28,Control_Actividades!A:C,3,FALSE),"")</f>
        <v>70</v>
      </c>
      <c r="J28" s="3">
        <f t="shared" si="0"/>
        <v>84</v>
      </c>
    </row>
    <row r="29" spans="1:10" x14ac:dyDescent="0.3">
      <c r="A29" s="2">
        <v>46111</v>
      </c>
      <c r="B29">
        <f t="shared" si="1"/>
        <v>14</v>
      </c>
      <c r="C29" t="s">
        <v>49</v>
      </c>
      <c r="E29" t="s">
        <v>10</v>
      </c>
      <c r="F29" t="s">
        <v>56</v>
      </c>
      <c r="G29" t="str">
        <f>IFERROR(VLOOKUP(E29,Control_Actividades!A:C,2,FALSE),)</f>
        <v>Quintal</v>
      </c>
      <c r="H29">
        <v>0.6</v>
      </c>
      <c r="I29" s="3">
        <f>IFERROR(VLOOKUP(E29,Control_Actividades!A:C,3,FALSE),"")</f>
        <v>70</v>
      </c>
      <c r="J29" s="3">
        <f t="shared" si="0"/>
        <v>42</v>
      </c>
    </row>
    <row r="30" spans="1:10" x14ac:dyDescent="0.3">
      <c r="A30" s="2">
        <v>46111</v>
      </c>
      <c r="B30">
        <f t="shared" si="1"/>
        <v>14</v>
      </c>
      <c r="C30" t="s">
        <v>50</v>
      </c>
      <c r="E30" t="s">
        <v>10</v>
      </c>
      <c r="F30" t="s">
        <v>56</v>
      </c>
      <c r="G30" t="str">
        <f>IFERROR(VLOOKUP(E30,Control_Actividades!A:C,2,FALSE),)</f>
        <v>Quintal</v>
      </c>
      <c r="H30">
        <v>0.6</v>
      </c>
      <c r="I30" s="3">
        <f>IFERROR(VLOOKUP(E30,Control_Actividades!A:C,3,FALSE),"")</f>
        <v>70</v>
      </c>
      <c r="J30" s="3">
        <f t="shared" si="0"/>
        <v>42</v>
      </c>
    </row>
    <row r="31" spans="1:10" x14ac:dyDescent="0.3">
      <c r="A31" s="4">
        <v>46111</v>
      </c>
      <c r="B31" s="5">
        <f t="shared" si="1"/>
        <v>14</v>
      </c>
      <c r="C31" s="5" t="s">
        <v>51</v>
      </c>
      <c r="D31" s="5"/>
      <c r="E31" s="5" t="s">
        <v>10</v>
      </c>
      <c r="F31" s="5" t="s">
        <v>56</v>
      </c>
      <c r="G31" s="5" t="str">
        <f>IFERROR(VLOOKUP(E31,Control_Actividades!A:C,2,FALSE),)</f>
        <v>Quintal</v>
      </c>
      <c r="H31" s="5">
        <v>0.75</v>
      </c>
      <c r="I31" s="6">
        <f>IFERROR(VLOOKUP(E31,Control_Actividades!A:C,3,FALSE),"")</f>
        <v>70</v>
      </c>
      <c r="J31" s="6">
        <f t="shared" si="0"/>
        <v>52.5</v>
      </c>
    </row>
    <row r="32" spans="1:10" x14ac:dyDescent="0.3">
      <c r="A32" s="2">
        <v>46112</v>
      </c>
      <c r="B32">
        <f t="shared" si="1"/>
        <v>14</v>
      </c>
      <c r="C32" t="s">
        <v>22</v>
      </c>
      <c r="E32" t="s">
        <v>54</v>
      </c>
      <c r="F32" t="s">
        <v>55</v>
      </c>
      <c r="G32" t="str">
        <f>IFERROR(VLOOKUP(E32,Control_Actividades!A:C,2,FALSE),)</f>
        <v>Dia</v>
      </c>
      <c r="H32">
        <v>1</v>
      </c>
      <c r="I32" s="3">
        <f>IFERROR(VLOOKUP(E32,Control_Actividades!A:C,3,FALSE),"")</f>
        <v>130</v>
      </c>
      <c r="J32" s="3">
        <f t="shared" ref="J32:J63" si="2">H32*I32</f>
        <v>130</v>
      </c>
    </row>
    <row r="33" spans="1:10" x14ac:dyDescent="0.3">
      <c r="A33" s="2">
        <v>46112</v>
      </c>
      <c r="B33">
        <f t="shared" si="1"/>
        <v>14</v>
      </c>
      <c r="C33" t="s">
        <v>23</v>
      </c>
      <c r="E33" t="s">
        <v>10</v>
      </c>
      <c r="F33" t="s">
        <v>73</v>
      </c>
      <c r="G33" t="str">
        <f>IFERROR(VLOOKUP(E33,Control_Actividades!A:C,2,FALSE),)</f>
        <v>Quintal</v>
      </c>
      <c r="H33">
        <v>0.9</v>
      </c>
      <c r="I33" s="3">
        <f>IFERROR(VLOOKUP(E33,Control_Actividades!A:C,3,FALSE),"")</f>
        <v>70</v>
      </c>
      <c r="J33" s="3">
        <f t="shared" si="2"/>
        <v>63</v>
      </c>
    </row>
    <row r="34" spans="1:10" x14ac:dyDescent="0.3">
      <c r="A34" s="2">
        <v>46112</v>
      </c>
      <c r="B34">
        <f t="shared" si="1"/>
        <v>14</v>
      </c>
      <c r="C34" t="s">
        <v>24</v>
      </c>
      <c r="E34" t="s">
        <v>10</v>
      </c>
      <c r="F34" t="s">
        <v>73</v>
      </c>
      <c r="G34" t="str">
        <f>IFERROR(VLOOKUP(E34,Control_Actividades!A:C,2,FALSE),)</f>
        <v>Quintal</v>
      </c>
      <c r="H34">
        <v>0.95</v>
      </c>
      <c r="I34" s="3">
        <f>IFERROR(VLOOKUP(E34,Control_Actividades!A:C,3,FALSE),"")</f>
        <v>70</v>
      </c>
      <c r="J34" s="3">
        <f t="shared" si="2"/>
        <v>66.5</v>
      </c>
    </row>
    <row r="35" spans="1:10" x14ac:dyDescent="0.3">
      <c r="A35" s="2">
        <v>46112</v>
      </c>
      <c r="B35">
        <f t="shared" si="1"/>
        <v>14</v>
      </c>
      <c r="C35" t="s">
        <v>25</v>
      </c>
      <c r="E35" t="s">
        <v>10</v>
      </c>
      <c r="F35" t="s">
        <v>73</v>
      </c>
      <c r="G35" t="str">
        <f>IFERROR(VLOOKUP(E35,Control_Actividades!A:C,2,FALSE),)</f>
        <v>Quintal</v>
      </c>
      <c r="H35">
        <v>1.1499999999999999</v>
      </c>
      <c r="I35" s="3">
        <f>IFERROR(VLOOKUP(E35,Control_Actividades!A:C,3,FALSE),"")</f>
        <v>70</v>
      </c>
      <c r="J35" s="3">
        <f t="shared" si="2"/>
        <v>80.5</v>
      </c>
    </row>
    <row r="36" spans="1:10" x14ac:dyDescent="0.3">
      <c r="A36" s="2">
        <v>46112</v>
      </c>
      <c r="B36">
        <f t="shared" si="1"/>
        <v>14</v>
      </c>
      <c r="C36" t="s">
        <v>26</v>
      </c>
      <c r="E36" t="s">
        <v>10</v>
      </c>
      <c r="F36" t="s">
        <v>73</v>
      </c>
      <c r="G36" t="str">
        <f>IFERROR(VLOOKUP(E36,Control_Actividades!A:C,2,FALSE),)</f>
        <v>Quintal</v>
      </c>
      <c r="H36">
        <v>0.8</v>
      </c>
      <c r="I36" s="3">
        <f>IFERROR(VLOOKUP(E36,Control_Actividades!A:C,3,FALSE),"")</f>
        <v>70</v>
      </c>
      <c r="J36" s="3">
        <f t="shared" si="2"/>
        <v>56</v>
      </c>
    </row>
    <row r="37" spans="1:10" x14ac:dyDescent="0.3">
      <c r="A37" s="2">
        <v>46112</v>
      </c>
      <c r="B37">
        <f t="shared" si="1"/>
        <v>14</v>
      </c>
      <c r="C37" t="s">
        <v>27</v>
      </c>
      <c r="E37" t="s">
        <v>10</v>
      </c>
      <c r="F37" t="s">
        <v>73</v>
      </c>
      <c r="G37" t="str">
        <f>IFERROR(VLOOKUP(E37,Control_Actividades!A:C,2,FALSE),)</f>
        <v>Quintal</v>
      </c>
      <c r="H37">
        <v>0.8</v>
      </c>
      <c r="I37" s="3">
        <f>IFERROR(VLOOKUP(E37,Control_Actividades!A:C,3,FALSE),"")</f>
        <v>70</v>
      </c>
      <c r="J37" s="3">
        <f t="shared" si="2"/>
        <v>56</v>
      </c>
    </row>
    <row r="38" spans="1:10" x14ac:dyDescent="0.3">
      <c r="A38" s="2">
        <v>46112</v>
      </c>
      <c r="B38">
        <f t="shared" si="1"/>
        <v>14</v>
      </c>
      <c r="C38" t="s">
        <v>28</v>
      </c>
      <c r="E38" t="s">
        <v>10</v>
      </c>
      <c r="F38" t="s">
        <v>73</v>
      </c>
      <c r="G38" t="str">
        <f>IFERROR(VLOOKUP(E38,Control_Actividades!A:C,2,FALSE),)</f>
        <v>Quintal</v>
      </c>
      <c r="H38">
        <v>1.7</v>
      </c>
      <c r="I38" s="3">
        <f>IFERROR(VLOOKUP(E38,Control_Actividades!A:C,3,FALSE),"")</f>
        <v>70</v>
      </c>
      <c r="J38" s="3">
        <f t="shared" si="2"/>
        <v>119</v>
      </c>
    </row>
    <row r="39" spans="1:10" x14ac:dyDescent="0.3">
      <c r="A39" s="2">
        <v>46112</v>
      </c>
      <c r="B39">
        <f t="shared" si="1"/>
        <v>14</v>
      </c>
      <c r="C39" t="s">
        <v>29</v>
      </c>
      <c r="E39" t="s">
        <v>10</v>
      </c>
      <c r="F39" t="s">
        <v>73</v>
      </c>
      <c r="G39" t="str">
        <f>IFERROR(VLOOKUP(E39,Control_Actividades!A:C,2,FALSE),)</f>
        <v>Quintal</v>
      </c>
      <c r="H39">
        <v>0.7</v>
      </c>
      <c r="I39" s="3">
        <f>IFERROR(VLOOKUP(E39,Control_Actividades!A:C,3,FALSE),"")</f>
        <v>70</v>
      </c>
      <c r="J39" s="3">
        <f t="shared" si="2"/>
        <v>49</v>
      </c>
    </row>
    <row r="40" spans="1:10" x14ac:dyDescent="0.3">
      <c r="A40" s="2">
        <v>46112</v>
      </c>
      <c r="B40">
        <f t="shared" si="1"/>
        <v>14</v>
      </c>
      <c r="C40" t="s">
        <v>30</v>
      </c>
      <c r="E40" t="s">
        <v>55</v>
      </c>
      <c r="F40" t="s">
        <v>55</v>
      </c>
      <c r="G40" t="str">
        <f>IFERROR(VLOOKUP(E40,Control_Actividades!A:C,2,FALSE),)</f>
        <v>Dia</v>
      </c>
      <c r="H40">
        <v>1</v>
      </c>
      <c r="I40" s="3">
        <f>IFERROR(VLOOKUP(E40,Control_Actividades!A:C,3,FALSE),"")</f>
        <v>100</v>
      </c>
      <c r="J40" s="3">
        <f t="shared" si="2"/>
        <v>100</v>
      </c>
    </row>
    <row r="41" spans="1:10" x14ac:dyDescent="0.3">
      <c r="A41" s="2">
        <v>46112</v>
      </c>
      <c r="B41">
        <f t="shared" si="1"/>
        <v>14</v>
      </c>
      <c r="C41" t="s">
        <v>31</v>
      </c>
      <c r="E41" t="s">
        <v>10</v>
      </c>
      <c r="F41" t="s">
        <v>73</v>
      </c>
      <c r="G41" t="str">
        <f>IFERROR(VLOOKUP(E41,Control_Actividades!A:C,2,FALSE),)</f>
        <v>Quintal</v>
      </c>
      <c r="H41">
        <v>0.8</v>
      </c>
      <c r="I41" s="3">
        <f>IFERROR(VLOOKUP(E41,Control_Actividades!A:C,3,FALSE),"")</f>
        <v>70</v>
      </c>
      <c r="J41" s="3">
        <f t="shared" si="2"/>
        <v>56</v>
      </c>
    </row>
    <row r="42" spans="1:10" x14ac:dyDescent="0.3">
      <c r="A42" s="2">
        <v>46112</v>
      </c>
      <c r="B42">
        <f t="shared" si="1"/>
        <v>14</v>
      </c>
      <c r="C42" t="s">
        <v>32</v>
      </c>
      <c r="E42" t="s">
        <v>10</v>
      </c>
      <c r="F42" t="s">
        <v>73</v>
      </c>
      <c r="G42" t="str">
        <f>IFERROR(VLOOKUP(E42,Control_Actividades!A:C,2,FALSE),)</f>
        <v>Quintal</v>
      </c>
      <c r="H42">
        <v>0.5</v>
      </c>
      <c r="I42" s="3">
        <f>IFERROR(VLOOKUP(E42,Control_Actividades!A:C,3,FALSE),"")</f>
        <v>70</v>
      </c>
      <c r="J42" s="3">
        <f t="shared" si="2"/>
        <v>35</v>
      </c>
    </row>
    <row r="43" spans="1:10" x14ac:dyDescent="0.3">
      <c r="A43" s="2">
        <v>46112</v>
      </c>
      <c r="B43">
        <f t="shared" si="1"/>
        <v>14</v>
      </c>
      <c r="C43" t="s">
        <v>33</v>
      </c>
      <c r="E43" t="s">
        <v>10</v>
      </c>
      <c r="F43" t="s">
        <v>73</v>
      </c>
      <c r="G43" t="str">
        <f>IFERROR(VLOOKUP(E43,Control_Actividades!A:C,2,FALSE),)</f>
        <v>Quintal</v>
      </c>
      <c r="H43">
        <v>0.55000000000000004</v>
      </c>
      <c r="I43" s="3">
        <f>IFERROR(VLOOKUP(E43,Control_Actividades!A:C,3,FALSE),"")</f>
        <v>70</v>
      </c>
      <c r="J43" s="3">
        <f t="shared" si="2"/>
        <v>38.5</v>
      </c>
    </row>
    <row r="44" spans="1:10" x14ac:dyDescent="0.3">
      <c r="A44" s="2">
        <v>46112</v>
      </c>
      <c r="B44">
        <f t="shared" si="1"/>
        <v>14</v>
      </c>
      <c r="C44" t="s">
        <v>34</v>
      </c>
      <c r="E44" t="s">
        <v>10</v>
      </c>
      <c r="F44" t="s">
        <v>73</v>
      </c>
      <c r="G44" t="str">
        <f>IFERROR(VLOOKUP(E44,Control_Actividades!A:C,2,FALSE),)</f>
        <v>Quintal</v>
      </c>
      <c r="H44">
        <v>0.75</v>
      </c>
      <c r="I44" s="3">
        <f>IFERROR(VLOOKUP(E44,Control_Actividades!A:C,3,FALSE),"")</f>
        <v>70</v>
      </c>
      <c r="J44" s="3">
        <f t="shared" si="2"/>
        <v>52.5</v>
      </c>
    </row>
    <row r="45" spans="1:10" x14ac:dyDescent="0.3">
      <c r="A45" s="2">
        <v>46112</v>
      </c>
      <c r="B45">
        <f t="shared" si="1"/>
        <v>14</v>
      </c>
      <c r="C45" t="s">
        <v>35</v>
      </c>
      <c r="E45" t="s">
        <v>17</v>
      </c>
      <c r="F45" t="s">
        <v>56</v>
      </c>
      <c r="G45" t="str">
        <f>IFERROR(VLOOKUP(E45,Control_Actividades!A:C,2,FALSE),)</f>
        <v>Manzana</v>
      </c>
      <c r="H45">
        <v>0.5</v>
      </c>
      <c r="I45" s="3">
        <f>IFERROR(VLOOKUP(E45,Control_Actividades!A:C,3,FALSE),"")</f>
        <v>110</v>
      </c>
      <c r="J45" s="3">
        <f t="shared" si="2"/>
        <v>55</v>
      </c>
    </row>
    <row r="46" spans="1:10" x14ac:dyDescent="0.3">
      <c r="A46" s="2">
        <v>46112</v>
      </c>
      <c r="B46">
        <f t="shared" si="1"/>
        <v>14</v>
      </c>
      <c r="C46" t="s">
        <v>36</v>
      </c>
      <c r="E46" t="s">
        <v>59</v>
      </c>
      <c r="F46" t="s">
        <v>74</v>
      </c>
      <c r="G46" t="str">
        <f>IFERROR(VLOOKUP(E46,Control_Actividades!A:C,2,FALSE),)</f>
        <v>Dia</v>
      </c>
      <c r="H46">
        <v>1</v>
      </c>
      <c r="I46" s="3">
        <f>IFERROR(VLOOKUP(E46,Control_Actividades!A:C,3,FALSE),"")</f>
        <v>75</v>
      </c>
      <c r="J46" s="3">
        <f t="shared" si="2"/>
        <v>75</v>
      </c>
    </row>
    <row r="47" spans="1:10" x14ac:dyDescent="0.3">
      <c r="A47" s="2">
        <v>46112</v>
      </c>
      <c r="B47">
        <f t="shared" si="1"/>
        <v>14</v>
      </c>
      <c r="C47" t="s">
        <v>37</v>
      </c>
      <c r="E47" t="s">
        <v>55</v>
      </c>
      <c r="F47" t="s">
        <v>55</v>
      </c>
      <c r="G47" t="str">
        <f>IFERROR(VLOOKUP(E47,Control_Actividades!A:C,2,FALSE),)</f>
        <v>Dia</v>
      </c>
      <c r="H47">
        <v>1</v>
      </c>
      <c r="I47" s="3">
        <f>IFERROR(VLOOKUP(E47,Control_Actividades!A:C,3,FALSE),"")</f>
        <v>100</v>
      </c>
      <c r="J47" s="3">
        <f t="shared" si="2"/>
        <v>100</v>
      </c>
    </row>
    <row r="48" spans="1:10" x14ac:dyDescent="0.3">
      <c r="A48" s="2">
        <v>46112</v>
      </c>
      <c r="B48">
        <f t="shared" si="1"/>
        <v>14</v>
      </c>
      <c r="C48" t="s">
        <v>38</v>
      </c>
      <c r="E48" t="s">
        <v>10</v>
      </c>
      <c r="F48" t="s">
        <v>73</v>
      </c>
      <c r="G48" t="str">
        <f>IFERROR(VLOOKUP(E48,Control_Actividades!A:C,2,FALSE),)</f>
        <v>Quintal</v>
      </c>
      <c r="H48">
        <v>0.5</v>
      </c>
      <c r="I48" s="3">
        <f>IFERROR(VLOOKUP(E48,Control_Actividades!A:C,3,FALSE),"")</f>
        <v>70</v>
      </c>
      <c r="J48" s="3">
        <f t="shared" si="2"/>
        <v>35</v>
      </c>
    </row>
    <row r="49" spans="1:10" x14ac:dyDescent="0.3">
      <c r="A49" s="2">
        <v>46112</v>
      </c>
      <c r="B49">
        <f t="shared" si="1"/>
        <v>14</v>
      </c>
      <c r="C49" t="s">
        <v>39</v>
      </c>
      <c r="E49" t="s">
        <v>17</v>
      </c>
      <c r="F49" t="s">
        <v>56</v>
      </c>
      <c r="G49" t="str">
        <f>IFERROR(VLOOKUP(E49,Control_Actividades!A:C,2,FALSE),)</f>
        <v>Manzana</v>
      </c>
      <c r="H49">
        <v>0.5</v>
      </c>
      <c r="I49" s="3">
        <f>IFERROR(VLOOKUP(E49,Control_Actividades!A:C,3,FALSE),"")</f>
        <v>110</v>
      </c>
      <c r="J49" s="3">
        <f t="shared" si="2"/>
        <v>55</v>
      </c>
    </row>
    <row r="50" spans="1:10" x14ac:dyDescent="0.3">
      <c r="A50" s="2">
        <v>46112</v>
      </c>
      <c r="B50">
        <f t="shared" si="1"/>
        <v>14</v>
      </c>
      <c r="C50" t="s">
        <v>40</v>
      </c>
      <c r="E50" t="s">
        <v>10</v>
      </c>
      <c r="F50" t="s">
        <v>73</v>
      </c>
      <c r="G50" t="str">
        <f>IFERROR(VLOOKUP(E50,Control_Actividades!A:C,2,FALSE),)</f>
        <v>Quintal</v>
      </c>
      <c r="H50">
        <v>0.6</v>
      </c>
      <c r="I50" s="3">
        <f>IFERROR(VLOOKUP(E50,Control_Actividades!A:C,3,FALSE),"")</f>
        <v>70</v>
      </c>
      <c r="J50" s="3">
        <f t="shared" si="2"/>
        <v>42</v>
      </c>
    </row>
    <row r="51" spans="1:10" x14ac:dyDescent="0.3">
      <c r="A51" s="2">
        <v>46112</v>
      </c>
      <c r="B51">
        <f t="shared" si="1"/>
        <v>14</v>
      </c>
      <c r="C51" t="s">
        <v>41</v>
      </c>
      <c r="E51" t="s">
        <v>10</v>
      </c>
      <c r="F51" t="s">
        <v>73</v>
      </c>
      <c r="G51" t="str">
        <f>IFERROR(VLOOKUP(E51,Control_Actividades!A:C,2,FALSE),)</f>
        <v>Quintal</v>
      </c>
      <c r="H51">
        <v>0.95</v>
      </c>
      <c r="I51" s="3">
        <f>IFERROR(VLOOKUP(E51,Control_Actividades!A:C,3,FALSE),"")</f>
        <v>70</v>
      </c>
      <c r="J51" s="3">
        <f t="shared" si="2"/>
        <v>66.5</v>
      </c>
    </row>
    <row r="52" spans="1:10" x14ac:dyDescent="0.3">
      <c r="A52" s="2">
        <v>46112</v>
      </c>
      <c r="B52">
        <f t="shared" si="1"/>
        <v>14</v>
      </c>
      <c r="C52" t="s">
        <v>42</v>
      </c>
      <c r="E52" t="s">
        <v>10</v>
      </c>
      <c r="F52" t="s">
        <v>73</v>
      </c>
      <c r="G52" t="str">
        <f>IFERROR(VLOOKUP(E52,Control_Actividades!A:C,2,FALSE),)</f>
        <v>Quintal</v>
      </c>
      <c r="H52">
        <v>0.4</v>
      </c>
      <c r="I52" s="3">
        <f>IFERROR(VLOOKUP(E52,Control_Actividades!A:C,3,FALSE),"")</f>
        <v>70</v>
      </c>
      <c r="J52" s="3">
        <f t="shared" si="2"/>
        <v>28</v>
      </c>
    </row>
    <row r="53" spans="1:10" x14ac:dyDescent="0.3">
      <c r="A53" s="2">
        <v>46112</v>
      </c>
      <c r="B53">
        <f t="shared" si="1"/>
        <v>14</v>
      </c>
      <c r="C53" t="s">
        <v>43</v>
      </c>
      <c r="E53" t="s">
        <v>10</v>
      </c>
      <c r="F53" t="s">
        <v>73</v>
      </c>
      <c r="G53" t="str">
        <f>IFERROR(VLOOKUP(E53,Control_Actividades!A:C,2,FALSE),)</f>
        <v>Quintal</v>
      </c>
      <c r="H53">
        <v>0.75</v>
      </c>
      <c r="I53" s="3">
        <f>IFERROR(VLOOKUP(E53,Control_Actividades!A:C,3,FALSE),"")</f>
        <v>70</v>
      </c>
      <c r="J53" s="3">
        <f t="shared" si="2"/>
        <v>52.5</v>
      </c>
    </row>
    <row r="54" spans="1:10" x14ac:dyDescent="0.3">
      <c r="A54" s="2">
        <v>46112</v>
      </c>
      <c r="B54">
        <f t="shared" si="1"/>
        <v>14</v>
      </c>
      <c r="C54" t="s">
        <v>44</v>
      </c>
      <c r="E54" t="s">
        <v>61</v>
      </c>
      <c r="F54" t="s">
        <v>74</v>
      </c>
      <c r="G54" t="str">
        <f>IFERROR(VLOOKUP(E54,Control_Actividades!A:C,2,FALSE),)</f>
        <v>Dia</v>
      </c>
      <c r="H54">
        <v>1</v>
      </c>
      <c r="I54" s="3">
        <f>IFERROR(VLOOKUP(E54,Control_Actividades!A:C,3,FALSE),"")</f>
        <v>75</v>
      </c>
      <c r="J54" s="3">
        <f t="shared" si="2"/>
        <v>75</v>
      </c>
    </row>
    <row r="55" spans="1:10" x14ac:dyDescent="0.3">
      <c r="A55" s="2">
        <v>46112</v>
      </c>
      <c r="B55">
        <f t="shared" si="1"/>
        <v>14</v>
      </c>
      <c r="C55" t="s">
        <v>45</v>
      </c>
      <c r="E55" t="s">
        <v>10</v>
      </c>
      <c r="F55" t="s">
        <v>73</v>
      </c>
      <c r="G55" t="str">
        <f>IFERROR(VLOOKUP(E55,Control_Actividades!A:C,2,FALSE),)</f>
        <v>Quintal</v>
      </c>
      <c r="H55">
        <v>0.7</v>
      </c>
      <c r="I55" s="3">
        <f>IFERROR(VLOOKUP(E55,Control_Actividades!A:C,3,FALSE),"")</f>
        <v>70</v>
      </c>
      <c r="J55" s="3">
        <f t="shared" si="2"/>
        <v>49</v>
      </c>
    </row>
    <row r="56" spans="1:10" x14ac:dyDescent="0.3">
      <c r="A56" s="2">
        <v>46112</v>
      </c>
      <c r="B56">
        <f t="shared" si="1"/>
        <v>14</v>
      </c>
      <c r="C56" t="s">
        <v>46</v>
      </c>
      <c r="E56" t="s">
        <v>10</v>
      </c>
      <c r="F56" t="s">
        <v>73</v>
      </c>
      <c r="G56" t="str">
        <f>IFERROR(VLOOKUP(E56,Control_Actividades!A:C,2,FALSE),)</f>
        <v>Quintal</v>
      </c>
      <c r="H56">
        <v>0.75</v>
      </c>
      <c r="I56" s="3">
        <f>IFERROR(VLOOKUP(E56,Control_Actividades!A:C,3,FALSE),"")</f>
        <v>70</v>
      </c>
      <c r="J56" s="3">
        <f t="shared" si="2"/>
        <v>52.5</v>
      </c>
    </row>
    <row r="57" spans="1:10" x14ac:dyDescent="0.3">
      <c r="A57" s="2">
        <v>46112</v>
      </c>
      <c r="B57">
        <f t="shared" si="1"/>
        <v>14</v>
      </c>
      <c r="C57" t="s">
        <v>47</v>
      </c>
      <c r="E57" t="s">
        <v>10</v>
      </c>
      <c r="F57" t="s">
        <v>73</v>
      </c>
      <c r="G57" t="str">
        <f>IFERROR(VLOOKUP(E57,Control_Actividades!A:C,2,FALSE),)</f>
        <v>Quintal</v>
      </c>
      <c r="H57">
        <v>1.55</v>
      </c>
      <c r="I57" s="3">
        <f>IFERROR(VLOOKUP(E57,Control_Actividades!A:C,3,FALSE),"")</f>
        <v>70</v>
      </c>
      <c r="J57" s="3">
        <f t="shared" si="2"/>
        <v>108.5</v>
      </c>
    </row>
    <row r="58" spans="1:10" x14ac:dyDescent="0.3">
      <c r="A58" s="2">
        <v>46112</v>
      </c>
      <c r="B58">
        <f t="shared" si="1"/>
        <v>14</v>
      </c>
      <c r="C58" t="s">
        <v>48</v>
      </c>
      <c r="E58" t="s">
        <v>10</v>
      </c>
      <c r="F58" t="s">
        <v>73</v>
      </c>
      <c r="G58" t="str">
        <f>IFERROR(VLOOKUP(E58,Control_Actividades!A:C,2,FALSE),)</f>
        <v>Quintal</v>
      </c>
      <c r="H58">
        <v>1.1000000000000001</v>
      </c>
      <c r="I58" s="3">
        <f>IFERROR(VLOOKUP(E58,Control_Actividades!A:C,3,FALSE),"")</f>
        <v>70</v>
      </c>
      <c r="J58" s="3">
        <f t="shared" si="2"/>
        <v>77</v>
      </c>
    </row>
    <row r="59" spans="1:10" x14ac:dyDescent="0.3">
      <c r="A59" s="2">
        <v>46112</v>
      </c>
      <c r="B59">
        <f t="shared" si="1"/>
        <v>14</v>
      </c>
      <c r="C59" t="s">
        <v>49</v>
      </c>
      <c r="E59" t="s">
        <v>10</v>
      </c>
      <c r="F59" t="s">
        <v>73</v>
      </c>
      <c r="G59" t="str">
        <f>IFERROR(VLOOKUP(E59,Control_Actividades!A:C,2,FALSE),)</f>
        <v>Quintal</v>
      </c>
      <c r="H59">
        <v>0.85</v>
      </c>
      <c r="I59" s="3">
        <f>IFERROR(VLOOKUP(E59,Control_Actividades!A:C,3,FALSE),"")</f>
        <v>70</v>
      </c>
      <c r="J59" s="3">
        <f t="shared" si="2"/>
        <v>59.5</v>
      </c>
    </row>
    <row r="60" spans="1:10" x14ac:dyDescent="0.3">
      <c r="A60" s="2">
        <v>46112</v>
      </c>
      <c r="B60">
        <f t="shared" si="1"/>
        <v>14</v>
      </c>
      <c r="C60" t="s">
        <v>50</v>
      </c>
      <c r="E60" t="s">
        <v>10</v>
      </c>
      <c r="F60" t="s">
        <v>73</v>
      </c>
      <c r="G60" t="str">
        <f>IFERROR(VLOOKUP(E60,Control_Actividades!A:C,2,FALSE),)</f>
        <v>Quintal</v>
      </c>
      <c r="H60">
        <v>0.65</v>
      </c>
      <c r="I60" s="3">
        <f>IFERROR(VLOOKUP(E60,Control_Actividades!A:C,3,FALSE),"")</f>
        <v>70</v>
      </c>
      <c r="J60" s="3">
        <f t="shared" si="2"/>
        <v>45.5</v>
      </c>
    </row>
    <row r="61" spans="1:10" x14ac:dyDescent="0.3">
      <c r="A61" s="4">
        <v>46112</v>
      </c>
      <c r="B61" s="5">
        <f t="shared" si="1"/>
        <v>14</v>
      </c>
      <c r="C61" s="5" t="s">
        <v>51</v>
      </c>
      <c r="D61" s="5"/>
      <c r="E61" s="5" t="s">
        <v>10</v>
      </c>
      <c r="F61" s="5" t="s">
        <v>73</v>
      </c>
      <c r="G61" s="5" t="str">
        <f>IFERROR(VLOOKUP(E61,Control_Actividades!A:C,2,FALSE),)</f>
        <v>Quintal</v>
      </c>
      <c r="H61" s="5"/>
      <c r="I61" s="6">
        <f>IFERROR(VLOOKUP(E61,Control_Actividades!A:C,3,FALSE),"")</f>
        <v>70</v>
      </c>
      <c r="J61" s="6">
        <f t="shared" si="2"/>
        <v>0</v>
      </c>
    </row>
    <row r="62" spans="1:10" x14ac:dyDescent="0.3">
      <c r="A62" s="2">
        <v>46113</v>
      </c>
      <c r="B62">
        <f t="shared" si="1"/>
        <v>14</v>
      </c>
      <c r="C62" t="s">
        <v>22</v>
      </c>
      <c r="E62" t="s">
        <v>54</v>
      </c>
      <c r="G62" t="str">
        <f>IFERROR(VLOOKUP(E62,Control_Actividades!A:C,2,FALSE),)</f>
        <v>Dia</v>
      </c>
      <c r="H62">
        <v>1</v>
      </c>
      <c r="I62" s="3">
        <f>IFERROR(VLOOKUP(E62,Control_Actividades!A:C,3,FALSE),"")</f>
        <v>130</v>
      </c>
      <c r="J62" s="3">
        <f t="shared" si="2"/>
        <v>130</v>
      </c>
    </row>
    <row r="63" spans="1:10" x14ac:dyDescent="0.3">
      <c r="A63" s="2">
        <v>46113</v>
      </c>
      <c r="B63">
        <f t="shared" si="1"/>
        <v>14</v>
      </c>
      <c r="C63" t="s">
        <v>23</v>
      </c>
      <c r="E63" t="s">
        <v>10</v>
      </c>
      <c r="G63" t="str">
        <f>IFERROR(VLOOKUP(E63,Control_Actividades!A:C,2,FALSE),)</f>
        <v>Quintal</v>
      </c>
      <c r="H63">
        <v>0.45</v>
      </c>
      <c r="I63" s="3">
        <f>IFERROR(VLOOKUP(E63,Control_Actividades!A:C,3,FALSE),"")</f>
        <v>70</v>
      </c>
      <c r="J63" s="3">
        <f t="shared" si="2"/>
        <v>31.5</v>
      </c>
    </row>
    <row r="64" spans="1:10" x14ac:dyDescent="0.3">
      <c r="A64" s="2">
        <v>46113</v>
      </c>
      <c r="B64">
        <f t="shared" si="1"/>
        <v>14</v>
      </c>
      <c r="C64" t="s">
        <v>24</v>
      </c>
      <c r="E64" t="s">
        <v>10</v>
      </c>
      <c r="G64" t="str">
        <f>IFERROR(VLOOKUP(E64,Control_Actividades!A:C,2,FALSE),)</f>
        <v>Quintal</v>
      </c>
      <c r="H64">
        <v>0.45</v>
      </c>
      <c r="I64" s="3">
        <f>IFERROR(VLOOKUP(E64,Control_Actividades!A:C,3,FALSE),"")</f>
        <v>70</v>
      </c>
      <c r="J64" s="3">
        <f t="shared" ref="J64:J95" si="3">H64*I64</f>
        <v>31.5</v>
      </c>
    </row>
    <row r="65" spans="1:10" x14ac:dyDescent="0.3">
      <c r="A65" s="2">
        <v>46113</v>
      </c>
      <c r="B65">
        <f t="shared" si="1"/>
        <v>14</v>
      </c>
      <c r="C65" t="s">
        <v>25</v>
      </c>
      <c r="E65" t="s">
        <v>10</v>
      </c>
      <c r="G65" t="str">
        <f>IFERROR(VLOOKUP(E65,Control_Actividades!A:C,2,FALSE),)</f>
        <v>Quintal</v>
      </c>
      <c r="H65">
        <v>0.45</v>
      </c>
      <c r="I65" s="3">
        <f>IFERROR(VLOOKUP(E65,Control_Actividades!A:C,3,FALSE),"")</f>
        <v>70</v>
      </c>
      <c r="J65" s="3">
        <f t="shared" si="3"/>
        <v>31.5</v>
      </c>
    </row>
    <row r="66" spans="1:10" x14ac:dyDescent="0.3">
      <c r="A66" s="2">
        <v>46113</v>
      </c>
      <c r="B66">
        <f t="shared" si="1"/>
        <v>14</v>
      </c>
      <c r="C66" t="s">
        <v>26</v>
      </c>
      <c r="E66" t="s">
        <v>10</v>
      </c>
      <c r="G66" t="str">
        <f>IFERROR(VLOOKUP(E66,Control_Actividades!A:C,2,FALSE),)</f>
        <v>Quintal</v>
      </c>
      <c r="H66">
        <v>0.35</v>
      </c>
      <c r="I66" s="3">
        <f>IFERROR(VLOOKUP(E66,Control_Actividades!A:C,3,FALSE),"")</f>
        <v>70</v>
      </c>
      <c r="J66" s="3">
        <f t="shared" si="3"/>
        <v>24.5</v>
      </c>
    </row>
    <row r="67" spans="1:10" x14ac:dyDescent="0.3">
      <c r="A67" s="2">
        <v>46113</v>
      </c>
      <c r="B67">
        <f t="shared" ref="B67:B130" si="4">WEEKNUM(A67,2)</f>
        <v>14</v>
      </c>
      <c r="C67" t="s">
        <v>27</v>
      </c>
      <c r="E67" t="s">
        <v>10</v>
      </c>
      <c r="G67" t="str">
        <f>IFERROR(VLOOKUP(E67,Control_Actividades!A:C,2,FALSE),)</f>
        <v>Quintal</v>
      </c>
      <c r="H67">
        <v>0.5</v>
      </c>
      <c r="I67" s="3">
        <f>IFERROR(VLOOKUP(E67,Control_Actividades!A:C,3,FALSE),"")</f>
        <v>70</v>
      </c>
      <c r="J67" s="3">
        <f t="shared" si="3"/>
        <v>35</v>
      </c>
    </row>
    <row r="68" spans="1:10" x14ac:dyDescent="0.3">
      <c r="A68" s="2">
        <v>46113</v>
      </c>
      <c r="B68">
        <f t="shared" si="4"/>
        <v>14</v>
      </c>
      <c r="C68" t="s">
        <v>28</v>
      </c>
      <c r="E68" t="s">
        <v>10</v>
      </c>
      <c r="G68" t="str">
        <f>IFERROR(VLOOKUP(E68,Control_Actividades!A:C,2,FALSE),)</f>
        <v>Quintal</v>
      </c>
      <c r="H68">
        <v>0.6</v>
      </c>
      <c r="I68" s="3">
        <f>IFERROR(VLOOKUP(E68,Control_Actividades!A:C,3,FALSE),"")</f>
        <v>70</v>
      </c>
      <c r="J68" s="3">
        <f t="shared" si="3"/>
        <v>42</v>
      </c>
    </row>
    <row r="69" spans="1:10" x14ac:dyDescent="0.3">
      <c r="A69" s="2">
        <v>46113</v>
      </c>
      <c r="B69">
        <f t="shared" si="4"/>
        <v>14</v>
      </c>
      <c r="C69" t="s">
        <v>29</v>
      </c>
      <c r="E69" t="s">
        <v>10</v>
      </c>
      <c r="G69" t="str">
        <f>IFERROR(VLOOKUP(E69,Control_Actividades!A:C,2,FALSE),)</f>
        <v>Quintal</v>
      </c>
      <c r="H69">
        <v>0.25</v>
      </c>
      <c r="I69" s="3">
        <f>IFERROR(VLOOKUP(E69,Control_Actividades!A:C,3,FALSE),"")</f>
        <v>70</v>
      </c>
      <c r="J69" s="3">
        <f t="shared" si="3"/>
        <v>17.5</v>
      </c>
    </row>
    <row r="70" spans="1:10" x14ac:dyDescent="0.3">
      <c r="A70" s="2">
        <v>46113</v>
      </c>
      <c r="B70">
        <f t="shared" si="4"/>
        <v>14</v>
      </c>
      <c r="C70" t="s">
        <v>30</v>
      </c>
      <c r="E70" t="s">
        <v>55</v>
      </c>
      <c r="G70" t="str">
        <f>IFERROR(VLOOKUP(E70,Control_Actividades!A:C,2,FALSE),)</f>
        <v>Dia</v>
      </c>
      <c r="H70">
        <v>0.4</v>
      </c>
      <c r="I70" s="3">
        <f>IFERROR(VLOOKUP(E70,Control_Actividades!A:C,3,FALSE),"")</f>
        <v>100</v>
      </c>
      <c r="J70" s="3">
        <f t="shared" si="3"/>
        <v>40</v>
      </c>
    </row>
    <row r="71" spans="1:10" x14ac:dyDescent="0.3">
      <c r="A71" s="2">
        <v>46113</v>
      </c>
      <c r="B71">
        <f t="shared" si="4"/>
        <v>14</v>
      </c>
      <c r="C71" t="s">
        <v>31</v>
      </c>
      <c r="E71" t="s">
        <v>10</v>
      </c>
      <c r="G71" t="str">
        <f>IFERROR(VLOOKUP(E71,Control_Actividades!A:C,2,FALSE),)</f>
        <v>Quintal</v>
      </c>
      <c r="H71">
        <v>0.5</v>
      </c>
      <c r="I71" s="3">
        <f>IFERROR(VLOOKUP(E71,Control_Actividades!A:C,3,FALSE),"")</f>
        <v>70</v>
      </c>
      <c r="J71" s="3">
        <f t="shared" si="3"/>
        <v>35</v>
      </c>
    </row>
    <row r="72" spans="1:10" x14ac:dyDescent="0.3">
      <c r="A72" s="2">
        <v>46113</v>
      </c>
      <c r="B72">
        <f t="shared" si="4"/>
        <v>14</v>
      </c>
      <c r="C72" t="s">
        <v>32</v>
      </c>
      <c r="E72" t="s">
        <v>10</v>
      </c>
      <c r="G72" t="str">
        <f>IFERROR(VLOOKUP(E72,Control_Actividades!A:C,2,FALSE),)</f>
        <v>Quintal</v>
      </c>
      <c r="H72">
        <v>0.4</v>
      </c>
      <c r="I72" s="3">
        <f>IFERROR(VLOOKUP(E72,Control_Actividades!A:C,3,FALSE),"")</f>
        <v>70</v>
      </c>
      <c r="J72" s="3">
        <f t="shared" si="3"/>
        <v>28</v>
      </c>
    </row>
    <row r="73" spans="1:10" x14ac:dyDescent="0.3">
      <c r="A73" s="2">
        <v>46113</v>
      </c>
      <c r="B73">
        <f t="shared" si="4"/>
        <v>14</v>
      </c>
      <c r="C73" t="s">
        <v>33</v>
      </c>
      <c r="E73" t="s">
        <v>10</v>
      </c>
      <c r="G73" t="str">
        <f>IFERROR(VLOOKUP(E73,Control_Actividades!A:C,2,FALSE),)</f>
        <v>Quintal</v>
      </c>
      <c r="H73">
        <v>0.35</v>
      </c>
      <c r="I73" s="3">
        <f>IFERROR(VLOOKUP(E73,Control_Actividades!A:C,3,FALSE),"")</f>
        <v>70</v>
      </c>
      <c r="J73" s="3">
        <f t="shared" si="3"/>
        <v>24.5</v>
      </c>
    </row>
    <row r="74" spans="1:10" x14ac:dyDescent="0.3">
      <c r="A74" s="2">
        <v>46113</v>
      </c>
      <c r="B74">
        <f t="shared" si="4"/>
        <v>14</v>
      </c>
      <c r="C74" t="s">
        <v>34</v>
      </c>
      <c r="E74" t="s">
        <v>10</v>
      </c>
      <c r="G74" t="str">
        <f>IFERROR(VLOOKUP(E74,Control_Actividades!A:C,2,FALSE),)</f>
        <v>Quintal</v>
      </c>
      <c r="H74">
        <v>0.35</v>
      </c>
      <c r="I74" s="3">
        <f>IFERROR(VLOOKUP(E74,Control_Actividades!A:C,3,FALSE),"")</f>
        <v>70</v>
      </c>
      <c r="J74" s="3">
        <f t="shared" si="3"/>
        <v>24.5</v>
      </c>
    </row>
    <row r="75" spans="1:10" x14ac:dyDescent="0.3">
      <c r="A75" s="2">
        <v>46113</v>
      </c>
      <c r="B75">
        <f t="shared" si="4"/>
        <v>14</v>
      </c>
      <c r="C75" t="s">
        <v>35</v>
      </c>
      <c r="E75" t="s">
        <v>17</v>
      </c>
      <c r="G75" t="str">
        <f>IFERROR(VLOOKUP(E75,Control_Actividades!A:C,2,FALSE),)</f>
        <v>Manzana</v>
      </c>
      <c r="H75">
        <v>0.5</v>
      </c>
      <c r="I75" s="3">
        <f>IFERROR(VLOOKUP(E75,Control_Actividades!A:C,3,FALSE),"")</f>
        <v>110</v>
      </c>
      <c r="J75" s="3">
        <f t="shared" si="3"/>
        <v>55</v>
      </c>
    </row>
    <row r="76" spans="1:10" x14ac:dyDescent="0.3">
      <c r="A76" s="2">
        <v>46113</v>
      </c>
      <c r="B76">
        <f t="shared" si="4"/>
        <v>14</v>
      </c>
      <c r="C76" t="s">
        <v>36</v>
      </c>
      <c r="E76" t="s">
        <v>59</v>
      </c>
      <c r="G76" t="str">
        <f>IFERROR(VLOOKUP(E76,Control_Actividades!A:C,2,FALSE),)</f>
        <v>Dia</v>
      </c>
      <c r="H76">
        <v>0.55000000000000004</v>
      </c>
      <c r="I76" s="3">
        <f>IFERROR(VLOOKUP(E76,Control_Actividades!A:C,3,FALSE),"")</f>
        <v>75</v>
      </c>
      <c r="J76" s="3">
        <f t="shared" si="3"/>
        <v>41.25</v>
      </c>
    </row>
    <row r="77" spans="1:10" x14ac:dyDescent="0.3">
      <c r="A77" s="2">
        <v>46113</v>
      </c>
      <c r="B77">
        <f t="shared" si="4"/>
        <v>14</v>
      </c>
      <c r="C77" t="s">
        <v>37</v>
      </c>
      <c r="E77" t="s">
        <v>55</v>
      </c>
      <c r="G77" t="str">
        <f>IFERROR(VLOOKUP(E77,Control_Actividades!A:C,2,FALSE),)</f>
        <v>Dia</v>
      </c>
      <c r="H77">
        <v>1</v>
      </c>
      <c r="I77" s="3">
        <f>IFERROR(VLOOKUP(E77,Control_Actividades!A:C,3,FALSE),"")</f>
        <v>100</v>
      </c>
      <c r="J77" s="3">
        <f t="shared" si="3"/>
        <v>100</v>
      </c>
    </row>
    <row r="78" spans="1:10" x14ac:dyDescent="0.3">
      <c r="A78" s="2">
        <v>46113</v>
      </c>
      <c r="B78">
        <f t="shared" si="4"/>
        <v>14</v>
      </c>
      <c r="C78" t="s">
        <v>38</v>
      </c>
      <c r="E78" t="s">
        <v>10</v>
      </c>
      <c r="G78" t="str">
        <f>IFERROR(VLOOKUP(E78,Control_Actividades!A:C,2,FALSE),)</f>
        <v>Quintal</v>
      </c>
      <c r="H78">
        <v>0</v>
      </c>
      <c r="I78" s="3">
        <f>IFERROR(VLOOKUP(E78,Control_Actividades!A:C,3,FALSE),"")</f>
        <v>70</v>
      </c>
      <c r="J78" s="3">
        <f t="shared" si="3"/>
        <v>0</v>
      </c>
    </row>
    <row r="79" spans="1:10" x14ac:dyDescent="0.3">
      <c r="A79" s="2">
        <v>46113</v>
      </c>
      <c r="B79">
        <f t="shared" si="4"/>
        <v>14</v>
      </c>
      <c r="C79" t="s">
        <v>39</v>
      </c>
      <c r="E79" t="s">
        <v>17</v>
      </c>
      <c r="G79" t="str">
        <f>IFERROR(VLOOKUP(E79,Control_Actividades!A:C,2,FALSE),)</f>
        <v>Manzana</v>
      </c>
      <c r="H79">
        <v>0.5</v>
      </c>
      <c r="I79" s="3">
        <f>IFERROR(VLOOKUP(E79,Control_Actividades!A:C,3,FALSE),"")</f>
        <v>110</v>
      </c>
      <c r="J79" s="3">
        <f t="shared" si="3"/>
        <v>55</v>
      </c>
    </row>
    <row r="80" spans="1:10" x14ac:dyDescent="0.3">
      <c r="A80" s="2">
        <v>46113</v>
      </c>
      <c r="B80">
        <f t="shared" si="4"/>
        <v>14</v>
      </c>
      <c r="C80" t="s">
        <v>40</v>
      </c>
      <c r="E80" t="s">
        <v>10</v>
      </c>
      <c r="G80" t="str">
        <f>IFERROR(VLOOKUP(E80,Control_Actividades!A:C,2,FALSE),)</f>
        <v>Quintal</v>
      </c>
      <c r="H80">
        <v>0.35</v>
      </c>
      <c r="I80" s="3">
        <f>IFERROR(VLOOKUP(E80,Control_Actividades!A:C,3,FALSE),"")</f>
        <v>70</v>
      </c>
      <c r="J80" s="3">
        <f t="shared" si="3"/>
        <v>24.5</v>
      </c>
    </row>
    <row r="81" spans="1:10" x14ac:dyDescent="0.3">
      <c r="A81" s="2">
        <v>46113</v>
      </c>
      <c r="B81">
        <f t="shared" si="4"/>
        <v>14</v>
      </c>
      <c r="C81" t="s">
        <v>41</v>
      </c>
      <c r="E81" t="s">
        <v>10</v>
      </c>
      <c r="G81" t="str">
        <f>IFERROR(VLOOKUP(E81,Control_Actividades!A:C,2,FALSE),)</f>
        <v>Quintal</v>
      </c>
      <c r="H81">
        <v>0.55000000000000004</v>
      </c>
      <c r="I81" s="3">
        <f>IFERROR(VLOOKUP(E81,Control_Actividades!A:C,3,FALSE),"")</f>
        <v>70</v>
      </c>
      <c r="J81" s="3">
        <f t="shared" si="3"/>
        <v>38.5</v>
      </c>
    </row>
    <row r="82" spans="1:10" x14ac:dyDescent="0.3">
      <c r="A82" s="2">
        <v>46113</v>
      </c>
      <c r="B82">
        <f t="shared" si="4"/>
        <v>14</v>
      </c>
      <c r="C82" t="s">
        <v>42</v>
      </c>
      <c r="E82" t="s">
        <v>10</v>
      </c>
      <c r="G82" t="str">
        <f>IFERROR(VLOOKUP(E82,Control_Actividades!A:C,2,FALSE),)</f>
        <v>Quintal</v>
      </c>
      <c r="H82">
        <v>0.4</v>
      </c>
      <c r="I82" s="3">
        <f>IFERROR(VLOOKUP(E82,Control_Actividades!A:C,3,FALSE),"")</f>
        <v>70</v>
      </c>
      <c r="J82" s="3">
        <f t="shared" si="3"/>
        <v>28</v>
      </c>
    </row>
    <row r="83" spans="1:10" x14ac:dyDescent="0.3">
      <c r="A83" s="2">
        <v>46113</v>
      </c>
      <c r="B83">
        <f t="shared" si="4"/>
        <v>14</v>
      </c>
      <c r="C83" t="s">
        <v>43</v>
      </c>
      <c r="E83" t="s">
        <v>10</v>
      </c>
      <c r="G83" t="str">
        <f>IFERROR(VLOOKUP(E83,Control_Actividades!A:C,2,FALSE),)</f>
        <v>Quintal</v>
      </c>
      <c r="H83">
        <v>0.7</v>
      </c>
      <c r="I83" s="3">
        <f>IFERROR(VLOOKUP(E83,Control_Actividades!A:C,3,FALSE),"")</f>
        <v>70</v>
      </c>
      <c r="J83" s="3">
        <f t="shared" si="3"/>
        <v>49</v>
      </c>
    </row>
    <row r="84" spans="1:10" x14ac:dyDescent="0.3">
      <c r="A84" s="2">
        <v>46113</v>
      </c>
      <c r="B84">
        <f t="shared" si="4"/>
        <v>14</v>
      </c>
      <c r="C84" t="s">
        <v>44</v>
      </c>
      <c r="E84" t="s">
        <v>61</v>
      </c>
      <c r="G84" t="str">
        <f>IFERROR(VLOOKUP(E84,Control_Actividades!A:C,2,FALSE),)</f>
        <v>Dia</v>
      </c>
      <c r="H84">
        <v>0.45</v>
      </c>
      <c r="I84" s="3">
        <f>IFERROR(VLOOKUP(E84,Control_Actividades!A:C,3,FALSE),"")</f>
        <v>75</v>
      </c>
      <c r="J84" s="3">
        <f t="shared" si="3"/>
        <v>33.75</v>
      </c>
    </row>
    <row r="85" spans="1:10" x14ac:dyDescent="0.3">
      <c r="A85" s="2">
        <v>46113</v>
      </c>
      <c r="B85">
        <f t="shared" si="4"/>
        <v>14</v>
      </c>
      <c r="C85" t="s">
        <v>45</v>
      </c>
      <c r="E85" t="s">
        <v>10</v>
      </c>
      <c r="G85" t="str">
        <f>IFERROR(VLOOKUP(E85,Control_Actividades!A:C,2,FALSE),)</f>
        <v>Quintal</v>
      </c>
      <c r="H85">
        <v>0.65</v>
      </c>
      <c r="I85" s="3">
        <f>IFERROR(VLOOKUP(E85,Control_Actividades!A:C,3,FALSE),"")</f>
        <v>70</v>
      </c>
      <c r="J85" s="3">
        <f t="shared" si="3"/>
        <v>45.5</v>
      </c>
    </row>
    <row r="86" spans="1:10" x14ac:dyDescent="0.3">
      <c r="A86" s="2">
        <v>46113</v>
      </c>
      <c r="B86">
        <f t="shared" si="4"/>
        <v>14</v>
      </c>
      <c r="C86" t="s">
        <v>46</v>
      </c>
      <c r="E86" t="s">
        <v>10</v>
      </c>
      <c r="G86" t="str">
        <f>IFERROR(VLOOKUP(E86,Control_Actividades!A:C,2,FALSE),)</f>
        <v>Quintal</v>
      </c>
      <c r="H86">
        <v>0</v>
      </c>
      <c r="I86" s="3">
        <f>IFERROR(VLOOKUP(E86,Control_Actividades!A:C,3,FALSE),"")</f>
        <v>70</v>
      </c>
      <c r="J86" s="3">
        <f t="shared" si="3"/>
        <v>0</v>
      </c>
    </row>
    <row r="87" spans="1:10" x14ac:dyDescent="0.3">
      <c r="A87" s="2">
        <v>46113</v>
      </c>
      <c r="B87">
        <f t="shared" si="4"/>
        <v>14</v>
      </c>
      <c r="C87" t="s">
        <v>47</v>
      </c>
      <c r="E87" t="s">
        <v>10</v>
      </c>
      <c r="G87" t="str">
        <f>IFERROR(VLOOKUP(E87,Control_Actividades!A:C,2,FALSE),)</f>
        <v>Quintal</v>
      </c>
      <c r="H87">
        <v>0</v>
      </c>
      <c r="I87" s="3">
        <f>IFERROR(VLOOKUP(E87,Control_Actividades!A:C,3,FALSE),"")</f>
        <v>70</v>
      </c>
      <c r="J87" s="3">
        <f t="shared" si="3"/>
        <v>0</v>
      </c>
    </row>
    <row r="88" spans="1:10" x14ac:dyDescent="0.3">
      <c r="A88" s="2">
        <v>46113</v>
      </c>
      <c r="B88">
        <f t="shared" si="4"/>
        <v>14</v>
      </c>
      <c r="C88" t="s">
        <v>48</v>
      </c>
      <c r="E88" t="s">
        <v>10</v>
      </c>
      <c r="G88" t="str">
        <f>IFERROR(VLOOKUP(E88,Control_Actividades!A:C,2,FALSE),)</f>
        <v>Quintal</v>
      </c>
      <c r="H88">
        <v>0.45</v>
      </c>
      <c r="I88" s="3">
        <f>IFERROR(VLOOKUP(E88,Control_Actividades!A:C,3,FALSE),"")</f>
        <v>70</v>
      </c>
      <c r="J88" s="3">
        <f t="shared" si="3"/>
        <v>31.5</v>
      </c>
    </row>
    <row r="89" spans="1:10" x14ac:dyDescent="0.3">
      <c r="A89" s="2">
        <v>46113</v>
      </c>
      <c r="B89">
        <f t="shared" si="4"/>
        <v>14</v>
      </c>
      <c r="C89" t="s">
        <v>49</v>
      </c>
      <c r="E89" t="s">
        <v>10</v>
      </c>
      <c r="G89" t="str">
        <f>IFERROR(VLOOKUP(E89,Control_Actividades!A:C,2,FALSE),)</f>
        <v>Quintal</v>
      </c>
      <c r="H89">
        <v>0.95</v>
      </c>
      <c r="I89" s="3">
        <f>IFERROR(VLOOKUP(E89,Control_Actividades!A:C,3,FALSE),"")</f>
        <v>70</v>
      </c>
      <c r="J89" s="3">
        <f t="shared" si="3"/>
        <v>66.5</v>
      </c>
    </row>
    <row r="90" spans="1:10" x14ac:dyDescent="0.3">
      <c r="A90" s="2">
        <v>46113</v>
      </c>
      <c r="B90">
        <f t="shared" si="4"/>
        <v>14</v>
      </c>
      <c r="C90" t="s">
        <v>50</v>
      </c>
      <c r="E90" t="s">
        <v>10</v>
      </c>
      <c r="G90" t="str">
        <f>IFERROR(VLOOKUP(E90,Control_Actividades!A:C,2,FALSE),)</f>
        <v>Quintal</v>
      </c>
      <c r="H90">
        <v>0.3</v>
      </c>
      <c r="I90" s="3">
        <f>IFERROR(VLOOKUP(E90,Control_Actividades!A:C,3,FALSE),"")</f>
        <v>70</v>
      </c>
      <c r="J90" s="3">
        <f t="shared" si="3"/>
        <v>21</v>
      </c>
    </row>
    <row r="91" spans="1:10" x14ac:dyDescent="0.3">
      <c r="A91" s="4">
        <v>46113</v>
      </c>
      <c r="B91" s="5">
        <f t="shared" si="4"/>
        <v>14</v>
      </c>
      <c r="C91" s="5" t="s">
        <v>51</v>
      </c>
      <c r="D91" s="5"/>
      <c r="E91" s="5" t="s">
        <v>10</v>
      </c>
      <c r="F91" s="5"/>
      <c r="G91" s="5" t="str">
        <f>IFERROR(VLOOKUP(E91,Control_Actividades!A:C,2,FALSE),)</f>
        <v>Quintal</v>
      </c>
      <c r="H91" s="5">
        <v>0.5</v>
      </c>
      <c r="I91" s="6">
        <f>IFERROR(VLOOKUP(E91,Control_Actividades!A:C,3,FALSE),"")</f>
        <v>70</v>
      </c>
      <c r="J91" s="6">
        <f t="shared" si="3"/>
        <v>35</v>
      </c>
    </row>
    <row r="92" spans="1:10" x14ac:dyDescent="0.3">
      <c r="A92" s="2">
        <v>46118</v>
      </c>
      <c r="B92">
        <f t="shared" si="4"/>
        <v>15</v>
      </c>
      <c r="C92" t="s">
        <v>22</v>
      </c>
      <c r="E92" t="s">
        <v>54</v>
      </c>
      <c r="G92" t="str">
        <f>IFERROR(VLOOKUP(E92,Control_Actividades!A:C,2,FALSE),)</f>
        <v>Dia</v>
      </c>
      <c r="H92">
        <v>1</v>
      </c>
      <c r="I92" s="3">
        <f>IFERROR(VLOOKUP(E92,Control_Actividades!A:C,3,FALSE),"")</f>
        <v>130</v>
      </c>
      <c r="J92" s="3">
        <f t="shared" si="3"/>
        <v>130</v>
      </c>
    </row>
    <row r="93" spans="1:10" x14ac:dyDescent="0.3">
      <c r="A93" s="2">
        <v>46118</v>
      </c>
      <c r="B93">
        <f t="shared" si="4"/>
        <v>15</v>
      </c>
      <c r="C93" t="s">
        <v>23</v>
      </c>
      <c r="E93" t="s">
        <v>10</v>
      </c>
      <c r="G93" t="str">
        <f>IFERROR(VLOOKUP(E93,Control_Actividades!A:C,2,FALSE),)</f>
        <v>Quintal</v>
      </c>
      <c r="H93">
        <v>0.5</v>
      </c>
      <c r="I93" s="3">
        <f>IFERROR(VLOOKUP(E93,Control_Actividades!A:C,3,FALSE),"")</f>
        <v>70</v>
      </c>
      <c r="J93" s="3">
        <f t="shared" si="3"/>
        <v>35</v>
      </c>
    </row>
    <row r="94" spans="1:10" x14ac:dyDescent="0.3">
      <c r="A94" s="2">
        <v>46118</v>
      </c>
      <c r="B94">
        <f t="shared" si="4"/>
        <v>15</v>
      </c>
      <c r="C94" t="s">
        <v>24</v>
      </c>
      <c r="E94" t="s">
        <v>10</v>
      </c>
      <c r="G94" t="str">
        <f>IFERROR(VLOOKUP(E94,Control_Actividades!A:C,2,FALSE),)</f>
        <v>Quintal</v>
      </c>
      <c r="H94">
        <v>0.5</v>
      </c>
      <c r="I94" s="3">
        <f>IFERROR(VLOOKUP(E94,Control_Actividades!A:C,3,FALSE),"")</f>
        <v>70</v>
      </c>
      <c r="J94" s="3">
        <f t="shared" si="3"/>
        <v>35</v>
      </c>
    </row>
    <row r="95" spans="1:10" x14ac:dyDescent="0.3">
      <c r="A95" s="2">
        <v>46118</v>
      </c>
      <c r="B95">
        <f t="shared" si="4"/>
        <v>15</v>
      </c>
      <c r="C95" t="s">
        <v>25</v>
      </c>
      <c r="E95" t="s">
        <v>10</v>
      </c>
      <c r="G95" t="str">
        <f>IFERROR(VLOOKUP(E95,Control_Actividades!A:C,2,FALSE),)</f>
        <v>Quintal</v>
      </c>
      <c r="H95">
        <v>0.25</v>
      </c>
      <c r="I95" s="3">
        <f>IFERROR(VLOOKUP(E95,Control_Actividades!A:C,3,FALSE),"")</f>
        <v>70</v>
      </c>
      <c r="J95" s="3">
        <f t="shared" si="3"/>
        <v>17.5</v>
      </c>
    </row>
    <row r="96" spans="1:10" x14ac:dyDescent="0.3">
      <c r="A96" s="2">
        <v>46118</v>
      </c>
      <c r="B96">
        <f t="shared" si="4"/>
        <v>15</v>
      </c>
      <c r="C96" t="s">
        <v>26</v>
      </c>
      <c r="E96" t="s">
        <v>10</v>
      </c>
      <c r="G96" t="str">
        <f>IFERROR(VLOOKUP(E96,Control_Actividades!A:C,2,FALSE),)</f>
        <v>Quintal</v>
      </c>
      <c r="H96">
        <v>0.15</v>
      </c>
      <c r="I96" s="3">
        <f>IFERROR(VLOOKUP(E96,Control_Actividades!A:C,3,FALSE),"")</f>
        <v>70</v>
      </c>
      <c r="J96" s="3">
        <f t="shared" ref="J96:J101" si="5">H96*I96</f>
        <v>10.5</v>
      </c>
    </row>
    <row r="97" spans="1:10" x14ac:dyDescent="0.3">
      <c r="A97" s="2">
        <v>46118</v>
      </c>
      <c r="B97">
        <f t="shared" si="4"/>
        <v>15</v>
      </c>
      <c r="C97" t="s">
        <v>27</v>
      </c>
      <c r="E97" t="s">
        <v>10</v>
      </c>
      <c r="G97" t="str">
        <f>IFERROR(VLOOKUP(E97,Control_Actividades!A:C,2,FALSE),)</f>
        <v>Quintal</v>
      </c>
      <c r="H97">
        <v>0.3</v>
      </c>
      <c r="I97" s="3">
        <f>IFERROR(VLOOKUP(E97,Control_Actividades!A:C,3,FALSE),"")</f>
        <v>70</v>
      </c>
      <c r="J97" s="3">
        <f t="shared" si="5"/>
        <v>21</v>
      </c>
    </row>
    <row r="98" spans="1:10" x14ac:dyDescent="0.3">
      <c r="A98" s="2">
        <v>46118</v>
      </c>
      <c r="B98">
        <f t="shared" si="4"/>
        <v>15</v>
      </c>
      <c r="C98" t="s">
        <v>28</v>
      </c>
      <c r="E98" t="s">
        <v>10</v>
      </c>
      <c r="G98" t="str">
        <f>IFERROR(VLOOKUP(E98,Control_Actividades!A:C,2,FALSE),)</f>
        <v>Quintal</v>
      </c>
      <c r="H98">
        <v>0.8</v>
      </c>
      <c r="I98" s="3">
        <f>IFERROR(VLOOKUP(E98,Control_Actividades!A:C,3,FALSE),"")</f>
        <v>70</v>
      </c>
      <c r="J98" s="3">
        <f t="shared" si="5"/>
        <v>56</v>
      </c>
    </row>
    <row r="99" spans="1:10" x14ac:dyDescent="0.3">
      <c r="A99" s="2">
        <v>46118</v>
      </c>
      <c r="B99">
        <f t="shared" si="4"/>
        <v>15</v>
      </c>
      <c r="C99" t="s">
        <v>29</v>
      </c>
      <c r="E99" t="s">
        <v>10</v>
      </c>
      <c r="G99" t="str">
        <f>IFERROR(VLOOKUP(E99,Control_Actividades!A:C,2,FALSE),)</f>
        <v>Quintal</v>
      </c>
      <c r="H99">
        <v>0.4</v>
      </c>
      <c r="I99" s="3">
        <f>IFERROR(VLOOKUP(E99,Control_Actividades!A:C,3,FALSE),"")</f>
        <v>70</v>
      </c>
      <c r="J99" s="3">
        <f t="shared" si="5"/>
        <v>28</v>
      </c>
    </row>
    <row r="100" spans="1:10" x14ac:dyDescent="0.3">
      <c r="A100" s="2">
        <v>46118</v>
      </c>
      <c r="B100">
        <f t="shared" si="4"/>
        <v>15</v>
      </c>
      <c r="C100" t="s">
        <v>30</v>
      </c>
      <c r="E100" t="s">
        <v>55</v>
      </c>
      <c r="G100" t="str">
        <f>IFERROR(VLOOKUP(E100,Control_Actividades!A:C,2,FALSE),)</f>
        <v>Dia</v>
      </c>
      <c r="H100">
        <v>0.2</v>
      </c>
      <c r="I100" s="3">
        <f>IFERROR(VLOOKUP(E100,Control_Actividades!A:C,3,FALSE),"")</f>
        <v>100</v>
      </c>
      <c r="J100" s="3">
        <f t="shared" si="5"/>
        <v>20</v>
      </c>
    </row>
    <row r="101" spans="1:10" x14ac:dyDescent="0.3">
      <c r="A101" s="2">
        <v>46118</v>
      </c>
      <c r="B101">
        <f t="shared" si="4"/>
        <v>15</v>
      </c>
      <c r="C101" t="s">
        <v>31</v>
      </c>
      <c r="E101" t="s">
        <v>10</v>
      </c>
      <c r="G101" t="str">
        <f>IFERROR(VLOOKUP(E101,Control_Actividades!A:C,2,FALSE),)</f>
        <v>Quintal</v>
      </c>
      <c r="H101">
        <v>0.3</v>
      </c>
      <c r="I101" s="3">
        <f>IFERROR(VLOOKUP(E101,Control_Actividades!A:C,3,FALSE),"")</f>
        <v>70</v>
      </c>
      <c r="J101" s="3">
        <f t="shared" si="5"/>
        <v>21</v>
      </c>
    </row>
    <row r="102" spans="1:10" x14ac:dyDescent="0.3">
      <c r="A102" s="2">
        <v>46118</v>
      </c>
      <c r="B102">
        <f t="shared" si="4"/>
        <v>15</v>
      </c>
      <c r="C102" t="s">
        <v>32</v>
      </c>
      <c r="E102" t="s">
        <v>10</v>
      </c>
      <c r="G102" t="str">
        <f>IFERROR(VLOOKUP(E102,Control_Actividades!A:C,2,FALSE),)</f>
        <v>Quintal</v>
      </c>
      <c r="H102">
        <v>0.15</v>
      </c>
      <c r="I102" s="3">
        <f>IFERROR(VLOOKUP(E102,Control_Actividades!A:C,3,FALSE),"")</f>
        <v>70</v>
      </c>
      <c r="J102" s="3">
        <f t="shared" ref="J102:J121" si="6">H102*I102</f>
        <v>10.5</v>
      </c>
    </row>
    <row r="103" spans="1:10" x14ac:dyDescent="0.3">
      <c r="A103" s="2">
        <v>46118</v>
      </c>
      <c r="B103">
        <f t="shared" si="4"/>
        <v>15</v>
      </c>
      <c r="C103" t="s">
        <v>33</v>
      </c>
      <c r="E103" t="s">
        <v>10</v>
      </c>
      <c r="G103" t="str">
        <f>IFERROR(VLOOKUP(E103,Control_Actividades!A:C,2,FALSE),)</f>
        <v>Quintal</v>
      </c>
      <c r="H103">
        <v>0.15</v>
      </c>
      <c r="I103" s="3">
        <f>IFERROR(VLOOKUP(E103,Control_Actividades!A:C,3,FALSE),"")</f>
        <v>70</v>
      </c>
      <c r="J103" s="3">
        <f t="shared" si="6"/>
        <v>10.5</v>
      </c>
    </row>
    <row r="104" spans="1:10" x14ac:dyDescent="0.3">
      <c r="A104" s="2">
        <v>46118</v>
      </c>
      <c r="B104">
        <f t="shared" si="4"/>
        <v>15</v>
      </c>
      <c r="C104" t="s">
        <v>34</v>
      </c>
      <c r="E104" t="s">
        <v>10</v>
      </c>
      <c r="G104" t="str">
        <f>IFERROR(VLOOKUP(E104,Control_Actividades!A:C,2,FALSE),)</f>
        <v>Quintal</v>
      </c>
      <c r="H104">
        <v>0.15</v>
      </c>
      <c r="I104" s="3">
        <f>IFERROR(VLOOKUP(E104,Control_Actividades!A:C,3,FALSE),"")</f>
        <v>70</v>
      </c>
      <c r="J104" s="3">
        <f t="shared" si="6"/>
        <v>10.5</v>
      </c>
    </row>
    <row r="105" spans="1:10" x14ac:dyDescent="0.3">
      <c r="A105" s="2">
        <v>46118</v>
      </c>
      <c r="B105">
        <f t="shared" si="4"/>
        <v>15</v>
      </c>
      <c r="C105" t="s">
        <v>35</v>
      </c>
      <c r="E105" t="s">
        <v>17</v>
      </c>
      <c r="G105" t="str">
        <f>IFERROR(VLOOKUP(E105,Control_Actividades!A:C,2,FALSE),)</f>
        <v>Manzana</v>
      </c>
      <c r="H105">
        <v>0.5</v>
      </c>
      <c r="I105" s="3">
        <f>IFERROR(VLOOKUP(E105,Control_Actividades!A:C,3,FALSE),"")</f>
        <v>110</v>
      </c>
      <c r="J105" s="3">
        <f t="shared" si="6"/>
        <v>55</v>
      </c>
    </row>
    <row r="106" spans="1:10" x14ac:dyDescent="0.3">
      <c r="A106" s="2">
        <v>46118</v>
      </c>
      <c r="B106">
        <f t="shared" si="4"/>
        <v>15</v>
      </c>
      <c r="C106" t="s">
        <v>36</v>
      </c>
      <c r="E106" t="s">
        <v>59</v>
      </c>
      <c r="G106" t="str">
        <f>IFERROR(VLOOKUP(E106,Control_Actividades!A:C,2,FALSE),)</f>
        <v>Dia</v>
      </c>
      <c r="H106">
        <v>0.65</v>
      </c>
      <c r="I106" s="3">
        <f>IFERROR(VLOOKUP(E106,Control_Actividades!A:C,3,FALSE),"")</f>
        <v>75</v>
      </c>
      <c r="J106" s="3">
        <f t="shared" si="6"/>
        <v>48.75</v>
      </c>
    </row>
    <row r="107" spans="1:10" x14ac:dyDescent="0.3">
      <c r="A107" s="2">
        <v>46118</v>
      </c>
      <c r="B107">
        <f t="shared" si="4"/>
        <v>15</v>
      </c>
      <c r="C107" t="s">
        <v>37</v>
      </c>
      <c r="E107" t="s">
        <v>55</v>
      </c>
      <c r="G107" t="str">
        <f>IFERROR(VLOOKUP(E107,Control_Actividades!A:C,2,FALSE),)</f>
        <v>Dia</v>
      </c>
      <c r="H107">
        <v>1</v>
      </c>
      <c r="I107" s="3">
        <f>IFERROR(VLOOKUP(E107,Control_Actividades!A:C,3,FALSE),"")</f>
        <v>100</v>
      </c>
      <c r="J107" s="3">
        <f t="shared" si="6"/>
        <v>100</v>
      </c>
    </row>
    <row r="108" spans="1:10" x14ac:dyDescent="0.3">
      <c r="A108" s="2">
        <v>46118</v>
      </c>
      <c r="B108">
        <f t="shared" si="4"/>
        <v>15</v>
      </c>
      <c r="C108" t="s">
        <v>38</v>
      </c>
      <c r="E108" t="s">
        <v>62</v>
      </c>
      <c r="G108" t="str">
        <f>IFERROR(VLOOKUP(E108,Control_Actividades!A:C,2,FALSE),)</f>
        <v>Dia</v>
      </c>
      <c r="H108">
        <v>1</v>
      </c>
      <c r="I108" s="3">
        <f>IFERROR(VLOOKUP(E108,Control_Actividades!A:C,3,FALSE),"")</f>
        <v>100</v>
      </c>
      <c r="J108" s="3">
        <f t="shared" si="6"/>
        <v>100</v>
      </c>
    </row>
    <row r="109" spans="1:10" x14ac:dyDescent="0.3">
      <c r="A109" s="2">
        <v>46118</v>
      </c>
      <c r="B109">
        <f t="shared" si="4"/>
        <v>15</v>
      </c>
      <c r="C109" t="s">
        <v>39</v>
      </c>
      <c r="E109" t="s">
        <v>17</v>
      </c>
      <c r="G109" t="str">
        <f>IFERROR(VLOOKUP(E109,Control_Actividades!A:C,2,FALSE),)</f>
        <v>Manzana</v>
      </c>
      <c r="H109">
        <v>0.5</v>
      </c>
      <c r="I109" s="3">
        <f>IFERROR(VLOOKUP(E109,Control_Actividades!A:C,3,FALSE),"")</f>
        <v>110</v>
      </c>
      <c r="J109" s="3">
        <f t="shared" si="6"/>
        <v>55</v>
      </c>
    </row>
    <row r="110" spans="1:10" x14ac:dyDescent="0.3">
      <c r="A110" s="2">
        <v>46118</v>
      </c>
      <c r="B110">
        <f t="shared" si="4"/>
        <v>15</v>
      </c>
      <c r="C110" t="s">
        <v>40</v>
      </c>
      <c r="E110" t="s">
        <v>10</v>
      </c>
      <c r="G110" t="str">
        <f>IFERROR(VLOOKUP(E110,Control_Actividades!A:C,2,FALSE),)</f>
        <v>Quintal</v>
      </c>
      <c r="H110">
        <v>0.2</v>
      </c>
      <c r="I110" s="3">
        <f>IFERROR(VLOOKUP(E110,Control_Actividades!A:C,3,FALSE),"")</f>
        <v>70</v>
      </c>
      <c r="J110" s="3">
        <f t="shared" si="6"/>
        <v>14</v>
      </c>
    </row>
    <row r="111" spans="1:10" x14ac:dyDescent="0.3">
      <c r="A111" s="2">
        <v>46118</v>
      </c>
      <c r="B111">
        <f t="shared" si="4"/>
        <v>15</v>
      </c>
      <c r="C111" t="s">
        <v>41</v>
      </c>
      <c r="E111" t="s">
        <v>10</v>
      </c>
      <c r="G111" t="str">
        <f>IFERROR(VLOOKUP(E111,Control_Actividades!A:C,2,FALSE),)</f>
        <v>Quintal</v>
      </c>
      <c r="H111">
        <v>0.35</v>
      </c>
      <c r="I111" s="3">
        <f>IFERROR(VLOOKUP(E111,Control_Actividades!A:C,3,FALSE),"")</f>
        <v>70</v>
      </c>
      <c r="J111" s="3">
        <f t="shared" si="6"/>
        <v>24.5</v>
      </c>
    </row>
    <row r="112" spans="1:10" x14ac:dyDescent="0.3">
      <c r="A112" s="2">
        <v>46118</v>
      </c>
      <c r="B112">
        <f t="shared" si="4"/>
        <v>15</v>
      </c>
      <c r="C112" t="s">
        <v>42</v>
      </c>
      <c r="E112" t="s">
        <v>10</v>
      </c>
      <c r="G112" t="str">
        <f>IFERROR(VLOOKUP(E112,Control_Actividades!A:C,2,FALSE),)</f>
        <v>Quintal</v>
      </c>
      <c r="H112">
        <v>0.2</v>
      </c>
      <c r="I112" s="3">
        <f>IFERROR(VLOOKUP(E112,Control_Actividades!A:C,3,FALSE),"")</f>
        <v>70</v>
      </c>
      <c r="J112" s="3">
        <f t="shared" si="6"/>
        <v>14</v>
      </c>
    </row>
    <row r="113" spans="1:10" x14ac:dyDescent="0.3">
      <c r="A113" s="2">
        <v>46118</v>
      </c>
      <c r="B113">
        <f t="shared" si="4"/>
        <v>15</v>
      </c>
      <c r="C113" t="s">
        <v>43</v>
      </c>
      <c r="E113" t="s">
        <v>10</v>
      </c>
      <c r="G113" t="str">
        <f>IFERROR(VLOOKUP(E113,Control_Actividades!A:C,2,FALSE),)</f>
        <v>Quintal</v>
      </c>
      <c r="H113">
        <v>0</v>
      </c>
      <c r="I113" s="3">
        <f>IFERROR(VLOOKUP(E113,Control_Actividades!A:C,3,FALSE),"")</f>
        <v>70</v>
      </c>
      <c r="J113" s="3">
        <f t="shared" si="6"/>
        <v>0</v>
      </c>
    </row>
    <row r="114" spans="1:10" x14ac:dyDescent="0.3">
      <c r="A114" s="2">
        <v>46118</v>
      </c>
      <c r="B114">
        <f t="shared" si="4"/>
        <v>15</v>
      </c>
      <c r="C114" t="s">
        <v>44</v>
      </c>
      <c r="E114" t="s">
        <v>61</v>
      </c>
      <c r="G114" t="str">
        <f>IFERROR(VLOOKUP(E114,Control_Actividades!A:C,2,FALSE),)</f>
        <v>Dia</v>
      </c>
      <c r="H114">
        <v>0.2</v>
      </c>
      <c r="I114" s="3">
        <f>IFERROR(VLOOKUP(E114,Control_Actividades!A:C,3,FALSE),"")</f>
        <v>75</v>
      </c>
      <c r="J114" s="3">
        <f t="shared" si="6"/>
        <v>15</v>
      </c>
    </row>
    <row r="115" spans="1:10" x14ac:dyDescent="0.3">
      <c r="A115" s="2">
        <v>46118</v>
      </c>
      <c r="B115">
        <f t="shared" si="4"/>
        <v>15</v>
      </c>
      <c r="C115" t="s">
        <v>45</v>
      </c>
      <c r="E115" t="s">
        <v>10</v>
      </c>
      <c r="G115" t="str">
        <f>IFERROR(VLOOKUP(E115,Control_Actividades!A:C,2,FALSE),)</f>
        <v>Quintal</v>
      </c>
      <c r="H115">
        <v>0.2</v>
      </c>
      <c r="I115" s="3">
        <f>IFERROR(VLOOKUP(E115,Control_Actividades!A:C,3,FALSE),"")</f>
        <v>70</v>
      </c>
      <c r="J115" s="3">
        <f t="shared" si="6"/>
        <v>14</v>
      </c>
    </row>
    <row r="116" spans="1:10" x14ac:dyDescent="0.3">
      <c r="A116" s="2">
        <v>46118</v>
      </c>
      <c r="B116">
        <f t="shared" si="4"/>
        <v>15</v>
      </c>
      <c r="C116" t="s">
        <v>46</v>
      </c>
      <c r="E116" t="s">
        <v>10</v>
      </c>
      <c r="G116" t="str">
        <f>IFERROR(VLOOKUP(E116,Control_Actividades!A:C,2,FALSE),)</f>
        <v>Quintal</v>
      </c>
      <c r="H116">
        <v>0.95</v>
      </c>
      <c r="I116" s="3">
        <f>IFERROR(VLOOKUP(E116,Control_Actividades!A:C,3,FALSE),"")</f>
        <v>70</v>
      </c>
      <c r="J116" s="3">
        <f t="shared" si="6"/>
        <v>66.5</v>
      </c>
    </row>
    <row r="117" spans="1:10" x14ac:dyDescent="0.3">
      <c r="A117" s="2">
        <v>46118</v>
      </c>
      <c r="B117">
        <f t="shared" si="4"/>
        <v>15</v>
      </c>
      <c r="C117" t="s">
        <v>47</v>
      </c>
      <c r="E117" t="s">
        <v>10</v>
      </c>
      <c r="G117" t="str">
        <f>IFERROR(VLOOKUP(E117,Control_Actividades!A:C,2,FALSE),)</f>
        <v>Quintal</v>
      </c>
      <c r="H117">
        <v>0.4</v>
      </c>
      <c r="I117" s="3">
        <f>IFERROR(VLOOKUP(E117,Control_Actividades!A:C,3,FALSE),"")</f>
        <v>70</v>
      </c>
      <c r="J117" s="3">
        <f t="shared" si="6"/>
        <v>28</v>
      </c>
    </row>
    <row r="118" spans="1:10" x14ac:dyDescent="0.3">
      <c r="A118" s="2">
        <v>46118</v>
      </c>
      <c r="B118">
        <f t="shared" si="4"/>
        <v>15</v>
      </c>
      <c r="C118" t="s">
        <v>48</v>
      </c>
      <c r="E118" t="s">
        <v>10</v>
      </c>
      <c r="G118" t="str">
        <f>IFERROR(VLOOKUP(E118,Control_Actividades!A:C,2,FALSE),)</f>
        <v>Quintal</v>
      </c>
      <c r="H118">
        <v>0.3</v>
      </c>
      <c r="I118" s="3">
        <f>IFERROR(VLOOKUP(E118,Control_Actividades!A:C,3,FALSE),"")</f>
        <v>70</v>
      </c>
      <c r="J118" s="3">
        <f t="shared" si="6"/>
        <v>21</v>
      </c>
    </row>
    <row r="119" spans="1:10" x14ac:dyDescent="0.3">
      <c r="A119" s="2">
        <v>46118</v>
      </c>
      <c r="B119">
        <f t="shared" si="4"/>
        <v>15</v>
      </c>
      <c r="C119" t="s">
        <v>49</v>
      </c>
      <c r="E119" t="s">
        <v>10</v>
      </c>
      <c r="G119" t="str">
        <f>IFERROR(VLOOKUP(E119,Control_Actividades!A:C,2,FALSE),)</f>
        <v>Quintal</v>
      </c>
      <c r="H119">
        <v>0</v>
      </c>
      <c r="I119" s="3">
        <f>IFERROR(VLOOKUP(E119,Control_Actividades!A:C,3,FALSE),"")</f>
        <v>70</v>
      </c>
      <c r="J119" s="3">
        <f t="shared" si="6"/>
        <v>0</v>
      </c>
    </row>
    <row r="120" spans="1:10" x14ac:dyDescent="0.3">
      <c r="A120" s="2">
        <v>46118</v>
      </c>
      <c r="B120">
        <f t="shared" si="4"/>
        <v>15</v>
      </c>
      <c r="C120" t="s">
        <v>50</v>
      </c>
      <c r="E120" t="s">
        <v>10</v>
      </c>
      <c r="G120" t="str">
        <f>IFERROR(VLOOKUP(E120,Control_Actividades!A:C,2,FALSE),)</f>
        <v>Quintal</v>
      </c>
      <c r="H120">
        <v>0.4</v>
      </c>
      <c r="I120" s="3">
        <f>IFERROR(VLOOKUP(E120,Control_Actividades!A:C,3,FALSE),"")</f>
        <v>70</v>
      </c>
      <c r="J120" s="3">
        <f t="shared" si="6"/>
        <v>28</v>
      </c>
    </row>
    <row r="121" spans="1:10" x14ac:dyDescent="0.3">
      <c r="A121" s="4">
        <v>46118</v>
      </c>
      <c r="B121" s="5">
        <f t="shared" si="4"/>
        <v>15</v>
      </c>
      <c r="C121" s="5" t="s">
        <v>51</v>
      </c>
      <c r="D121" s="5"/>
      <c r="E121" s="5" t="s">
        <v>10</v>
      </c>
      <c r="F121" s="5"/>
      <c r="G121" s="5" t="str">
        <f>IFERROR(VLOOKUP(E121,Control_Actividades!A:C,2,FALSE),)</f>
        <v>Quintal</v>
      </c>
      <c r="H121" s="5">
        <v>0.65</v>
      </c>
      <c r="I121" s="3">
        <f>IFERROR(VLOOKUP(E121,Control_Actividades!A:C,3,FALSE),"")</f>
        <v>70</v>
      </c>
      <c r="J121" s="3">
        <f t="shared" si="6"/>
        <v>45.5</v>
      </c>
    </row>
    <row r="122" spans="1:10" x14ac:dyDescent="0.3">
      <c r="A122" s="2">
        <v>46119</v>
      </c>
      <c r="B122">
        <f t="shared" si="4"/>
        <v>15</v>
      </c>
      <c r="C122" t="s">
        <v>22</v>
      </c>
      <c r="E122" t="s">
        <v>54</v>
      </c>
      <c r="G122" t="str">
        <f>IFERROR(VLOOKUP(E122,Control_Actividades!A:C,2,FALSE),)</f>
        <v>Dia</v>
      </c>
      <c r="H122">
        <v>1</v>
      </c>
      <c r="I122" s="3">
        <f>IFERROR(VLOOKUP(E122,Control_Actividades!A:C,3,FALSE),"")</f>
        <v>130</v>
      </c>
      <c r="J122" s="3">
        <f t="shared" ref="J122:J185" si="7">H122*I122</f>
        <v>130</v>
      </c>
    </row>
    <row r="123" spans="1:10" x14ac:dyDescent="0.3">
      <c r="A123" s="2">
        <v>46119</v>
      </c>
      <c r="B123">
        <f t="shared" si="4"/>
        <v>15</v>
      </c>
      <c r="C123" t="s">
        <v>23</v>
      </c>
      <c r="E123" t="s">
        <v>10</v>
      </c>
      <c r="G123" t="str">
        <f>IFERROR(VLOOKUP(E123,Control_Actividades!A:C,2,FALSE),)</f>
        <v>Quintal</v>
      </c>
      <c r="H123">
        <v>0.25</v>
      </c>
      <c r="I123" s="3">
        <f>IFERROR(VLOOKUP(E123,Control_Actividades!A:C,3,FALSE),"")</f>
        <v>70</v>
      </c>
      <c r="J123" s="3">
        <f t="shared" si="7"/>
        <v>17.5</v>
      </c>
    </row>
    <row r="124" spans="1:10" x14ac:dyDescent="0.3">
      <c r="A124" s="2">
        <v>46119</v>
      </c>
      <c r="B124">
        <f t="shared" si="4"/>
        <v>15</v>
      </c>
      <c r="C124" t="s">
        <v>24</v>
      </c>
      <c r="E124" t="s">
        <v>10</v>
      </c>
      <c r="G124" t="str">
        <f>IFERROR(VLOOKUP(E124,Control_Actividades!A:C,2,FALSE),)</f>
        <v>Quintal</v>
      </c>
      <c r="H124">
        <v>0.25</v>
      </c>
      <c r="I124" s="3">
        <f>IFERROR(VLOOKUP(E124,Control_Actividades!A:C,3,FALSE),"")</f>
        <v>70</v>
      </c>
      <c r="J124" s="3">
        <f t="shared" si="7"/>
        <v>17.5</v>
      </c>
    </row>
    <row r="125" spans="1:10" x14ac:dyDescent="0.3">
      <c r="A125" s="2">
        <v>46119</v>
      </c>
      <c r="B125">
        <f t="shared" si="4"/>
        <v>15</v>
      </c>
      <c r="C125" t="s">
        <v>25</v>
      </c>
      <c r="E125" t="s">
        <v>10</v>
      </c>
      <c r="G125" t="str">
        <f>IFERROR(VLOOKUP(E125,Control_Actividades!A:C,2,FALSE),)</f>
        <v>Quintal</v>
      </c>
      <c r="H125">
        <v>0.15</v>
      </c>
      <c r="I125" s="3">
        <f>IFERROR(VLOOKUP(E125,Control_Actividades!A:C,3,FALSE),"")</f>
        <v>70</v>
      </c>
      <c r="J125" s="3">
        <f t="shared" si="7"/>
        <v>10.5</v>
      </c>
    </row>
    <row r="126" spans="1:10" x14ac:dyDescent="0.3">
      <c r="A126" s="2">
        <v>46119</v>
      </c>
      <c r="B126">
        <f t="shared" si="4"/>
        <v>15</v>
      </c>
      <c r="C126" t="s">
        <v>26</v>
      </c>
      <c r="E126" t="s">
        <v>10</v>
      </c>
      <c r="G126" t="str">
        <f>IFERROR(VLOOKUP(E126,Control_Actividades!A:C,2,FALSE),)</f>
        <v>Quintal</v>
      </c>
      <c r="H126">
        <v>0.25</v>
      </c>
      <c r="I126" s="3">
        <f>IFERROR(VLOOKUP(E126,Control_Actividades!A:C,3,FALSE),"")</f>
        <v>70</v>
      </c>
      <c r="J126" s="3">
        <f t="shared" si="7"/>
        <v>17.5</v>
      </c>
    </row>
    <row r="127" spans="1:10" x14ac:dyDescent="0.3">
      <c r="A127" s="2">
        <v>46119</v>
      </c>
      <c r="B127">
        <f t="shared" si="4"/>
        <v>15</v>
      </c>
      <c r="C127" t="s">
        <v>27</v>
      </c>
      <c r="E127" t="s">
        <v>10</v>
      </c>
      <c r="G127" t="str">
        <f>IFERROR(VLOOKUP(E127,Control_Actividades!A:C,2,FALSE),)</f>
        <v>Quintal</v>
      </c>
      <c r="H127">
        <v>0.4</v>
      </c>
      <c r="I127" s="3">
        <f>IFERROR(VLOOKUP(E127,Control_Actividades!A:C,3,FALSE),"")</f>
        <v>70</v>
      </c>
      <c r="J127" s="3">
        <f t="shared" si="7"/>
        <v>28</v>
      </c>
    </row>
    <row r="128" spans="1:10" x14ac:dyDescent="0.3">
      <c r="A128" s="2">
        <v>46119</v>
      </c>
      <c r="B128">
        <f t="shared" si="4"/>
        <v>15</v>
      </c>
      <c r="C128" t="s">
        <v>28</v>
      </c>
      <c r="E128" t="s">
        <v>10</v>
      </c>
      <c r="G128" t="str">
        <f>IFERROR(VLOOKUP(E128,Control_Actividades!A:C,2,FALSE),)</f>
        <v>Quintal</v>
      </c>
      <c r="H128">
        <v>0.25</v>
      </c>
      <c r="I128" s="3">
        <f>IFERROR(VLOOKUP(E128,Control_Actividades!A:C,3,FALSE),"")</f>
        <v>70</v>
      </c>
      <c r="J128" s="3">
        <f t="shared" si="7"/>
        <v>17.5</v>
      </c>
    </row>
    <row r="129" spans="1:10" x14ac:dyDescent="0.3">
      <c r="A129" s="2">
        <v>46119</v>
      </c>
      <c r="B129">
        <f t="shared" si="4"/>
        <v>15</v>
      </c>
      <c r="C129" t="s">
        <v>29</v>
      </c>
      <c r="E129" t="s">
        <v>10</v>
      </c>
      <c r="G129" t="str">
        <f>IFERROR(VLOOKUP(E129,Control_Actividades!A:C,2,FALSE),)</f>
        <v>Quintal</v>
      </c>
      <c r="H129">
        <v>0.1</v>
      </c>
      <c r="I129" s="3">
        <f>IFERROR(VLOOKUP(E129,Control_Actividades!A:C,3,FALSE),"")</f>
        <v>70</v>
      </c>
      <c r="J129" s="3">
        <f t="shared" si="7"/>
        <v>7</v>
      </c>
    </row>
    <row r="130" spans="1:10" x14ac:dyDescent="0.3">
      <c r="A130" s="2">
        <v>46119</v>
      </c>
      <c r="B130">
        <f t="shared" si="4"/>
        <v>15</v>
      </c>
      <c r="C130" t="s">
        <v>30</v>
      </c>
      <c r="E130" t="s">
        <v>55</v>
      </c>
      <c r="G130" t="str">
        <f>IFERROR(VLOOKUP(E130,Control_Actividades!A:C,2,FALSE),)</f>
        <v>Dia</v>
      </c>
      <c r="H130">
        <v>0.15</v>
      </c>
      <c r="I130" s="3">
        <f>IFERROR(VLOOKUP(E130,Control_Actividades!A:C,3,FALSE),"")</f>
        <v>100</v>
      </c>
      <c r="J130" s="3">
        <f t="shared" si="7"/>
        <v>15</v>
      </c>
    </row>
    <row r="131" spans="1:10" x14ac:dyDescent="0.3">
      <c r="A131" s="2">
        <v>46119</v>
      </c>
      <c r="B131">
        <f t="shared" ref="B131:B194" si="8">WEEKNUM(A131,2)</f>
        <v>15</v>
      </c>
      <c r="C131" t="s">
        <v>31</v>
      </c>
      <c r="E131" t="s">
        <v>10</v>
      </c>
      <c r="G131" t="str">
        <f>IFERROR(VLOOKUP(E131,Control_Actividades!A:C,2,FALSE),)</f>
        <v>Quintal</v>
      </c>
      <c r="H131">
        <v>0.35</v>
      </c>
      <c r="I131" s="3">
        <f>IFERROR(VLOOKUP(E131,Control_Actividades!A:C,3,FALSE),"")</f>
        <v>70</v>
      </c>
      <c r="J131" s="3">
        <f t="shared" si="7"/>
        <v>24.5</v>
      </c>
    </row>
    <row r="132" spans="1:10" x14ac:dyDescent="0.3">
      <c r="A132" s="2">
        <v>46119</v>
      </c>
      <c r="B132">
        <f t="shared" si="8"/>
        <v>15</v>
      </c>
      <c r="C132" t="s">
        <v>32</v>
      </c>
      <c r="E132" t="s">
        <v>10</v>
      </c>
      <c r="G132" t="str">
        <f>IFERROR(VLOOKUP(E132,Control_Actividades!A:C,2,FALSE),)</f>
        <v>Quintal</v>
      </c>
      <c r="H132">
        <v>0.1</v>
      </c>
      <c r="I132" s="3">
        <f>IFERROR(VLOOKUP(E132,Control_Actividades!A:C,3,FALSE),"")</f>
        <v>70</v>
      </c>
      <c r="J132" s="3">
        <f t="shared" si="7"/>
        <v>7</v>
      </c>
    </row>
    <row r="133" spans="1:10" x14ac:dyDescent="0.3">
      <c r="A133" s="2">
        <v>46119</v>
      </c>
      <c r="B133">
        <f t="shared" si="8"/>
        <v>15</v>
      </c>
      <c r="C133" t="s">
        <v>33</v>
      </c>
      <c r="E133" t="s">
        <v>10</v>
      </c>
      <c r="G133" t="str">
        <f>IFERROR(VLOOKUP(E133,Control_Actividades!A:C,2,FALSE),)</f>
        <v>Quintal</v>
      </c>
      <c r="H133">
        <v>0.15</v>
      </c>
      <c r="I133" s="3">
        <f>IFERROR(VLOOKUP(E133,Control_Actividades!A:C,3,FALSE),"")</f>
        <v>70</v>
      </c>
      <c r="J133" s="3">
        <f t="shared" si="7"/>
        <v>10.5</v>
      </c>
    </row>
    <row r="134" spans="1:10" x14ac:dyDescent="0.3">
      <c r="A134" s="2">
        <v>46119</v>
      </c>
      <c r="B134">
        <f t="shared" si="8"/>
        <v>15</v>
      </c>
      <c r="C134" t="s">
        <v>34</v>
      </c>
      <c r="E134" t="s">
        <v>10</v>
      </c>
      <c r="G134" t="str">
        <f>IFERROR(VLOOKUP(E134,Control_Actividades!A:C,2,FALSE),)</f>
        <v>Quintal</v>
      </c>
      <c r="H134">
        <v>0.3</v>
      </c>
      <c r="I134" s="3">
        <f>IFERROR(VLOOKUP(E134,Control_Actividades!A:C,3,FALSE),"")</f>
        <v>70</v>
      </c>
      <c r="J134" s="3">
        <f t="shared" si="7"/>
        <v>21</v>
      </c>
    </row>
    <row r="135" spans="1:10" x14ac:dyDescent="0.3">
      <c r="A135" s="2">
        <v>46119</v>
      </c>
      <c r="B135">
        <f t="shared" si="8"/>
        <v>15</v>
      </c>
      <c r="C135" t="s">
        <v>35</v>
      </c>
      <c r="E135" t="s">
        <v>17</v>
      </c>
      <c r="G135" t="str">
        <f>IFERROR(VLOOKUP(E135,Control_Actividades!A:C,2,FALSE),)</f>
        <v>Manzana</v>
      </c>
      <c r="H135">
        <v>0.5</v>
      </c>
      <c r="I135" s="3">
        <f>IFERROR(VLOOKUP(E135,Control_Actividades!A:C,3,FALSE),"")</f>
        <v>110</v>
      </c>
      <c r="J135" s="3">
        <f t="shared" si="7"/>
        <v>55</v>
      </c>
    </row>
    <row r="136" spans="1:10" x14ac:dyDescent="0.3">
      <c r="A136" s="2">
        <v>46119</v>
      </c>
      <c r="B136">
        <f t="shared" si="8"/>
        <v>15</v>
      </c>
      <c r="C136" t="s">
        <v>36</v>
      </c>
      <c r="E136" t="s">
        <v>59</v>
      </c>
      <c r="G136" t="str">
        <f>IFERROR(VLOOKUP(E136,Control_Actividades!A:C,2,FALSE),)</f>
        <v>Dia</v>
      </c>
      <c r="H136">
        <v>0.2</v>
      </c>
      <c r="I136" s="3">
        <f>IFERROR(VLOOKUP(E136,Control_Actividades!A:C,3,FALSE),"")</f>
        <v>75</v>
      </c>
      <c r="J136" s="3">
        <f t="shared" si="7"/>
        <v>15</v>
      </c>
    </row>
    <row r="137" spans="1:10" x14ac:dyDescent="0.3">
      <c r="A137" s="2">
        <v>46119</v>
      </c>
      <c r="B137">
        <f t="shared" si="8"/>
        <v>15</v>
      </c>
      <c r="C137" t="s">
        <v>37</v>
      </c>
      <c r="E137" t="s">
        <v>55</v>
      </c>
      <c r="G137" t="str">
        <f>IFERROR(VLOOKUP(E137,Control_Actividades!A:C,2,FALSE),)</f>
        <v>Dia</v>
      </c>
      <c r="H137">
        <v>1</v>
      </c>
      <c r="I137" s="3">
        <f>IFERROR(VLOOKUP(E137,Control_Actividades!A:C,3,FALSE),"")</f>
        <v>100</v>
      </c>
      <c r="J137" s="3">
        <f t="shared" si="7"/>
        <v>100</v>
      </c>
    </row>
    <row r="138" spans="1:10" x14ac:dyDescent="0.3">
      <c r="A138" s="2">
        <v>46119</v>
      </c>
      <c r="B138">
        <f t="shared" si="8"/>
        <v>15</v>
      </c>
      <c r="C138" t="s">
        <v>38</v>
      </c>
      <c r="E138" t="s">
        <v>10</v>
      </c>
      <c r="G138" t="str">
        <f>IFERROR(VLOOKUP(E138,Control_Actividades!A:C,2,FALSE),)</f>
        <v>Quintal</v>
      </c>
      <c r="H138">
        <v>0.25</v>
      </c>
      <c r="I138" s="3">
        <f>IFERROR(VLOOKUP(E138,Control_Actividades!A:C,3,FALSE),"")</f>
        <v>70</v>
      </c>
      <c r="J138" s="3">
        <f t="shared" si="7"/>
        <v>17.5</v>
      </c>
    </row>
    <row r="139" spans="1:10" x14ac:dyDescent="0.3">
      <c r="A139" s="2">
        <v>46119</v>
      </c>
      <c r="B139">
        <f t="shared" si="8"/>
        <v>15</v>
      </c>
      <c r="C139" t="s">
        <v>39</v>
      </c>
      <c r="E139" t="s">
        <v>17</v>
      </c>
      <c r="G139" t="str">
        <f>IFERROR(VLOOKUP(E139,Control_Actividades!A:C,2,FALSE),)</f>
        <v>Manzana</v>
      </c>
      <c r="H139">
        <v>0.5</v>
      </c>
      <c r="I139" s="3">
        <f>IFERROR(VLOOKUP(E139,Control_Actividades!A:C,3,FALSE),"")</f>
        <v>110</v>
      </c>
      <c r="J139" s="3">
        <f t="shared" si="7"/>
        <v>55</v>
      </c>
    </row>
    <row r="140" spans="1:10" x14ac:dyDescent="0.3">
      <c r="A140" s="2">
        <v>46119</v>
      </c>
      <c r="B140">
        <f t="shared" si="8"/>
        <v>15</v>
      </c>
      <c r="C140" t="s">
        <v>40</v>
      </c>
      <c r="E140" t="s">
        <v>10</v>
      </c>
      <c r="G140" t="str">
        <f>IFERROR(VLOOKUP(E140,Control_Actividades!A:C,2,FALSE),)</f>
        <v>Quintal</v>
      </c>
      <c r="H140">
        <v>0.1</v>
      </c>
      <c r="I140" s="3">
        <f>IFERROR(VLOOKUP(E140,Control_Actividades!A:C,3,FALSE),"")</f>
        <v>70</v>
      </c>
      <c r="J140" s="3">
        <f t="shared" si="7"/>
        <v>7</v>
      </c>
    </row>
    <row r="141" spans="1:10" x14ac:dyDescent="0.3">
      <c r="A141" s="2">
        <v>46119</v>
      </c>
      <c r="B141">
        <f t="shared" si="8"/>
        <v>15</v>
      </c>
      <c r="C141" t="s">
        <v>41</v>
      </c>
      <c r="E141" t="s">
        <v>10</v>
      </c>
      <c r="G141" t="str">
        <f>IFERROR(VLOOKUP(E141,Control_Actividades!A:C,2,FALSE),)</f>
        <v>Quintal</v>
      </c>
      <c r="H141">
        <v>0.3</v>
      </c>
      <c r="I141" s="3">
        <f>IFERROR(VLOOKUP(E141,Control_Actividades!A:C,3,FALSE),"")</f>
        <v>70</v>
      </c>
      <c r="J141" s="3">
        <f t="shared" si="7"/>
        <v>21</v>
      </c>
    </row>
    <row r="142" spans="1:10" x14ac:dyDescent="0.3">
      <c r="A142" s="2">
        <v>46119</v>
      </c>
      <c r="B142">
        <f t="shared" si="8"/>
        <v>15</v>
      </c>
      <c r="C142" t="s">
        <v>42</v>
      </c>
      <c r="E142" t="s">
        <v>10</v>
      </c>
      <c r="G142" t="str">
        <f>IFERROR(VLOOKUP(E142,Control_Actividades!A:C,2,FALSE),)</f>
        <v>Quintal</v>
      </c>
      <c r="H142">
        <v>0.25</v>
      </c>
      <c r="I142" s="3">
        <f>IFERROR(VLOOKUP(E142,Control_Actividades!A:C,3,FALSE),"")</f>
        <v>70</v>
      </c>
      <c r="J142" s="3">
        <f t="shared" si="7"/>
        <v>17.5</v>
      </c>
    </row>
    <row r="143" spans="1:10" x14ac:dyDescent="0.3">
      <c r="A143" s="2">
        <v>46119</v>
      </c>
      <c r="B143">
        <f t="shared" si="8"/>
        <v>15</v>
      </c>
      <c r="C143" t="s">
        <v>43</v>
      </c>
      <c r="E143" t="s">
        <v>10</v>
      </c>
      <c r="G143" t="str">
        <f>IFERROR(VLOOKUP(E143,Control_Actividades!A:C,2,FALSE),)</f>
        <v>Quintal</v>
      </c>
      <c r="H143">
        <v>0.3</v>
      </c>
      <c r="I143" s="3">
        <f>IFERROR(VLOOKUP(E143,Control_Actividades!A:C,3,FALSE),"")</f>
        <v>70</v>
      </c>
      <c r="J143" s="3">
        <f t="shared" si="7"/>
        <v>21</v>
      </c>
    </row>
    <row r="144" spans="1:10" x14ac:dyDescent="0.3">
      <c r="A144" s="2">
        <v>46119</v>
      </c>
      <c r="B144">
        <f t="shared" si="8"/>
        <v>15</v>
      </c>
      <c r="C144" t="s">
        <v>44</v>
      </c>
      <c r="E144" t="s">
        <v>61</v>
      </c>
      <c r="G144" t="str">
        <f>IFERROR(VLOOKUP(E144,Control_Actividades!A:C,2,FALSE),)</f>
        <v>Dia</v>
      </c>
      <c r="H144">
        <v>0.15</v>
      </c>
      <c r="I144" s="3">
        <f>IFERROR(VLOOKUP(E144,Control_Actividades!A:C,3,FALSE),"")</f>
        <v>75</v>
      </c>
      <c r="J144" s="3">
        <f t="shared" si="7"/>
        <v>11.25</v>
      </c>
    </row>
    <row r="145" spans="1:10" x14ac:dyDescent="0.3">
      <c r="A145" s="2">
        <v>46119</v>
      </c>
      <c r="B145">
        <f t="shared" si="8"/>
        <v>15</v>
      </c>
      <c r="C145" t="s">
        <v>45</v>
      </c>
      <c r="E145" t="s">
        <v>10</v>
      </c>
      <c r="G145" t="str">
        <f>IFERROR(VLOOKUP(E145,Control_Actividades!A:C,2,FALSE),)</f>
        <v>Quintal</v>
      </c>
      <c r="H145">
        <v>0</v>
      </c>
      <c r="I145" s="3">
        <f>IFERROR(VLOOKUP(E145,Control_Actividades!A:C,3,FALSE),"")</f>
        <v>70</v>
      </c>
      <c r="J145" s="3">
        <f t="shared" si="7"/>
        <v>0</v>
      </c>
    </row>
    <row r="146" spans="1:10" x14ac:dyDescent="0.3">
      <c r="A146" s="2">
        <v>46119</v>
      </c>
      <c r="B146">
        <f t="shared" si="8"/>
        <v>15</v>
      </c>
      <c r="C146" t="s">
        <v>46</v>
      </c>
      <c r="E146" t="s">
        <v>10</v>
      </c>
      <c r="G146" t="str">
        <f>IFERROR(VLOOKUP(E146,Control_Actividades!A:C,2,FALSE),)</f>
        <v>Quintal</v>
      </c>
      <c r="H146">
        <v>0.5</v>
      </c>
      <c r="I146" s="3">
        <f>IFERROR(VLOOKUP(E146,Control_Actividades!A:C,3,FALSE),"")</f>
        <v>70</v>
      </c>
      <c r="J146" s="3">
        <f t="shared" si="7"/>
        <v>35</v>
      </c>
    </row>
    <row r="147" spans="1:10" x14ac:dyDescent="0.3">
      <c r="A147" s="2">
        <v>46119</v>
      </c>
      <c r="B147">
        <f t="shared" si="8"/>
        <v>15</v>
      </c>
      <c r="C147" t="s">
        <v>47</v>
      </c>
      <c r="E147" t="s">
        <v>10</v>
      </c>
      <c r="G147" t="str">
        <f>IFERROR(VLOOKUP(E147,Control_Actividades!A:C,2,FALSE),)</f>
        <v>Quintal</v>
      </c>
      <c r="H147">
        <v>0.45</v>
      </c>
      <c r="I147" s="3">
        <f>IFERROR(VLOOKUP(E147,Control_Actividades!A:C,3,FALSE),"")</f>
        <v>70</v>
      </c>
      <c r="J147" s="3">
        <f t="shared" si="7"/>
        <v>31.5</v>
      </c>
    </row>
    <row r="148" spans="1:10" x14ac:dyDescent="0.3">
      <c r="A148" s="2">
        <v>46119</v>
      </c>
      <c r="B148">
        <f t="shared" si="8"/>
        <v>15</v>
      </c>
      <c r="C148" t="s">
        <v>48</v>
      </c>
      <c r="E148" t="s">
        <v>10</v>
      </c>
      <c r="G148" t="str">
        <f>IFERROR(VLOOKUP(E148,Control_Actividades!A:C,2,FALSE),)</f>
        <v>Quintal</v>
      </c>
      <c r="H148">
        <v>0.35</v>
      </c>
      <c r="I148" s="3">
        <f>IFERROR(VLOOKUP(E148,Control_Actividades!A:C,3,FALSE),"")</f>
        <v>70</v>
      </c>
      <c r="J148" s="3">
        <f t="shared" si="7"/>
        <v>24.5</v>
      </c>
    </row>
    <row r="149" spans="1:10" x14ac:dyDescent="0.3">
      <c r="A149" s="2">
        <v>46119</v>
      </c>
      <c r="B149">
        <f t="shared" si="8"/>
        <v>15</v>
      </c>
      <c r="C149" t="s">
        <v>49</v>
      </c>
      <c r="E149" t="s">
        <v>10</v>
      </c>
      <c r="G149" t="str">
        <f>IFERROR(VLOOKUP(E149,Control_Actividades!A:C,2,FALSE),)</f>
        <v>Quintal</v>
      </c>
      <c r="H149">
        <v>0</v>
      </c>
      <c r="I149" s="3">
        <f>IFERROR(VLOOKUP(E149,Control_Actividades!A:C,3,FALSE),"")</f>
        <v>70</v>
      </c>
      <c r="J149" s="3">
        <f t="shared" si="7"/>
        <v>0</v>
      </c>
    </row>
    <row r="150" spans="1:10" x14ac:dyDescent="0.3">
      <c r="A150" s="2">
        <v>46119</v>
      </c>
      <c r="B150">
        <f t="shared" si="8"/>
        <v>15</v>
      </c>
      <c r="C150" t="s">
        <v>50</v>
      </c>
      <c r="E150" t="s">
        <v>61</v>
      </c>
      <c r="G150" t="str">
        <f>IFERROR(VLOOKUP(E150,Control_Actividades!A:C,2,FALSE),)</f>
        <v>Dia</v>
      </c>
      <c r="H150">
        <v>1</v>
      </c>
      <c r="I150" s="3">
        <f>IFERROR(VLOOKUP(E150,Control_Actividades!A:C,3,FALSE),"")</f>
        <v>75</v>
      </c>
      <c r="J150" s="3">
        <f t="shared" si="7"/>
        <v>75</v>
      </c>
    </row>
    <row r="151" spans="1:10" x14ac:dyDescent="0.3">
      <c r="A151" s="4">
        <v>46119</v>
      </c>
      <c r="B151" s="5">
        <f t="shared" si="8"/>
        <v>15</v>
      </c>
      <c r="C151" s="5" t="s">
        <v>51</v>
      </c>
      <c r="D151" s="5"/>
      <c r="E151" s="5" t="s">
        <v>10</v>
      </c>
      <c r="F151" s="5"/>
      <c r="G151" s="5" t="str">
        <f>IFERROR(VLOOKUP(E151,Control_Actividades!A:C,2,FALSE),)</f>
        <v>Quintal</v>
      </c>
      <c r="H151" s="5">
        <v>0.65</v>
      </c>
      <c r="I151" s="6">
        <f>IFERROR(VLOOKUP(E151,Control_Actividades!A:C,3,FALSE),"")</f>
        <v>70</v>
      </c>
      <c r="J151" s="6">
        <f t="shared" si="7"/>
        <v>45.5</v>
      </c>
    </row>
    <row r="152" spans="1:10" x14ac:dyDescent="0.3">
      <c r="A152" s="2">
        <v>46120</v>
      </c>
      <c r="B152">
        <f t="shared" si="8"/>
        <v>15</v>
      </c>
      <c r="C152" t="s">
        <v>22</v>
      </c>
      <c r="E152" t="s">
        <v>54</v>
      </c>
      <c r="G152" t="str">
        <f>IFERROR(VLOOKUP(E152,Control_Actividades!A:C,2,FALSE),)</f>
        <v>Dia</v>
      </c>
      <c r="H152">
        <v>1</v>
      </c>
      <c r="I152" s="3">
        <f>IFERROR(VLOOKUP(E152,Control_Actividades!A:C,3,FALSE),"")</f>
        <v>130</v>
      </c>
      <c r="J152" s="3">
        <f t="shared" si="7"/>
        <v>130</v>
      </c>
    </row>
    <row r="153" spans="1:10" x14ac:dyDescent="0.3">
      <c r="A153" s="2">
        <v>46120</v>
      </c>
      <c r="B153">
        <f t="shared" si="8"/>
        <v>15</v>
      </c>
      <c r="C153" t="s">
        <v>23</v>
      </c>
      <c r="E153" t="s">
        <v>61</v>
      </c>
      <c r="G153" t="str">
        <f>IFERROR(VLOOKUP(E153,Control_Actividades!A:C,2,FALSE),)</f>
        <v>Dia</v>
      </c>
      <c r="H153">
        <v>1</v>
      </c>
      <c r="I153" s="3">
        <f>IFERROR(VLOOKUP(E153,Control_Actividades!A:C,3,FALSE),"")</f>
        <v>75</v>
      </c>
      <c r="J153" s="3">
        <f t="shared" si="7"/>
        <v>75</v>
      </c>
    </row>
    <row r="154" spans="1:10" x14ac:dyDescent="0.3">
      <c r="A154" s="2">
        <v>46120</v>
      </c>
      <c r="B154">
        <f t="shared" si="8"/>
        <v>15</v>
      </c>
      <c r="C154" t="s">
        <v>24</v>
      </c>
      <c r="E154" t="s">
        <v>10</v>
      </c>
      <c r="G154" t="str">
        <f>IFERROR(VLOOKUP(E154,Control_Actividades!A:C,2,FALSE),)</f>
        <v>Quintal</v>
      </c>
      <c r="H154">
        <v>0.95</v>
      </c>
      <c r="I154" s="3">
        <f>IFERROR(VLOOKUP(E154,Control_Actividades!A:C,3,FALSE),"")</f>
        <v>70</v>
      </c>
      <c r="J154" s="3">
        <f t="shared" si="7"/>
        <v>66.5</v>
      </c>
    </row>
    <row r="155" spans="1:10" x14ac:dyDescent="0.3">
      <c r="A155" s="2">
        <v>46120</v>
      </c>
      <c r="B155">
        <f t="shared" si="8"/>
        <v>15</v>
      </c>
      <c r="C155" t="s">
        <v>25</v>
      </c>
      <c r="E155" t="s">
        <v>61</v>
      </c>
      <c r="G155" t="str">
        <f>IFERROR(VLOOKUP(E155,Control_Actividades!A:C,2,FALSE),)</f>
        <v>Dia</v>
      </c>
      <c r="H155">
        <v>1</v>
      </c>
      <c r="I155" s="3">
        <f>IFERROR(VLOOKUP(E155,Control_Actividades!A:C,3,FALSE),"")</f>
        <v>75</v>
      </c>
      <c r="J155" s="3">
        <f t="shared" si="7"/>
        <v>75</v>
      </c>
    </row>
    <row r="156" spans="1:10" x14ac:dyDescent="0.3">
      <c r="A156" s="2">
        <v>46120</v>
      </c>
      <c r="B156">
        <f t="shared" si="8"/>
        <v>15</v>
      </c>
      <c r="C156" t="s">
        <v>26</v>
      </c>
      <c r="E156" t="s">
        <v>10</v>
      </c>
      <c r="G156" t="str">
        <f>IFERROR(VLOOKUP(E156,Control_Actividades!A:C,2,FALSE),)</f>
        <v>Quintal</v>
      </c>
      <c r="H156">
        <v>1</v>
      </c>
      <c r="I156" s="3">
        <f>IFERROR(VLOOKUP(E156,Control_Actividades!A:C,3,FALSE),"")</f>
        <v>70</v>
      </c>
      <c r="J156" s="3">
        <f t="shared" si="7"/>
        <v>70</v>
      </c>
    </row>
    <row r="157" spans="1:10" x14ac:dyDescent="0.3">
      <c r="A157" s="2">
        <v>46120</v>
      </c>
      <c r="B157">
        <f t="shared" si="8"/>
        <v>15</v>
      </c>
      <c r="C157" t="s">
        <v>27</v>
      </c>
      <c r="E157" t="s">
        <v>10</v>
      </c>
      <c r="G157" t="str">
        <f>IFERROR(VLOOKUP(E157,Control_Actividades!A:C,2,FALSE),)</f>
        <v>Quintal</v>
      </c>
      <c r="H157">
        <v>1.4</v>
      </c>
      <c r="I157" s="3">
        <f>IFERROR(VLOOKUP(E157,Control_Actividades!A:C,3,FALSE),"")</f>
        <v>70</v>
      </c>
      <c r="J157" s="3">
        <f t="shared" si="7"/>
        <v>98</v>
      </c>
    </row>
    <row r="158" spans="1:10" x14ac:dyDescent="0.3">
      <c r="A158" s="2">
        <v>46120</v>
      </c>
      <c r="B158">
        <f t="shared" si="8"/>
        <v>15</v>
      </c>
      <c r="C158" t="s">
        <v>28</v>
      </c>
      <c r="E158" t="s">
        <v>61</v>
      </c>
      <c r="G158" t="str">
        <f>IFERROR(VLOOKUP(E158,Control_Actividades!A:C,2,FALSE),)</f>
        <v>Dia</v>
      </c>
      <c r="H158">
        <v>1</v>
      </c>
      <c r="I158" s="3">
        <f>IFERROR(VLOOKUP(E158,Control_Actividades!A:C,3,FALSE),"")</f>
        <v>75</v>
      </c>
      <c r="J158" s="3">
        <f t="shared" si="7"/>
        <v>75</v>
      </c>
    </row>
    <row r="159" spans="1:10" x14ac:dyDescent="0.3">
      <c r="A159" s="2">
        <v>46120</v>
      </c>
      <c r="B159">
        <f t="shared" si="8"/>
        <v>15</v>
      </c>
      <c r="C159" t="s">
        <v>29</v>
      </c>
      <c r="E159" t="s">
        <v>10</v>
      </c>
      <c r="G159" t="str">
        <f>IFERROR(VLOOKUP(E159,Control_Actividades!A:C,2,FALSE),)</f>
        <v>Quintal</v>
      </c>
      <c r="H159">
        <v>0.9</v>
      </c>
      <c r="I159" s="3">
        <f>IFERROR(VLOOKUP(E159,Control_Actividades!A:C,3,FALSE),"")</f>
        <v>70</v>
      </c>
      <c r="J159" s="3">
        <f t="shared" si="7"/>
        <v>63</v>
      </c>
    </row>
    <row r="160" spans="1:10" x14ac:dyDescent="0.3">
      <c r="A160" s="2">
        <v>46120</v>
      </c>
      <c r="B160">
        <f t="shared" si="8"/>
        <v>15</v>
      </c>
      <c r="C160" t="s">
        <v>30</v>
      </c>
      <c r="E160" t="s">
        <v>61</v>
      </c>
      <c r="G160" t="str">
        <f>IFERROR(VLOOKUP(E160,Control_Actividades!A:C,2,FALSE),)</f>
        <v>Dia</v>
      </c>
      <c r="H160">
        <v>1</v>
      </c>
      <c r="I160" s="3">
        <f>IFERROR(VLOOKUP(E160,Control_Actividades!A:C,3,FALSE),"")</f>
        <v>75</v>
      </c>
      <c r="J160" s="3">
        <f t="shared" si="7"/>
        <v>75</v>
      </c>
    </row>
    <row r="161" spans="1:10" x14ac:dyDescent="0.3">
      <c r="A161" s="2">
        <v>46120</v>
      </c>
      <c r="B161">
        <f t="shared" si="8"/>
        <v>15</v>
      </c>
      <c r="C161" t="s">
        <v>31</v>
      </c>
      <c r="E161" t="s">
        <v>61</v>
      </c>
      <c r="G161" t="str">
        <f>IFERROR(VLOOKUP(E161,Control_Actividades!A:C,2,FALSE),)</f>
        <v>Dia</v>
      </c>
      <c r="H161">
        <v>1</v>
      </c>
      <c r="I161" s="3">
        <f>IFERROR(VLOOKUP(E161,Control_Actividades!A:C,3,FALSE),"")</f>
        <v>75</v>
      </c>
      <c r="J161" s="3">
        <f t="shared" si="7"/>
        <v>75</v>
      </c>
    </row>
    <row r="162" spans="1:10" x14ac:dyDescent="0.3">
      <c r="A162" s="2">
        <v>46120</v>
      </c>
      <c r="B162">
        <f t="shared" si="8"/>
        <v>15</v>
      </c>
      <c r="C162" t="s">
        <v>32</v>
      </c>
      <c r="E162" t="s">
        <v>61</v>
      </c>
      <c r="G162" t="str">
        <f>IFERROR(VLOOKUP(E162,Control_Actividades!A:C,2,FALSE),)</f>
        <v>Dia</v>
      </c>
      <c r="H162">
        <v>1</v>
      </c>
      <c r="I162" s="3">
        <f>IFERROR(VLOOKUP(E162,Control_Actividades!A:C,3,FALSE),"")</f>
        <v>75</v>
      </c>
      <c r="J162" s="3">
        <f t="shared" si="7"/>
        <v>75</v>
      </c>
    </row>
    <row r="163" spans="1:10" x14ac:dyDescent="0.3">
      <c r="A163" s="2">
        <v>46120</v>
      </c>
      <c r="B163">
        <f t="shared" si="8"/>
        <v>15</v>
      </c>
      <c r="C163" t="s">
        <v>33</v>
      </c>
      <c r="E163" t="s">
        <v>10</v>
      </c>
      <c r="G163" t="str">
        <f>IFERROR(VLOOKUP(E163,Control_Actividades!A:C,2,FALSE),)</f>
        <v>Quintal</v>
      </c>
      <c r="H163">
        <v>0.85</v>
      </c>
      <c r="I163" s="3">
        <f>IFERROR(VLOOKUP(E163,Control_Actividades!A:C,3,FALSE),"")</f>
        <v>70</v>
      </c>
      <c r="J163" s="3">
        <f t="shared" si="7"/>
        <v>59.5</v>
      </c>
    </row>
    <row r="164" spans="1:10" x14ac:dyDescent="0.3">
      <c r="A164" s="2">
        <v>46120</v>
      </c>
      <c r="B164">
        <f t="shared" si="8"/>
        <v>15</v>
      </c>
      <c r="C164" t="s">
        <v>34</v>
      </c>
      <c r="E164" t="s">
        <v>61</v>
      </c>
      <c r="G164" t="str">
        <f>IFERROR(VLOOKUP(E164,Control_Actividades!A:C,2,FALSE),)</f>
        <v>Dia</v>
      </c>
      <c r="H164">
        <v>1</v>
      </c>
      <c r="I164" s="3">
        <f>IFERROR(VLOOKUP(E164,Control_Actividades!A:C,3,FALSE),"")</f>
        <v>75</v>
      </c>
      <c r="J164" s="3">
        <f t="shared" si="7"/>
        <v>75</v>
      </c>
    </row>
    <row r="165" spans="1:10" x14ac:dyDescent="0.3">
      <c r="A165" s="2">
        <v>46120</v>
      </c>
      <c r="B165">
        <f t="shared" si="8"/>
        <v>15</v>
      </c>
      <c r="C165" t="s">
        <v>35</v>
      </c>
      <c r="E165" t="s">
        <v>17</v>
      </c>
      <c r="G165" t="str">
        <f>IFERROR(VLOOKUP(E165,Control_Actividades!A:C,2,FALSE),)</f>
        <v>Manzana</v>
      </c>
      <c r="H165">
        <v>0.5</v>
      </c>
      <c r="I165" s="3">
        <f>IFERROR(VLOOKUP(E165,Control_Actividades!A:C,3,FALSE),"")</f>
        <v>110</v>
      </c>
      <c r="J165" s="3">
        <f t="shared" si="7"/>
        <v>55</v>
      </c>
    </row>
    <row r="166" spans="1:10" x14ac:dyDescent="0.3">
      <c r="A166" s="2">
        <v>46120</v>
      </c>
      <c r="B166">
        <f t="shared" si="8"/>
        <v>15</v>
      </c>
      <c r="C166" t="s">
        <v>36</v>
      </c>
      <c r="E166" t="s">
        <v>59</v>
      </c>
      <c r="G166" t="str">
        <f>IFERROR(VLOOKUP(E166,Control_Actividades!A:C,2,FALSE),)</f>
        <v>Dia</v>
      </c>
      <c r="H166">
        <v>1</v>
      </c>
      <c r="I166" s="3">
        <f>IFERROR(VLOOKUP(E166,Control_Actividades!A:C,3,FALSE),"")</f>
        <v>75</v>
      </c>
      <c r="J166" s="3">
        <f t="shared" si="7"/>
        <v>75</v>
      </c>
    </row>
    <row r="167" spans="1:10" x14ac:dyDescent="0.3">
      <c r="A167" s="2">
        <v>46120</v>
      </c>
      <c r="B167">
        <f t="shared" si="8"/>
        <v>15</v>
      </c>
      <c r="C167" t="s">
        <v>37</v>
      </c>
      <c r="E167" t="s">
        <v>55</v>
      </c>
      <c r="G167" t="str">
        <f>IFERROR(VLOOKUP(E167,Control_Actividades!A:C,2,FALSE),)</f>
        <v>Dia</v>
      </c>
      <c r="H167">
        <v>1</v>
      </c>
      <c r="I167" s="3">
        <f>IFERROR(VLOOKUP(E167,Control_Actividades!A:C,3,FALSE),"")</f>
        <v>100</v>
      </c>
      <c r="J167" s="3">
        <f t="shared" si="7"/>
        <v>100</v>
      </c>
    </row>
    <row r="168" spans="1:10" x14ac:dyDescent="0.3">
      <c r="A168" s="2">
        <v>46120</v>
      </c>
      <c r="B168">
        <f t="shared" si="8"/>
        <v>15</v>
      </c>
      <c r="C168" t="s">
        <v>38</v>
      </c>
      <c r="E168" t="s">
        <v>61</v>
      </c>
      <c r="G168" t="str">
        <f>IFERROR(VLOOKUP(E168,Control_Actividades!A:C,2,FALSE),)</f>
        <v>Dia</v>
      </c>
      <c r="H168">
        <v>1</v>
      </c>
      <c r="I168" s="3">
        <f>IFERROR(VLOOKUP(E168,Control_Actividades!A:C,3,FALSE),"")</f>
        <v>75</v>
      </c>
      <c r="J168" s="3">
        <f t="shared" si="7"/>
        <v>75</v>
      </c>
    </row>
    <row r="169" spans="1:10" x14ac:dyDescent="0.3">
      <c r="A169" s="2">
        <v>46120</v>
      </c>
      <c r="B169">
        <f t="shared" si="8"/>
        <v>15</v>
      </c>
      <c r="C169" t="s">
        <v>39</v>
      </c>
      <c r="E169" t="s">
        <v>17</v>
      </c>
      <c r="G169" t="str">
        <f>IFERROR(VLOOKUP(E169,Control_Actividades!A:C,2,FALSE),)</f>
        <v>Manzana</v>
      </c>
      <c r="H169">
        <v>0.5</v>
      </c>
      <c r="I169" s="3">
        <f>IFERROR(VLOOKUP(E169,Control_Actividades!A:C,3,FALSE),"")</f>
        <v>110</v>
      </c>
      <c r="J169" s="3">
        <f t="shared" si="7"/>
        <v>55</v>
      </c>
    </row>
    <row r="170" spans="1:10" x14ac:dyDescent="0.3">
      <c r="A170" s="2">
        <v>46120</v>
      </c>
      <c r="B170">
        <f t="shared" si="8"/>
        <v>15</v>
      </c>
      <c r="C170" t="s">
        <v>40</v>
      </c>
      <c r="E170" t="s">
        <v>10</v>
      </c>
      <c r="G170" t="str">
        <f>IFERROR(VLOOKUP(E170,Control_Actividades!A:C,2,FALSE),)</f>
        <v>Quintal</v>
      </c>
      <c r="H170">
        <v>1.05</v>
      </c>
      <c r="I170" s="3">
        <f>IFERROR(VLOOKUP(E170,Control_Actividades!A:C,3,FALSE),"")</f>
        <v>70</v>
      </c>
      <c r="J170" s="3">
        <f t="shared" si="7"/>
        <v>73.5</v>
      </c>
    </row>
    <row r="171" spans="1:10" x14ac:dyDescent="0.3">
      <c r="A171" s="2">
        <v>46120</v>
      </c>
      <c r="B171">
        <f t="shared" si="8"/>
        <v>15</v>
      </c>
      <c r="C171" t="s">
        <v>41</v>
      </c>
      <c r="E171" t="s">
        <v>61</v>
      </c>
      <c r="G171" t="str">
        <f>IFERROR(VLOOKUP(E171,Control_Actividades!A:C,2,FALSE),)</f>
        <v>Dia</v>
      </c>
      <c r="H171">
        <v>1</v>
      </c>
      <c r="I171" s="3">
        <f>IFERROR(VLOOKUP(E171,Control_Actividades!A:C,3,FALSE),"")</f>
        <v>75</v>
      </c>
      <c r="J171" s="3">
        <f t="shared" si="7"/>
        <v>75</v>
      </c>
    </row>
    <row r="172" spans="1:10" x14ac:dyDescent="0.3">
      <c r="A172" s="2">
        <v>46120</v>
      </c>
      <c r="B172">
        <f t="shared" si="8"/>
        <v>15</v>
      </c>
      <c r="C172" t="s">
        <v>42</v>
      </c>
      <c r="E172" t="s">
        <v>61</v>
      </c>
      <c r="G172" t="str">
        <f>IFERROR(VLOOKUP(E172,Control_Actividades!A:C,2,FALSE),)</f>
        <v>Dia</v>
      </c>
      <c r="H172">
        <v>1</v>
      </c>
      <c r="I172" s="3">
        <f>IFERROR(VLOOKUP(E172,Control_Actividades!A:C,3,FALSE),"")</f>
        <v>75</v>
      </c>
      <c r="J172" s="3">
        <f t="shared" si="7"/>
        <v>75</v>
      </c>
    </row>
    <row r="173" spans="1:10" x14ac:dyDescent="0.3">
      <c r="A173" s="2">
        <v>46120</v>
      </c>
      <c r="B173">
        <f t="shared" si="8"/>
        <v>15</v>
      </c>
      <c r="C173" t="s">
        <v>43</v>
      </c>
      <c r="E173" t="s">
        <v>61</v>
      </c>
      <c r="G173" t="str">
        <f>IFERROR(VLOOKUP(E173,Control_Actividades!A:C,2,FALSE),)</f>
        <v>Dia</v>
      </c>
      <c r="H173">
        <v>1</v>
      </c>
      <c r="I173" s="3">
        <f>IFERROR(VLOOKUP(E173,Control_Actividades!A:C,3,FALSE),"")</f>
        <v>75</v>
      </c>
      <c r="J173" s="3">
        <f t="shared" si="7"/>
        <v>75</v>
      </c>
    </row>
    <row r="174" spans="1:10" x14ac:dyDescent="0.3">
      <c r="A174" s="2">
        <v>46120</v>
      </c>
      <c r="B174">
        <f t="shared" si="8"/>
        <v>15</v>
      </c>
      <c r="C174" t="s">
        <v>44</v>
      </c>
      <c r="E174" t="s">
        <v>61</v>
      </c>
      <c r="G174" t="str">
        <f>IFERROR(VLOOKUP(E174,Control_Actividades!A:C,2,FALSE),)</f>
        <v>Dia</v>
      </c>
      <c r="H174">
        <v>1</v>
      </c>
      <c r="I174" s="3">
        <f>IFERROR(VLOOKUP(E174,Control_Actividades!A:C,3,FALSE),"")</f>
        <v>75</v>
      </c>
      <c r="J174" s="3">
        <f t="shared" si="7"/>
        <v>75</v>
      </c>
    </row>
    <row r="175" spans="1:10" x14ac:dyDescent="0.3">
      <c r="A175" s="2">
        <v>46120</v>
      </c>
      <c r="B175">
        <f t="shared" si="8"/>
        <v>15</v>
      </c>
      <c r="C175" t="s">
        <v>45</v>
      </c>
      <c r="E175" t="s">
        <v>61</v>
      </c>
      <c r="G175" t="str">
        <f>IFERROR(VLOOKUP(E175,Control_Actividades!A:C,2,FALSE),)</f>
        <v>Dia</v>
      </c>
      <c r="H175">
        <v>1</v>
      </c>
      <c r="I175" s="3">
        <f>IFERROR(VLOOKUP(E175,Control_Actividades!A:C,3,FALSE),"")</f>
        <v>75</v>
      </c>
      <c r="J175" s="3">
        <f t="shared" si="7"/>
        <v>75</v>
      </c>
    </row>
    <row r="176" spans="1:10" x14ac:dyDescent="0.3">
      <c r="A176" s="2">
        <v>46120</v>
      </c>
      <c r="B176">
        <f t="shared" si="8"/>
        <v>15</v>
      </c>
      <c r="C176" t="s">
        <v>46</v>
      </c>
      <c r="E176" t="s">
        <v>61</v>
      </c>
      <c r="G176" t="str">
        <f>IFERROR(VLOOKUP(E176,Control_Actividades!A:C,2,FALSE),)</f>
        <v>Dia</v>
      </c>
      <c r="H176">
        <v>1</v>
      </c>
      <c r="I176" s="3">
        <f>IFERROR(VLOOKUP(E176,Control_Actividades!A:C,3,FALSE),"")</f>
        <v>75</v>
      </c>
      <c r="J176" s="3">
        <f t="shared" si="7"/>
        <v>75</v>
      </c>
    </row>
    <row r="177" spans="1:10" x14ac:dyDescent="0.3">
      <c r="A177" s="2">
        <v>46120</v>
      </c>
      <c r="B177">
        <f t="shared" si="8"/>
        <v>15</v>
      </c>
      <c r="C177" t="s">
        <v>47</v>
      </c>
      <c r="E177" t="s">
        <v>10</v>
      </c>
      <c r="G177" t="str">
        <f>IFERROR(VLOOKUP(E177,Control_Actividades!A:C,2,FALSE),)</f>
        <v>Quintal</v>
      </c>
      <c r="H177">
        <v>1.35</v>
      </c>
      <c r="I177" s="3">
        <f>IFERROR(VLOOKUP(E177,Control_Actividades!A:C,3,FALSE),"")</f>
        <v>70</v>
      </c>
      <c r="J177" s="3">
        <f t="shared" si="7"/>
        <v>94.5</v>
      </c>
    </row>
    <row r="178" spans="1:10" x14ac:dyDescent="0.3">
      <c r="A178" s="2">
        <v>46120</v>
      </c>
      <c r="B178">
        <f t="shared" si="8"/>
        <v>15</v>
      </c>
      <c r="C178" t="s">
        <v>48</v>
      </c>
      <c r="E178" t="s">
        <v>61</v>
      </c>
      <c r="G178" t="str">
        <f>IFERROR(VLOOKUP(E178,Control_Actividades!A:C,2,FALSE),)</f>
        <v>Dia</v>
      </c>
      <c r="H178">
        <v>1</v>
      </c>
      <c r="I178" s="3">
        <f>IFERROR(VLOOKUP(E178,Control_Actividades!A:C,3,FALSE),"")</f>
        <v>75</v>
      </c>
      <c r="J178" s="3">
        <f t="shared" si="7"/>
        <v>75</v>
      </c>
    </row>
    <row r="179" spans="1:10" x14ac:dyDescent="0.3">
      <c r="A179" s="2">
        <v>46120</v>
      </c>
      <c r="B179">
        <f t="shared" si="8"/>
        <v>15</v>
      </c>
      <c r="C179" t="s">
        <v>49</v>
      </c>
      <c r="E179" t="s">
        <v>10</v>
      </c>
      <c r="G179" t="str">
        <f>IFERROR(VLOOKUP(E179,Control_Actividades!A:C,2,FALSE),)</f>
        <v>Quintal</v>
      </c>
      <c r="H179">
        <v>1.85</v>
      </c>
      <c r="I179" s="3">
        <f>IFERROR(VLOOKUP(E179,Control_Actividades!A:C,3,FALSE),"")</f>
        <v>70</v>
      </c>
      <c r="J179" s="3">
        <f t="shared" si="7"/>
        <v>129.5</v>
      </c>
    </row>
    <row r="180" spans="1:10" x14ac:dyDescent="0.3">
      <c r="A180" s="2">
        <v>46120</v>
      </c>
      <c r="B180">
        <f t="shared" si="8"/>
        <v>15</v>
      </c>
      <c r="C180" t="s">
        <v>50</v>
      </c>
      <c r="E180" t="s">
        <v>61</v>
      </c>
      <c r="G180" t="str">
        <f>IFERROR(VLOOKUP(E180,Control_Actividades!A:C,2,FALSE),)</f>
        <v>Dia</v>
      </c>
      <c r="H180">
        <v>1</v>
      </c>
      <c r="I180" s="3">
        <f>IFERROR(VLOOKUP(E180,Control_Actividades!A:C,3,FALSE),"")</f>
        <v>75</v>
      </c>
      <c r="J180" s="3">
        <f t="shared" si="7"/>
        <v>75</v>
      </c>
    </row>
    <row r="181" spans="1:10" x14ac:dyDescent="0.3">
      <c r="A181" s="2">
        <v>46120</v>
      </c>
      <c r="B181" s="5">
        <f t="shared" si="8"/>
        <v>15</v>
      </c>
      <c r="C181" s="5" t="s">
        <v>51</v>
      </c>
      <c r="D181" s="5"/>
      <c r="E181" s="5" t="s">
        <v>10</v>
      </c>
      <c r="G181" t="str">
        <f>IFERROR(VLOOKUP(E181,Control_Actividades!A:C,2,FALSE),)</f>
        <v>Quintal</v>
      </c>
      <c r="H181">
        <v>1</v>
      </c>
      <c r="I181" s="3">
        <f>IFERROR(VLOOKUP(E181,Control_Actividades!A:C,3,FALSE),"")</f>
        <v>70</v>
      </c>
      <c r="J181" s="3">
        <f t="shared" si="7"/>
        <v>70</v>
      </c>
    </row>
    <row r="182" spans="1:10" x14ac:dyDescent="0.3">
      <c r="A182" s="2">
        <v>46121</v>
      </c>
      <c r="B182">
        <f t="shared" si="8"/>
        <v>15</v>
      </c>
      <c r="C182" t="s">
        <v>22</v>
      </c>
      <c r="E182" t="s">
        <v>54</v>
      </c>
      <c r="G182" t="str">
        <f>IFERROR(VLOOKUP(E182,Control_Actividades!A:C,2,FALSE),)</f>
        <v>Dia</v>
      </c>
      <c r="H182">
        <v>1</v>
      </c>
      <c r="I182" s="3">
        <f>IFERROR(VLOOKUP(E182,Control_Actividades!A:C,3,FALSE),"")</f>
        <v>130</v>
      </c>
      <c r="J182" s="3">
        <f t="shared" si="7"/>
        <v>130</v>
      </c>
    </row>
    <row r="183" spans="1:10" x14ac:dyDescent="0.3">
      <c r="A183" s="2">
        <v>46121</v>
      </c>
      <c r="B183">
        <f t="shared" si="8"/>
        <v>15</v>
      </c>
      <c r="C183" t="s">
        <v>23</v>
      </c>
      <c r="E183" t="s">
        <v>61</v>
      </c>
      <c r="G183" t="str">
        <f>IFERROR(VLOOKUP(E183,Control_Actividades!A:C,2,FALSE),)</f>
        <v>Dia</v>
      </c>
      <c r="H183">
        <v>1</v>
      </c>
      <c r="I183" s="3">
        <f>IFERROR(VLOOKUP(E183,Control_Actividades!A:C,3,FALSE),"")</f>
        <v>75</v>
      </c>
      <c r="J183" s="3">
        <f t="shared" si="7"/>
        <v>75</v>
      </c>
    </row>
    <row r="184" spans="1:10" x14ac:dyDescent="0.3">
      <c r="A184" s="2">
        <v>46121</v>
      </c>
      <c r="B184">
        <f t="shared" si="8"/>
        <v>15</v>
      </c>
      <c r="C184" t="s">
        <v>24</v>
      </c>
      <c r="E184" t="s">
        <v>61</v>
      </c>
      <c r="G184" t="str">
        <f>IFERROR(VLOOKUP(E184,Control_Actividades!A:C,2,FALSE),)</f>
        <v>Dia</v>
      </c>
      <c r="H184">
        <v>1</v>
      </c>
      <c r="I184" s="3">
        <f>IFERROR(VLOOKUP(E184,Control_Actividades!A:C,3,FALSE),"")</f>
        <v>75</v>
      </c>
      <c r="J184" s="3">
        <f t="shared" si="7"/>
        <v>75</v>
      </c>
    </row>
    <row r="185" spans="1:10" x14ac:dyDescent="0.3">
      <c r="A185" s="2">
        <v>46121</v>
      </c>
      <c r="B185">
        <f t="shared" si="8"/>
        <v>15</v>
      </c>
      <c r="C185" t="s">
        <v>25</v>
      </c>
      <c r="E185" t="s">
        <v>61</v>
      </c>
      <c r="G185" t="str">
        <f>IFERROR(VLOOKUP(E185,Control_Actividades!A:C,2,FALSE),)</f>
        <v>Dia</v>
      </c>
      <c r="H185">
        <v>1</v>
      </c>
      <c r="I185" s="3">
        <f>IFERROR(VLOOKUP(E185,Control_Actividades!A:C,3,FALSE),"")</f>
        <v>75</v>
      </c>
      <c r="J185" s="3">
        <f t="shared" si="7"/>
        <v>75</v>
      </c>
    </row>
    <row r="186" spans="1:10" x14ac:dyDescent="0.3">
      <c r="A186" s="2">
        <v>46121</v>
      </c>
      <c r="B186">
        <f t="shared" si="8"/>
        <v>15</v>
      </c>
      <c r="C186" t="s">
        <v>26</v>
      </c>
      <c r="E186" t="s">
        <v>61</v>
      </c>
      <c r="G186" t="str">
        <f>IFERROR(VLOOKUP(E186,Control_Actividades!A:C,2,FALSE),)</f>
        <v>Dia</v>
      </c>
      <c r="H186">
        <v>1</v>
      </c>
      <c r="I186" s="3">
        <f>IFERROR(VLOOKUP(E186,Control_Actividades!A:C,3,FALSE),"")</f>
        <v>75</v>
      </c>
      <c r="J186" s="3">
        <f t="shared" ref="J186:J215" si="9">H186*I186</f>
        <v>75</v>
      </c>
    </row>
    <row r="187" spans="1:10" x14ac:dyDescent="0.3">
      <c r="A187" s="2">
        <v>46121</v>
      </c>
      <c r="B187">
        <f t="shared" si="8"/>
        <v>15</v>
      </c>
      <c r="C187" t="s">
        <v>27</v>
      </c>
      <c r="E187" t="s">
        <v>61</v>
      </c>
      <c r="G187" t="str">
        <f>IFERROR(VLOOKUP(E187,Control_Actividades!A:C,2,FALSE),)</f>
        <v>Dia</v>
      </c>
      <c r="H187">
        <v>1</v>
      </c>
      <c r="I187" s="3">
        <f>IFERROR(VLOOKUP(E187,Control_Actividades!A:C,3,FALSE),"")</f>
        <v>75</v>
      </c>
      <c r="J187" s="3">
        <f t="shared" si="9"/>
        <v>75</v>
      </c>
    </row>
    <row r="188" spans="1:10" x14ac:dyDescent="0.3">
      <c r="A188" s="2">
        <v>46121</v>
      </c>
      <c r="B188">
        <f t="shared" si="8"/>
        <v>15</v>
      </c>
      <c r="C188" t="s">
        <v>28</v>
      </c>
      <c r="E188" t="s">
        <v>61</v>
      </c>
      <c r="G188" t="str">
        <f>IFERROR(VLOOKUP(E188,Control_Actividades!A:C,2,FALSE),)</f>
        <v>Dia</v>
      </c>
      <c r="H188">
        <v>1</v>
      </c>
      <c r="I188" s="3">
        <f>IFERROR(VLOOKUP(E188,Control_Actividades!A:C,3,FALSE),"")</f>
        <v>75</v>
      </c>
      <c r="J188" s="3">
        <f t="shared" si="9"/>
        <v>75</v>
      </c>
    </row>
    <row r="189" spans="1:10" x14ac:dyDescent="0.3">
      <c r="A189" s="2">
        <v>46121</v>
      </c>
      <c r="B189">
        <f t="shared" si="8"/>
        <v>15</v>
      </c>
      <c r="C189" t="s">
        <v>29</v>
      </c>
      <c r="E189" t="s">
        <v>61</v>
      </c>
      <c r="G189" t="str">
        <f>IFERROR(VLOOKUP(E189,Control_Actividades!A:C,2,FALSE),)</f>
        <v>Dia</v>
      </c>
      <c r="H189">
        <v>1</v>
      </c>
      <c r="I189" s="3">
        <f>IFERROR(VLOOKUP(E189,Control_Actividades!A:C,3,FALSE),"")</f>
        <v>75</v>
      </c>
      <c r="J189" s="3">
        <f t="shared" si="9"/>
        <v>75</v>
      </c>
    </row>
    <row r="190" spans="1:10" x14ac:dyDescent="0.3">
      <c r="A190" s="2">
        <v>46121</v>
      </c>
      <c r="B190">
        <f t="shared" si="8"/>
        <v>15</v>
      </c>
      <c r="C190" t="s">
        <v>30</v>
      </c>
      <c r="E190" t="s">
        <v>61</v>
      </c>
      <c r="G190" t="str">
        <f>IFERROR(VLOOKUP(E190,Control_Actividades!A:C,2,FALSE),)</f>
        <v>Dia</v>
      </c>
      <c r="H190">
        <v>1</v>
      </c>
      <c r="I190" s="3">
        <f>IFERROR(VLOOKUP(E190,Control_Actividades!A:C,3,FALSE),"")</f>
        <v>75</v>
      </c>
      <c r="J190" s="3">
        <f t="shared" si="9"/>
        <v>75</v>
      </c>
    </row>
    <row r="191" spans="1:10" x14ac:dyDescent="0.3">
      <c r="A191" s="2">
        <v>46121</v>
      </c>
      <c r="B191">
        <f t="shared" si="8"/>
        <v>15</v>
      </c>
      <c r="C191" t="s">
        <v>31</v>
      </c>
      <c r="E191" t="s">
        <v>61</v>
      </c>
      <c r="G191" t="str">
        <f>IFERROR(VLOOKUP(E191,Control_Actividades!A:C,2,FALSE),)</f>
        <v>Dia</v>
      </c>
      <c r="H191">
        <v>1</v>
      </c>
      <c r="I191" s="3">
        <f>IFERROR(VLOOKUP(E191,Control_Actividades!A:C,3,FALSE),"")</f>
        <v>75</v>
      </c>
      <c r="J191" s="3">
        <f t="shared" si="9"/>
        <v>75</v>
      </c>
    </row>
    <row r="192" spans="1:10" x14ac:dyDescent="0.3">
      <c r="A192" s="2">
        <v>46121</v>
      </c>
      <c r="B192">
        <f t="shared" si="8"/>
        <v>15</v>
      </c>
      <c r="C192" t="s">
        <v>32</v>
      </c>
      <c r="E192" t="s">
        <v>61</v>
      </c>
      <c r="G192" t="str">
        <f>IFERROR(VLOOKUP(E192,Control_Actividades!A:C,2,FALSE),)</f>
        <v>Dia</v>
      </c>
      <c r="H192">
        <v>1</v>
      </c>
      <c r="I192" s="3">
        <f>IFERROR(VLOOKUP(E192,Control_Actividades!A:C,3,FALSE),"")</f>
        <v>75</v>
      </c>
      <c r="J192" s="3">
        <f t="shared" si="9"/>
        <v>75</v>
      </c>
    </row>
    <row r="193" spans="1:10" x14ac:dyDescent="0.3">
      <c r="A193" s="2">
        <v>46121</v>
      </c>
      <c r="B193">
        <f t="shared" si="8"/>
        <v>15</v>
      </c>
      <c r="C193" t="s">
        <v>33</v>
      </c>
      <c r="E193" t="s">
        <v>61</v>
      </c>
      <c r="G193" t="str">
        <f>IFERROR(VLOOKUP(E193,Control_Actividades!A:C,2,FALSE),)</f>
        <v>Dia</v>
      </c>
      <c r="H193">
        <v>1</v>
      </c>
      <c r="I193" s="3">
        <f>IFERROR(VLOOKUP(E193,Control_Actividades!A:C,3,FALSE),"")</f>
        <v>75</v>
      </c>
      <c r="J193" s="3">
        <f t="shared" si="9"/>
        <v>75</v>
      </c>
    </row>
    <row r="194" spans="1:10" x14ac:dyDescent="0.3">
      <c r="A194" s="2">
        <v>46121</v>
      </c>
      <c r="B194">
        <f t="shared" si="8"/>
        <v>15</v>
      </c>
      <c r="C194" t="s">
        <v>34</v>
      </c>
      <c r="E194" t="s">
        <v>61</v>
      </c>
      <c r="G194" t="str">
        <f>IFERROR(VLOOKUP(E194,Control_Actividades!A:C,2,FALSE),)</f>
        <v>Dia</v>
      </c>
      <c r="H194">
        <v>1</v>
      </c>
      <c r="I194" s="3">
        <f>IFERROR(VLOOKUP(E194,Control_Actividades!A:C,3,FALSE),"")</f>
        <v>75</v>
      </c>
      <c r="J194" s="3">
        <f t="shared" si="9"/>
        <v>75</v>
      </c>
    </row>
    <row r="195" spans="1:10" x14ac:dyDescent="0.3">
      <c r="A195" s="2">
        <v>46121</v>
      </c>
      <c r="B195">
        <f t="shared" ref="B195:B258" si="10">WEEKNUM(A195,2)</f>
        <v>15</v>
      </c>
      <c r="C195" t="s">
        <v>35</v>
      </c>
      <c r="E195" t="s">
        <v>17</v>
      </c>
      <c r="G195" t="str">
        <f>IFERROR(VLOOKUP(E195,Control_Actividades!A:C,2,FALSE),)</f>
        <v>Manzana</v>
      </c>
      <c r="H195">
        <v>0.5</v>
      </c>
      <c r="I195" s="3">
        <f>IFERROR(VLOOKUP(E195,Control_Actividades!A:C,3,FALSE),"")</f>
        <v>110</v>
      </c>
      <c r="J195" s="3">
        <f t="shared" si="9"/>
        <v>55</v>
      </c>
    </row>
    <row r="196" spans="1:10" x14ac:dyDescent="0.3">
      <c r="A196" s="2">
        <v>46121</v>
      </c>
      <c r="B196">
        <f t="shared" si="10"/>
        <v>15</v>
      </c>
      <c r="C196" t="s">
        <v>36</v>
      </c>
      <c r="E196" t="s">
        <v>61</v>
      </c>
      <c r="G196" t="str">
        <f>IFERROR(VLOOKUP(E196,Control_Actividades!A:C,2,FALSE),)</f>
        <v>Dia</v>
      </c>
      <c r="H196">
        <v>1</v>
      </c>
      <c r="I196" s="3">
        <f>IFERROR(VLOOKUP(E196,Control_Actividades!A:C,3,FALSE),"")</f>
        <v>75</v>
      </c>
      <c r="J196" s="3">
        <f t="shared" si="9"/>
        <v>75</v>
      </c>
    </row>
    <row r="197" spans="1:10" x14ac:dyDescent="0.3">
      <c r="A197" s="2">
        <v>46121</v>
      </c>
      <c r="B197">
        <f t="shared" si="10"/>
        <v>15</v>
      </c>
      <c r="C197" t="s">
        <v>37</v>
      </c>
      <c r="E197" t="s">
        <v>62</v>
      </c>
      <c r="G197" t="str">
        <f>IFERROR(VLOOKUP(E197,Control_Actividades!A:C,2,FALSE),)</f>
        <v>Dia</v>
      </c>
      <c r="H197">
        <v>1</v>
      </c>
      <c r="I197" s="3">
        <f>IFERROR(VLOOKUP(E197,Control_Actividades!A:C,3,FALSE),"")</f>
        <v>100</v>
      </c>
      <c r="J197" s="3">
        <f t="shared" si="9"/>
        <v>100</v>
      </c>
    </row>
    <row r="198" spans="1:10" x14ac:dyDescent="0.3">
      <c r="A198" s="2">
        <v>46121</v>
      </c>
      <c r="B198">
        <f t="shared" si="10"/>
        <v>15</v>
      </c>
      <c r="C198" t="s">
        <v>38</v>
      </c>
      <c r="E198" t="s">
        <v>62</v>
      </c>
      <c r="G198" t="str">
        <f>IFERROR(VLOOKUP(E198,Control_Actividades!A:C,2,FALSE),)</f>
        <v>Dia</v>
      </c>
      <c r="H198">
        <v>1</v>
      </c>
      <c r="I198" s="3">
        <f>IFERROR(VLOOKUP(E198,Control_Actividades!A:C,3,FALSE),"")</f>
        <v>100</v>
      </c>
      <c r="J198" s="3">
        <f t="shared" si="9"/>
        <v>100</v>
      </c>
    </row>
    <row r="199" spans="1:10" x14ac:dyDescent="0.3">
      <c r="A199" s="2">
        <v>46121</v>
      </c>
      <c r="B199">
        <f t="shared" si="10"/>
        <v>15</v>
      </c>
      <c r="C199" t="s">
        <v>39</v>
      </c>
      <c r="E199" t="s">
        <v>17</v>
      </c>
      <c r="G199" t="str">
        <f>IFERROR(VLOOKUP(E199,Control_Actividades!A:C,2,FALSE),)</f>
        <v>Manzana</v>
      </c>
      <c r="H199">
        <v>0.5</v>
      </c>
      <c r="I199" s="3">
        <f>IFERROR(VLOOKUP(E199,Control_Actividades!A:C,3,FALSE),"")</f>
        <v>110</v>
      </c>
      <c r="J199" s="3">
        <f t="shared" si="9"/>
        <v>55</v>
      </c>
    </row>
    <row r="200" spans="1:10" x14ac:dyDescent="0.3">
      <c r="A200" s="2">
        <v>46121</v>
      </c>
      <c r="B200">
        <f t="shared" si="10"/>
        <v>15</v>
      </c>
      <c r="C200" t="s">
        <v>40</v>
      </c>
      <c r="E200" t="s">
        <v>61</v>
      </c>
      <c r="G200" t="str">
        <f>IFERROR(VLOOKUP(E200,Control_Actividades!A:C,2,FALSE),)</f>
        <v>Dia</v>
      </c>
      <c r="H200">
        <v>1</v>
      </c>
      <c r="I200" s="3">
        <f>IFERROR(VLOOKUP(E200,Control_Actividades!A:C,3,FALSE),"")</f>
        <v>75</v>
      </c>
      <c r="J200" s="3">
        <f t="shared" si="9"/>
        <v>75</v>
      </c>
    </row>
    <row r="201" spans="1:10" x14ac:dyDescent="0.3">
      <c r="A201" s="2">
        <v>46121</v>
      </c>
      <c r="B201">
        <f t="shared" si="10"/>
        <v>15</v>
      </c>
      <c r="C201" t="s">
        <v>41</v>
      </c>
      <c r="E201" t="s">
        <v>61</v>
      </c>
      <c r="G201" t="str">
        <f>IFERROR(VLOOKUP(E201,Control_Actividades!A:C,2,FALSE),)</f>
        <v>Dia</v>
      </c>
      <c r="H201">
        <v>1</v>
      </c>
      <c r="I201" s="3">
        <f>IFERROR(VLOOKUP(E201,Control_Actividades!A:C,3,FALSE),"")</f>
        <v>75</v>
      </c>
      <c r="J201" s="3">
        <f t="shared" si="9"/>
        <v>75</v>
      </c>
    </row>
    <row r="202" spans="1:10" x14ac:dyDescent="0.3">
      <c r="A202" s="2">
        <v>46121</v>
      </c>
      <c r="B202">
        <f t="shared" si="10"/>
        <v>15</v>
      </c>
      <c r="C202" t="s">
        <v>42</v>
      </c>
      <c r="E202" t="s">
        <v>61</v>
      </c>
      <c r="G202" t="str">
        <f>IFERROR(VLOOKUP(E202,Control_Actividades!A:C,2,FALSE),)</f>
        <v>Dia</v>
      </c>
      <c r="H202">
        <v>1</v>
      </c>
      <c r="I202" s="3">
        <f>IFERROR(VLOOKUP(E202,Control_Actividades!A:C,3,FALSE),"")</f>
        <v>75</v>
      </c>
      <c r="J202" s="3">
        <f t="shared" si="9"/>
        <v>75</v>
      </c>
    </row>
    <row r="203" spans="1:10" x14ac:dyDescent="0.3">
      <c r="A203" s="2">
        <v>46121</v>
      </c>
      <c r="B203">
        <f t="shared" si="10"/>
        <v>15</v>
      </c>
      <c r="C203" t="s">
        <v>43</v>
      </c>
      <c r="E203" t="s">
        <v>61</v>
      </c>
      <c r="G203" t="str">
        <f>IFERROR(VLOOKUP(E203,Control_Actividades!A:C,2,FALSE),)</f>
        <v>Dia</v>
      </c>
      <c r="H203">
        <v>1</v>
      </c>
      <c r="I203" s="3">
        <f>IFERROR(VLOOKUP(E203,Control_Actividades!A:C,3,FALSE),"")</f>
        <v>75</v>
      </c>
      <c r="J203" s="3">
        <f t="shared" si="9"/>
        <v>75</v>
      </c>
    </row>
    <row r="204" spans="1:10" x14ac:dyDescent="0.3">
      <c r="A204" s="2">
        <v>46121</v>
      </c>
      <c r="B204">
        <f t="shared" si="10"/>
        <v>15</v>
      </c>
      <c r="C204" t="s">
        <v>44</v>
      </c>
      <c r="E204" t="s">
        <v>61</v>
      </c>
      <c r="G204" t="str">
        <f>IFERROR(VLOOKUP(E204,Control_Actividades!A:C,2,FALSE),)</f>
        <v>Dia</v>
      </c>
      <c r="H204">
        <v>1</v>
      </c>
      <c r="I204" s="3">
        <f>IFERROR(VLOOKUP(E204,Control_Actividades!A:C,3,FALSE),"")</f>
        <v>75</v>
      </c>
      <c r="J204" s="3">
        <f t="shared" si="9"/>
        <v>75</v>
      </c>
    </row>
    <row r="205" spans="1:10" x14ac:dyDescent="0.3">
      <c r="A205" s="2">
        <v>46121</v>
      </c>
      <c r="B205">
        <f t="shared" si="10"/>
        <v>15</v>
      </c>
      <c r="C205" t="s">
        <v>45</v>
      </c>
      <c r="E205" t="s">
        <v>61</v>
      </c>
      <c r="G205" t="str">
        <f>IFERROR(VLOOKUP(E205,Control_Actividades!A:C,2,FALSE),)</f>
        <v>Dia</v>
      </c>
      <c r="H205">
        <v>1</v>
      </c>
      <c r="I205" s="3">
        <f>IFERROR(VLOOKUP(E205,Control_Actividades!A:C,3,FALSE),"")</f>
        <v>75</v>
      </c>
      <c r="J205" s="3">
        <f t="shared" si="9"/>
        <v>75</v>
      </c>
    </row>
    <row r="206" spans="1:10" x14ac:dyDescent="0.3">
      <c r="A206" s="2">
        <v>46121</v>
      </c>
      <c r="B206">
        <f t="shared" si="10"/>
        <v>15</v>
      </c>
      <c r="C206" t="s">
        <v>46</v>
      </c>
      <c r="E206" t="s">
        <v>61</v>
      </c>
      <c r="G206" t="str">
        <f>IFERROR(VLOOKUP(E206,Control_Actividades!A:C,2,FALSE),)</f>
        <v>Dia</v>
      </c>
      <c r="H206">
        <v>1</v>
      </c>
      <c r="I206" s="3">
        <f>IFERROR(VLOOKUP(E206,Control_Actividades!A:C,3,FALSE),"")</f>
        <v>75</v>
      </c>
      <c r="J206" s="3">
        <f t="shared" si="9"/>
        <v>75</v>
      </c>
    </row>
    <row r="207" spans="1:10" x14ac:dyDescent="0.3">
      <c r="A207" s="2">
        <v>46121</v>
      </c>
      <c r="B207">
        <f t="shared" si="10"/>
        <v>15</v>
      </c>
      <c r="C207" t="s">
        <v>47</v>
      </c>
      <c r="E207" t="s">
        <v>61</v>
      </c>
      <c r="G207" t="str">
        <f>IFERROR(VLOOKUP(E207,Control_Actividades!A:C,2,FALSE),)</f>
        <v>Dia</v>
      </c>
      <c r="H207">
        <v>1</v>
      </c>
      <c r="I207" s="3">
        <f>IFERROR(VLOOKUP(E207,Control_Actividades!A:C,3,FALSE),"")</f>
        <v>75</v>
      </c>
      <c r="J207" s="3">
        <f t="shared" si="9"/>
        <v>75</v>
      </c>
    </row>
    <row r="208" spans="1:10" x14ac:dyDescent="0.3">
      <c r="A208" s="2">
        <v>46121</v>
      </c>
      <c r="B208">
        <f t="shared" si="10"/>
        <v>15</v>
      </c>
      <c r="C208" t="s">
        <v>48</v>
      </c>
      <c r="E208" t="s">
        <v>61</v>
      </c>
      <c r="G208" t="str">
        <f>IFERROR(VLOOKUP(E208,Control_Actividades!A:C,2,FALSE),)</f>
        <v>Dia</v>
      </c>
      <c r="H208">
        <v>1</v>
      </c>
      <c r="I208" s="3">
        <f>IFERROR(VLOOKUP(E208,Control_Actividades!A:C,3,FALSE),"")</f>
        <v>75</v>
      </c>
      <c r="J208" s="3">
        <f t="shared" si="9"/>
        <v>75</v>
      </c>
    </row>
    <row r="209" spans="1:10" x14ac:dyDescent="0.3">
      <c r="A209" s="2">
        <v>46121</v>
      </c>
      <c r="B209">
        <f t="shared" si="10"/>
        <v>15</v>
      </c>
      <c r="C209" t="s">
        <v>49</v>
      </c>
      <c r="E209" t="s">
        <v>61</v>
      </c>
      <c r="G209" t="str">
        <f>IFERROR(VLOOKUP(E209,Control_Actividades!A:C,2,FALSE),)</f>
        <v>Dia</v>
      </c>
      <c r="H209">
        <v>1</v>
      </c>
      <c r="I209" s="3">
        <f>IFERROR(VLOOKUP(E209,Control_Actividades!A:C,3,FALSE),"")</f>
        <v>75</v>
      </c>
      <c r="J209" s="3">
        <f t="shared" si="9"/>
        <v>75</v>
      </c>
    </row>
    <row r="210" spans="1:10" x14ac:dyDescent="0.3">
      <c r="A210" s="2">
        <v>46121</v>
      </c>
      <c r="B210">
        <f t="shared" si="10"/>
        <v>15</v>
      </c>
      <c r="C210" t="s">
        <v>50</v>
      </c>
      <c r="E210" t="s">
        <v>61</v>
      </c>
      <c r="G210" t="str">
        <f>IFERROR(VLOOKUP(E210,Control_Actividades!A:C,2,FALSE),)</f>
        <v>Dia</v>
      </c>
      <c r="H210">
        <v>1</v>
      </c>
      <c r="I210" s="3">
        <f>IFERROR(VLOOKUP(E210,Control_Actividades!A:C,3,FALSE),"")</f>
        <v>75</v>
      </c>
      <c r="J210" s="3">
        <f t="shared" si="9"/>
        <v>75</v>
      </c>
    </row>
    <row r="211" spans="1:10" x14ac:dyDescent="0.3">
      <c r="A211" s="4">
        <v>46121</v>
      </c>
      <c r="B211" s="5">
        <f t="shared" si="10"/>
        <v>15</v>
      </c>
      <c r="C211" s="5" t="s">
        <v>51</v>
      </c>
      <c r="D211" s="5"/>
      <c r="E211" s="5" t="s">
        <v>61</v>
      </c>
      <c r="F211" s="5"/>
      <c r="G211" s="5" t="str">
        <f>IFERROR(VLOOKUP(E211,Control_Actividades!A:C,2,FALSE),)</f>
        <v>Dia</v>
      </c>
      <c r="H211" s="5">
        <v>1</v>
      </c>
      <c r="I211" s="6">
        <f>IFERROR(VLOOKUP(E211,Control_Actividades!A:C,3,FALSE),"")</f>
        <v>75</v>
      </c>
      <c r="J211" s="6">
        <f t="shared" si="9"/>
        <v>75</v>
      </c>
    </row>
    <row r="212" spans="1:10" x14ac:dyDescent="0.3">
      <c r="A212" s="2">
        <v>46122</v>
      </c>
      <c r="B212">
        <f t="shared" si="10"/>
        <v>15</v>
      </c>
      <c r="C212" t="s">
        <v>22</v>
      </c>
      <c r="E212" t="s">
        <v>54</v>
      </c>
      <c r="G212" t="str">
        <f>IFERROR(VLOOKUP(E212,Control_Actividades!A:C,2,FALSE),)</f>
        <v>Dia</v>
      </c>
      <c r="H212">
        <v>1</v>
      </c>
      <c r="I212" s="3">
        <f>IFERROR(VLOOKUP(E212,Control_Actividades!A:C,3,FALSE),"")</f>
        <v>130</v>
      </c>
      <c r="J212" s="3">
        <f t="shared" si="9"/>
        <v>130</v>
      </c>
    </row>
    <row r="213" spans="1:10" x14ac:dyDescent="0.3">
      <c r="A213" s="2">
        <v>46122</v>
      </c>
      <c r="B213">
        <f t="shared" si="10"/>
        <v>15</v>
      </c>
      <c r="C213" t="s">
        <v>23</v>
      </c>
      <c r="E213" t="s">
        <v>61</v>
      </c>
      <c r="G213" t="str">
        <f>IFERROR(VLOOKUP(E213,Control_Actividades!A:C,2,FALSE),)</f>
        <v>Dia</v>
      </c>
      <c r="H213">
        <v>1</v>
      </c>
      <c r="I213" s="3">
        <f>IFERROR(VLOOKUP(E213,Control_Actividades!A:C,3,FALSE),"")</f>
        <v>75</v>
      </c>
      <c r="J213" s="3">
        <f t="shared" si="9"/>
        <v>75</v>
      </c>
    </row>
    <row r="214" spans="1:10" x14ac:dyDescent="0.3">
      <c r="A214" s="2">
        <v>46122</v>
      </c>
      <c r="B214">
        <f t="shared" si="10"/>
        <v>15</v>
      </c>
      <c r="C214" t="s">
        <v>24</v>
      </c>
      <c r="E214" t="s">
        <v>61</v>
      </c>
      <c r="G214" t="str">
        <f>IFERROR(VLOOKUP(E214,Control_Actividades!A:C,2,FALSE),)</f>
        <v>Dia</v>
      </c>
      <c r="H214">
        <v>1</v>
      </c>
      <c r="I214" s="3">
        <f>IFERROR(VLOOKUP(E214,Control_Actividades!A:C,3,FALSE),"")</f>
        <v>75</v>
      </c>
      <c r="J214" s="3">
        <f t="shared" si="9"/>
        <v>75</v>
      </c>
    </row>
    <row r="215" spans="1:10" x14ac:dyDescent="0.3">
      <c r="A215" s="2">
        <v>46122</v>
      </c>
      <c r="B215">
        <f t="shared" si="10"/>
        <v>15</v>
      </c>
      <c r="C215" t="s">
        <v>25</v>
      </c>
      <c r="E215" t="s">
        <v>61</v>
      </c>
      <c r="G215" t="str">
        <f>IFERROR(VLOOKUP(E215,Control_Actividades!A:C,2,FALSE),)</f>
        <v>Dia</v>
      </c>
      <c r="H215">
        <v>1</v>
      </c>
      <c r="I215" s="3">
        <f>IFERROR(VLOOKUP(E215,Control_Actividades!A:C,3,FALSE),"")</f>
        <v>75</v>
      </c>
      <c r="J215" s="3">
        <f t="shared" si="9"/>
        <v>75</v>
      </c>
    </row>
    <row r="216" spans="1:10" x14ac:dyDescent="0.3">
      <c r="A216" s="2">
        <v>46122</v>
      </c>
      <c r="B216">
        <f t="shared" si="10"/>
        <v>15</v>
      </c>
      <c r="C216" t="s">
        <v>26</v>
      </c>
      <c r="E216" t="s">
        <v>61</v>
      </c>
      <c r="G216" t="str">
        <f>IFERROR(VLOOKUP(E216,Control_Actividades!A:C,2,FALSE),)</f>
        <v>Dia</v>
      </c>
      <c r="H216">
        <v>1</v>
      </c>
      <c r="I216" s="3">
        <f>IFERROR(VLOOKUP(E216,Control_Actividades!A:C,3,FALSE),"")</f>
        <v>75</v>
      </c>
      <c r="J216" s="3">
        <f t="shared" ref="J216:J245" si="11">H216*I216</f>
        <v>75</v>
      </c>
    </row>
    <row r="217" spans="1:10" x14ac:dyDescent="0.3">
      <c r="A217" s="2">
        <v>46122</v>
      </c>
      <c r="B217">
        <f t="shared" si="10"/>
        <v>15</v>
      </c>
      <c r="C217" t="s">
        <v>27</v>
      </c>
      <c r="E217" t="s">
        <v>61</v>
      </c>
      <c r="G217" t="str">
        <f>IFERROR(VLOOKUP(E217,Control_Actividades!A:C,2,FALSE),)</f>
        <v>Dia</v>
      </c>
      <c r="H217">
        <v>1</v>
      </c>
      <c r="I217" s="3">
        <f>IFERROR(VLOOKUP(E217,Control_Actividades!A:C,3,FALSE),"")</f>
        <v>75</v>
      </c>
      <c r="J217" s="3">
        <f t="shared" si="11"/>
        <v>75</v>
      </c>
    </row>
    <row r="218" spans="1:10" x14ac:dyDescent="0.3">
      <c r="A218" s="2">
        <v>46122</v>
      </c>
      <c r="B218">
        <f t="shared" si="10"/>
        <v>15</v>
      </c>
      <c r="C218" t="s">
        <v>28</v>
      </c>
      <c r="E218" t="s">
        <v>61</v>
      </c>
      <c r="G218" t="str">
        <f>IFERROR(VLOOKUP(E218,Control_Actividades!A:C,2,FALSE),)</f>
        <v>Dia</v>
      </c>
      <c r="H218">
        <v>1</v>
      </c>
      <c r="I218" s="3">
        <f>IFERROR(VLOOKUP(E218,Control_Actividades!A:C,3,FALSE),"")</f>
        <v>75</v>
      </c>
      <c r="J218" s="3">
        <f t="shared" si="11"/>
        <v>75</v>
      </c>
    </row>
    <row r="219" spans="1:10" x14ac:dyDescent="0.3">
      <c r="A219" s="2">
        <v>46122</v>
      </c>
      <c r="B219">
        <f t="shared" si="10"/>
        <v>15</v>
      </c>
      <c r="C219" t="s">
        <v>29</v>
      </c>
      <c r="E219" t="s">
        <v>61</v>
      </c>
      <c r="G219" t="str">
        <f>IFERROR(VLOOKUP(E219,Control_Actividades!A:C,2,FALSE),)</f>
        <v>Dia</v>
      </c>
      <c r="H219">
        <v>1</v>
      </c>
      <c r="I219" s="3">
        <f>IFERROR(VLOOKUP(E219,Control_Actividades!A:C,3,FALSE),"")</f>
        <v>75</v>
      </c>
      <c r="J219" s="3">
        <f t="shared" si="11"/>
        <v>75</v>
      </c>
    </row>
    <row r="220" spans="1:10" x14ac:dyDescent="0.3">
      <c r="A220" s="2">
        <v>46122</v>
      </c>
      <c r="B220">
        <f t="shared" si="10"/>
        <v>15</v>
      </c>
      <c r="C220" t="s">
        <v>30</v>
      </c>
      <c r="E220" t="s">
        <v>62</v>
      </c>
      <c r="G220" t="str">
        <f>IFERROR(VLOOKUP(E220,Control_Actividades!A:C,2,FALSE),)</f>
        <v>Dia</v>
      </c>
      <c r="H220">
        <v>1</v>
      </c>
      <c r="I220" s="3">
        <f>IFERROR(VLOOKUP(E220,Control_Actividades!A:C,3,FALSE),"")</f>
        <v>100</v>
      </c>
      <c r="J220" s="3">
        <f t="shared" si="11"/>
        <v>100</v>
      </c>
    </row>
    <row r="221" spans="1:10" x14ac:dyDescent="0.3">
      <c r="A221" s="2">
        <v>46122</v>
      </c>
      <c r="B221">
        <f t="shared" si="10"/>
        <v>15</v>
      </c>
      <c r="C221" t="s">
        <v>31</v>
      </c>
      <c r="E221" t="s">
        <v>61</v>
      </c>
      <c r="G221" t="str">
        <f>IFERROR(VLOOKUP(E221,Control_Actividades!A:C,2,FALSE),)</f>
        <v>Dia</v>
      </c>
      <c r="H221">
        <v>1</v>
      </c>
      <c r="I221" s="3">
        <f>IFERROR(VLOOKUP(E221,Control_Actividades!A:C,3,FALSE),"")</f>
        <v>75</v>
      </c>
      <c r="J221" s="3">
        <f t="shared" si="11"/>
        <v>75</v>
      </c>
    </row>
    <row r="222" spans="1:10" x14ac:dyDescent="0.3">
      <c r="A222" s="2">
        <v>46122</v>
      </c>
      <c r="B222">
        <f t="shared" si="10"/>
        <v>15</v>
      </c>
      <c r="C222" t="s">
        <v>32</v>
      </c>
      <c r="E222" t="s">
        <v>61</v>
      </c>
      <c r="G222" t="str">
        <f>IFERROR(VLOOKUP(E222,Control_Actividades!A:C,2,FALSE),)</f>
        <v>Dia</v>
      </c>
      <c r="H222">
        <v>1</v>
      </c>
      <c r="I222" s="3">
        <f>IFERROR(VLOOKUP(E222,Control_Actividades!A:C,3,FALSE),"")</f>
        <v>75</v>
      </c>
      <c r="J222" s="3">
        <f t="shared" si="11"/>
        <v>75</v>
      </c>
    </row>
    <row r="223" spans="1:10" x14ac:dyDescent="0.3">
      <c r="A223" s="2">
        <v>46122</v>
      </c>
      <c r="B223">
        <f t="shared" si="10"/>
        <v>15</v>
      </c>
      <c r="C223" t="s">
        <v>33</v>
      </c>
      <c r="E223" t="s">
        <v>61</v>
      </c>
      <c r="G223" t="str">
        <f>IFERROR(VLOOKUP(E223,Control_Actividades!A:C,2,FALSE),)</f>
        <v>Dia</v>
      </c>
      <c r="H223">
        <v>1</v>
      </c>
      <c r="I223" s="3">
        <f>IFERROR(VLOOKUP(E223,Control_Actividades!A:C,3,FALSE),"")</f>
        <v>75</v>
      </c>
      <c r="J223" s="3">
        <f t="shared" si="11"/>
        <v>75</v>
      </c>
    </row>
    <row r="224" spans="1:10" x14ac:dyDescent="0.3">
      <c r="A224" s="2">
        <v>46122</v>
      </c>
      <c r="B224">
        <f t="shared" si="10"/>
        <v>15</v>
      </c>
      <c r="C224" t="s">
        <v>34</v>
      </c>
      <c r="E224" t="s">
        <v>61</v>
      </c>
      <c r="G224" t="str">
        <f>IFERROR(VLOOKUP(E224,Control_Actividades!A:C,2,FALSE),)</f>
        <v>Dia</v>
      </c>
      <c r="H224">
        <v>1</v>
      </c>
      <c r="I224" s="3">
        <f>IFERROR(VLOOKUP(E224,Control_Actividades!A:C,3,FALSE),"")</f>
        <v>75</v>
      </c>
      <c r="J224" s="3">
        <f t="shared" si="11"/>
        <v>75</v>
      </c>
    </row>
    <row r="225" spans="1:10" x14ac:dyDescent="0.3">
      <c r="A225" s="2">
        <v>46122</v>
      </c>
      <c r="B225">
        <f t="shared" si="10"/>
        <v>15</v>
      </c>
      <c r="C225" t="s">
        <v>35</v>
      </c>
      <c r="E225" t="s">
        <v>17</v>
      </c>
      <c r="G225" t="str">
        <f>IFERROR(VLOOKUP(E225,Control_Actividades!A:C,2,FALSE),)</f>
        <v>Manzana</v>
      </c>
      <c r="H225">
        <v>0.5</v>
      </c>
      <c r="I225" s="3">
        <f>IFERROR(VLOOKUP(E225,Control_Actividades!A:C,3,FALSE),"")</f>
        <v>110</v>
      </c>
      <c r="J225" s="3">
        <f t="shared" si="11"/>
        <v>55</v>
      </c>
    </row>
    <row r="226" spans="1:10" x14ac:dyDescent="0.3">
      <c r="A226" s="2">
        <v>46122</v>
      </c>
      <c r="B226">
        <f t="shared" si="10"/>
        <v>15</v>
      </c>
      <c r="C226" t="s">
        <v>36</v>
      </c>
      <c r="E226" t="s">
        <v>61</v>
      </c>
      <c r="G226" t="str">
        <f>IFERROR(VLOOKUP(E226,Control_Actividades!A:C,2,FALSE),)</f>
        <v>Dia</v>
      </c>
      <c r="H226">
        <v>1</v>
      </c>
      <c r="I226" s="3">
        <f>IFERROR(VLOOKUP(E226,Control_Actividades!A:C,3,FALSE),"")</f>
        <v>75</v>
      </c>
      <c r="J226" s="3">
        <f t="shared" si="11"/>
        <v>75</v>
      </c>
    </row>
    <row r="227" spans="1:10" x14ac:dyDescent="0.3">
      <c r="A227" s="2">
        <v>46122</v>
      </c>
      <c r="B227">
        <f t="shared" si="10"/>
        <v>15</v>
      </c>
      <c r="C227" t="s">
        <v>37</v>
      </c>
      <c r="E227" t="s">
        <v>62</v>
      </c>
      <c r="G227" t="str">
        <f>IFERROR(VLOOKUP(E227,Control_Actividades!A:C,2,FALSE),)</f>
        <v>Dia</v>
      </c>
      <c r="H227">
        <v>1</v>
      </c>
      <c r="I227" s="3">
        <f>IFERROR(VLOOKUP(E227,Control_Actividades!A:C,3,FALSE),"")</f>
        <v>100</v>
      </c>
      <c r="J227" s="3">
        <f t="shared" si="11"/>
        <v>100</v>
      </c>
    </row>
    <row r="228" spans="1:10" x14ac:dyDescent="0.3">
      <c r="A228" s="2">
        <v>46122</v>
      </c>
      <c r="B228">
        <f t="shared" si="10"/>
        <v>15</v>
      </c>
      <c r="C228" t="s">
        <v>38</v>
      </c>
      <c r="E228" t="s">
        <v>61</v>
      </c>
      <c r="G228" t="str">
        <f>IFERROR(VLOOKUP(E228,Control_Actividades!A:C,2,FALSE),)</f>
        <v>Dia</v>
      </c>
      <c r="H228">
        <v>1</v>
      </c>
      <c r="I228" s="3">
        <f>IFERROR(VLOOKUP(E228,Control_Actividades!A:C,3,FALSE),"")</f>
        <v>75</v>
      </c>
      <c r="J228" s="3">
        <f t="shared" si="11"/>
        <v>75</v>
      </c>
    </row>
    <row r="229" spans="1:10" x14ac:dyDescent="0.3">
      <c r="A229" s="2">
        <v>46122</v>
      </c>
      <c r="B229">
        <f t="shared" si="10"/>
        <v>15</v>
      </c>
      <c r="C229" t="s">
        <v>39</v>
      </c>
      <c r="E229" t="s">
        <v>17</v>
      </c>
      <c r="G229" t="str">
        <f>IFERROR(VLOOKUP(E229,Control_Actividades!A:C,2,FALSE),)</f>
        <v>Manzana</v>
      </c>
      <c r="H229">
        <v>0.5</v>
      </c>
      <c r="I229" s="3">
        <f>IFERROR(VLOOKUP(E229,Control_Actividades!A:C,3,FALSE),"")</f>
        <v>110</v>
      </c>
      <c r="J229" s="3">
        <f t="shared" si="11"/>
        <v>55</v>
      </c>
    </row>
    <row r="230" spans="1:10" x14ac:dyDescent="0.3">
      <c r="A230" s="2">
        <v>46122</v>
      </c>
      <c r="B230">
        <f t="shared" si="10"/>
        <v>15</v>
      </c>
      <c r="C230" t="s">
        <v>40</v>
      </c>
      <c r="E230" t="s">
        <v>61</v>
      </c>
      <c r="G230" t="str">
        <f>IFERROR(VLOOKUP(E230,Control_Actividades!A:C,2,FALSE),)</f>
        <v>Dia</v>
      </c>
      <c r="H230">
        <v>1</v>
      </c>
      <c r="I230" s="3">
        <f>IFERROR(VLOOKUP(E230,Control_Actividades!A:C,3,FALSE),"")</f>
        <v>75</v>
      </c>
      <c r="J230" s="3">
        <f t="shared" si="11"/>
        <v>75</v>
      </c>
    </row>
    <row r="231" spans="1:10" x14ac:dyDescent="0.3">
      <c r="A231" s="2">
        <v>46122</v>
      </c>
      <c r="B231">
        <f t="shared" si="10"/>
        <v>15</v>
      </c>
      <c r="C231" t="s">
        <v>41</v>
      </c>
      <c r="E231" t="s">
        <v>61</v>
      </c>
      <c r="G231" t="str">
        <f>IFERROR(VLOOKUP(E231,Control_Actividades!A:C,2,FALSE),)</f>
        <v>Dia</v>
      </c>
      <c r="H231">
        <v>1</v>
      </c>
      <c r="I231" s="3">
        <f>IFERROR(VLOOKUP(E231,Control_Actividades!A:C,3,FALSE),"")</f>
        <v>75</v>
      </c>
      <c r="J231" s="3">
        <f t="shared" si="11"/>
        <v>75</v>
      </c>
    </row>
    <row r="232" spans="1:10" x14ac:dyDescent="0.3">
      <c r="A232" s="2">
        <v>46122</v>
      </c>
      <c r="B232">
        <f t="shared" si="10"/>
        <v>15</v>
      </c>
      <c r="C232" t="s">
        <v>42</v>
      </c>
      <c r="E232" t="s">
        <v>61</v>
      </c>
      <c r="G232" t="str">
        <f>IFERROR(VLOOKUP(E232,Control_Actividades!A:C,2,FALSE),)</f>
        <v>Dia</v>
      </c>
      <c r="H232">
        <v>1</v>
      </c>
      <c r="I232" s="3">
        <f>IFERROR(VLOOKUP(E232,Control_Actividades!A:C,3,FALSE),"")</f>
        <v>75</v>
      </c>
      <c r="J232" s="3">
        <f t="shared" si="11"/>
        <v>75</v>
      </c>
    </row>
    <row r="233" spans="1:10" x14ac:dyDescent="0.3">
      <c r="A233" s="2">
        <v>46122</v>
      </c>
      <c r="B233">
        <f t="shared" si="10"/>
        <v>15</v>
      </c>
      <c r="C233" t="s">
        <v>43</v>
      </c>
      <c r="E233" t="s">
        <v>61</v>
      </c>
      <c r="G233" t="str">
        <f>IFERROR(VLOOKUP(E233,Control_Actividades!A:C,2,FALSE),)</f>
        <v>Dia</v>
      </c>
      <c r="H233">
        <v>1</v>
      </c>
      <c r="I233" s="3">
        <f>IFERROR(VLOOKUP(E233,Control_Actividades!A:C,3,FALSE),"")</f>
        <v>75</v>
      </c>
      <c r="J233" s="3">
        <f t="shared" si="11"/>
        <v>75</v>
      </c>
    </row>
    <row r="234" spans="1:10" x14ac:dyDescent="0.3">
      <c r="A234" s="2">
        <v>46122</v>
      </c>
      <c r="B234">
        <f t="shared" si="10"/>
        <v>15</v>
      </c>
      <c r="C234" t="s">
        <v>44</v>
      </c>
      <c r="E234" t="s">
        <v>61</v>
      </c>
      <c r="G234" t="str">
        <f>IFERROR(VLOOKUP(E234,Control_Actividades!A:C,2,FALSE),)</f>
        <v>Dia</v>
      </c>
      <c r="H234">
        <v>1</v>
      </c>
      <c r="I234" s="3">
        <f>IFERROR(VLOOKUP(E234,Control_Actividades!A:C,3,FALSE),"")</f>
        <v>75</v>
      </c>
      <c r="J234" s="3">
        <f t="shared" si="11"/>
        <v>75</v>
      </c>
    </row>
    <row r="235" spans="1:10" x14ac:dyDescent="0.3">
      <c r="A235" s="2">
        <v>46122</v>
      </c>
      <c r="B235">
        <f t="shared" si="10"/>
        <v>15</v>
      </c>
      <c r="C235" t="s">
        <v>45</v>
      </c>
      <c r="E235" t="s">
        <v>61</v>
      </c>
      <c r="G235" t="str">
        <f>IFERROR(VLOOKUP(E235,Control_Actividades!A:C,2,FALSE),)</f>
        <v>Dia</v>
      </c>
      <c r="H235">
        <v>1</v>
      </c>
      <c r="I235" s="3">
        <f>IFERROR(VLOOKUP(E235,Control_Actividades!A:C,3,FALSE),"")</f>
        <v>75</v>
      </c>
      <c r="J235" s="3">
        <f t="shared" si="11"/>
        <v>75</v>
      </c>
    </row>
    <row r="236" spans="1:10" x14ac:dyDescent="0.3">
      <c r="A236" s="2">
        <v>46122</v>
      </c>
      <c r="B236">
        <f t="shared" si="10"/>
        <v>15</v>
      </c>
      <c r="C236" t="s">
        <v>46</v>
      </c>
      <c r="E236" t="s">
        <v>61</v>
      </c>
      <c r="G236" t="str">
        <f>IFERROR(VLOOKUP(E236,Control_Actividades!A:C,2,FALSE),)</f>
        <v>Dia</v>
      </c>
      <c r="H236">
        <v>0</v>
      </c>
      <c r="I236" s="3">
        <f>IFERROR(VLOOKUP(E236,Control_Actividades!A:C,3,FALSE),"")</f>
        <v>75</v>
      </c>
      <c r="J236" s="3">
        <f t="shared" si="11"/>
        <v>0</v>
      </c>
    </row>
    <row r="237" spans="1:10" x14ac:dyDescent="0.3">
      <c r="A237" s="2">
        <v>46122</v>
      </c>
      <c r="B237">
        <f t="shared" si="10"/>
        <v>15</v>
      </c>
      <c r="C237" t="s">
        <v>47</v>
      </c>
      <c r="E237" t="s">
        <v>61</v>
      </c>
      <c r="G237" t="str">
        <f>IFERROR(VLOOKUP(E237,Control_Actividades!A:C,2,FALSE),)</f>
        <v>Dia</v>
      </c>
      <c r="H237">
        <v>1</v>
      </c>
      <c r="I237" s="3">
        <f>IFERROR(VLOOKUP(E237,Control_Actividades!A:C,3,FALSE),"")</f>
        <v>75</v>
      </c>
      <c r="J237" s="3">
        <f t="shared" si="11"/>
        <v>75</v>
      </c>
    </row>
    <row r="238" spans="1:10" x14ac:dyDescent="0.3">
      <c r="A238" s="2">
        <v>46122</v>
      </c>
      <c r="B238">
        <f t="shared" si="10"/>
        <v>15</v>
      </c>
      <c r="C238" t="s">
        <v>48</v>
      </c>
      <c r="E238" t="s">
        <v>61</v>
      </c>
      <c r="G238" t="str">
        <f>IFERROR(VLOOKUP(E238,Control_Actividades!A:C,2,FALSE),)</f>
        <v>Dia</v>
      </c>
      <c r="H238">
        <v>1</v>
      </c>
      <c r="I238" s="3">
        <f>IFERROR(VLOOKUP(E238,Control_Actividades!A:C,3,FALSE),"")</f>
        <v>75</v>
      </c>
      <c r="J238" s="3">
        <f t="shared" si="11"/>
        <v>75</v>
      </c>
    </row>
    <row r="239" spans="1:10" x14ac:dyDescent="0.3">
      <c r="A239" s="2">
        <v>46122</v>
      </c>
      <c r="B239">
        <f t="shared" si="10"/>
        <v>15</v>
      </c>
      <c r="C239" t="s">
        <v>49</v>
      </c>
      <c r="E239" t="s">
        <v>61</v>
      </c>
      <c r="G239" t="str">
        <f>IFERROR(VLOOKUP(E239,Control_Actividades!A:C,2,FALSE),)</f>
        <v>Dia</v>
      </c>
      <c r="H239">
        <v>1</v>
      </c>
      <c r="I239" s="3">
        <f>IFERROR(VLOOKUP(E239,Control_Actividades!A:C,3,FALSE),"")</f>
        <v>75</v>
      </c>
      <c r="J239" s="3">
        <f t="shared" si="11"/>
        <v>75</v>
      </c>
    </row>
    <row r="240" spans="1:10" x14ac:dyDescent="0.3">
      <c r="A240" s="2">
        <v>46122</v>
      </c>
      <c r="B240">
        <f t="shared" si="10"/>
        <v>15</v>
      </c>
      <c r="C240" t="s">
        <v>50</v>
      </c>
      <c r="E240" t="s">
        <v>61</v>
      </c>
      <c r="G240" t="str">
        <f>IFERROR(VLOOKUP(E240,Control_Actividades!A:C,2,FALSE),)</f>
        <v>Dia</v>
      </c>
      <c r="H240">
        <v>1</v>
      </c>
      <c r="I240" s="3">
        <f>IFERROR(VLOOKUP(E240,Control_Actividades!A:C,3,FALSE),"")</f>
        <v>75</v>
      </c>
      <c r="J240" s="3">
        <f t="shared" si="11"/>
        <v>75</v>
      </c>
    </row>
    <row r="241" spans="1:10" x14ac:dyDescent="0.3">
      <c r="A241" s="4">
        <v>46122</v>
      </c>
      <c r="B241" s="5">
        <f t="shared" si="10"/>
        <v>15</v>
      </c>
      <c r="C241" s="5" t="s">
        <v>51</v>
      </c>
      <c r="D241" s="5"/>
      <c r="E241" s="5" t="s">
        <v>61</v>
      </c>
      <c r="F241" s="5"/>
      <c r="G241" s="5" t="str">
        <f>IFERROR(VLOOKUP(E241,Control_Actividades!A:C,2,FALSE),)</f>
        <v>Dia</v>
      </c>
      <c r="H241" s="5">
        <v>1</v>
      </c>
      <c r="I241" s="6">
        <f>IFERROR(VLOOKUP(E241,Control_Actividades!A:C,3,FALSE),"")</f>
        <v>75</v>
      </c>
      <c r="J241" s="6">
        <f t="shared" si="11"/>
        <v>75</v>
      </c>
    </row>
    <row r="242" spans="1:10" x14ac:dyDescent="0.3">
      <c r="A242" s="2">
        <v>46123</v>
      </c>
      <c r="B242">
        <f t="shared" si="10"/>
        <v>15</v>
      </c>
      <c r="C242" t="s">
        <v>22</v>
      </c>
      <c r="E242" t="s">
        <v>54</v>
      </c>
      <c r="G242" t="str">
        <f>IFERROR(VLOOKUP(E242,Control_Actividades!A:C,2,FALSE),)</f>
        <v>Dia</v>
      </c>
      <c r="H242">
        <v>1</v>
      </c>
      <c r="I242" s="3">
        <f>IFERROR(VLOOKUP(E242,Control_Actividades!A:C,3,FALSE),"")</f>
        <v>130</v>
      </c>
      <c r="J242" s="3">
        <f t="shared" si="11"/>
        <v>130</v>
      </c>
    </row>
    <row r="243" spans="1:10" x14ac:dyDescent="0.3">
      <c r="A243" s="2">
        <v>46123</v>
      </c>
      <c r="B243">
        <f t="shared" si="10"/>
        <v>15</v>
      </c>
      <c r="C243" t="s">
        <v>23</v>
      </c>
      <c r="E243" t="s">
        <v>61</v>
      </c>
      <c r="G243" t="str">
        <f>IFERROR(VLOOKUP(E243,Control_Actividades!A:C,2,FALSE),)</f>
        <v>Dia</v>
      </c>
      <c r="H243">
        <v>1</v>
      </c>
      <c r="I243" s="3">
        <f>IFERROR(VLOOKUP(E243,Control_Actividades!A:C,3,FALSE),"")</f>
        <v>75</v>
      </c>
      <c r="J243" s="3">
        <f t="shared" si="11"/>
        <v>75</v>
      </c>
    </row>
    <row r="244" spans="1:10" x14ac:dyDescent="0.3">
      <c r="A244" s="2">
        <v>46123</v>
      </c>
      <c r="B244">
        <f t="shared" si="10"/>
        <v>15</v>
      </c>
      <c r="C244" t="s">
        <v>24</v>
      </c>
      <c r="E244" t="s">
        <v>61</v>
      </c>
      <c r="G244" t="str">
        <f>IFERROR(VLOOKUP(E244,Control_Actividades!A:C,2,FALSE),)</f>
        <v>Dia</v>
      </c>
      <c r="H244">
        <v>1</v>
      </c>
      <c r="I244" s="3">
        <f>IFERROR(VLOOKUP(E244,Control_Actividades!A:C,3,FALSE),"")</f>
        <v>75</v>
      </c>
      <c r="J244" s="3">
        <f t="shared" si="11"/>
        <v>75</v>
      </c>
    </row>
    <row r="245" spans="1:10" x14ac:dyDescent="0.3">
      <c r="A245" s="2">
        <v>46123</v>
      </c>
      <c r="B245">
        <f t="shared" si="10"/>
        <v>15</v>
      </c>
      <c r="C245" t="s">
        <v>25</v>
      </c>
      <c r="E245" t="s">
        <v>61</v>
      </c>
      <c r="G245" t="str">
        <f>IFERROR(VLOOKUP(E245,Control_Actividades!A:C,2,FALSE),)</f>
        <v>Dia</v>
      </c>
      <c r="H245">
        <v>1</v>
      </c>
      <c r="I245" s="3">
        <f>IFERROR(VLOOKUP(E245,Control_Actividades!A:C,3,FALSE),"")</f>
        <v>75</v>
      </c>
      <c r="J245" s="3">
        <f t="shared" si="11"/>
        <v>75</v>
      </c>
    </row>
    <row r="246" spans="1:10" x14ac:dyDescent="0.3">
      <c r="A246" s="2">
        <v>46123</v>
      </c>
      <c r="B246">
        <f t="shared" si="10"/>
        <v>15</v>
      </c>
      <c r="C246" t="s">
        <v>26</v>
      </c>
      <c r="E246" t="s">
        <v>61</v>
      </c>
      <c r="G246" t="str">
        <f>IFERROR(VLOOKUP(E246,Control_Actividades!A:C,2,FALSE),)</f>
        <v>Dia</v>
      </c>
      <c r="H246">
        <v>1</v>
      </c>
      <c r="I246" s="3">
        <f>IFERROR(VLOOKUP(E246,Control_Actividades!A:C,3,FALSE),"")</f>
        <v>75</v>
      </c>
      <c r="J246" s="3">
        <f t="shared" ref="J246:J275" si="12">H246*I246</f>
        <v>75</v>
      </c>
    </row>
    <row r="247" spans="1:10" x14ac:dyDescent="0.3">
      <c r="A247" s="2">
        <v>46123</v>
      </c>
      <c r="B247">
        <f t="shared" si="10"/>
        <v>15</v>
      </c>
      <c r="C247" t="s">
        <v>27</v>
      </c>
      <c r="E247" t="s">
        <v>61</v>
      </c>
      <c r="G247" t="str">
        <f>IFERROR(VLOOKUP(E247,Control_Actividades!A:C,2,FALSE),)</f>
        <v>Dia</v>
      </c>
      <c r="H247">
        <v>1</v>
      </c>
      <c r="I247" s="3">
        <f>IFERROR(VLOOKUP(E247,Control_Actividades!A:C,3,FALSE),"")</f>
        <v>75</v>
      </c>
      <c r="J247" s="3">
        <f t="shared" si="12"/>
        <v>75</v>
      </c>
    </row>
    <row r="248" spans="1:10" x14ac:dyDescent="0.3">
      <c r="A248" s="2">
        <v>46123</v>
      </c>
      <c r="B248">
        <f t="shared" si="10"/>
        <v>15</v>
      </c>
      <c r="C248" t="s">
        <v>28</v>
      </c>
      <c r="E248" t="s">
        <v>61</v>
      </c>
      <c r="G248" t="str">
        <f>IFERROR(VLOOKUP(E248,Control_Actividades!A:C,2,FALSE),)</f>
        <v>Dia</v>
      </c>
      <c r="H248">
        <v>1</v>
      </c>
      <c r="I248" s="3">
        <f>IFERROR(VLOOKUP(E248,Control_Actividades!A:C,3,FALSE),"")</f>
        <v>75</v>
      </c>
      <c r="J248" s="3">
        <f t="shared" si="12"/>
        <v>75</v>
      </c>
    </row>
    <row r="249" spans="1:10" x14ac:dyDescent="0.3">
      <c r="A249" s="2">
        <v>46123</v>
      </c>
      <c r="B249">
        <f t="shared" si="10"/>
        <v>15</v>
      </c>
      <c r="C249" t="s">
        <v>29</v>
      </c>
      <c r="E249" t="s">
        <v>61</v>
      </c>
      <c r="G249" t="str">
        <f>IFERROR(VLOOKUP(E249,Control_Actividades!A:C,2,FALSE),)</f>
        <v>Dia</v>
      </c>
      <c r="H249">
        <v>1</v>
      </c>
      <c r="I249" s="3">
        <f>IFERROR(VLOOKUP(E249,Control_Actividades!A:C,3,FALSE),"")</f>
        <v>75</v>
      </c>
      <c r="J249" s="3">
        <f t="shared" si="12"/>
        <v>75</v>
      </c>
    </row>
    <row r="250" spans="1:10" x14ac:dyDescent="0.3">
      <c r="A250" s="2">
        <v>46123</v>
      </c>
      <c r="B250">
        <f t="shared" si="10"/>
        <v>15</v>
      </c>
      <c r="C250" t="s">
        <v>30</v>
      </c>
      <c r="E250" t="s">
        <v>61</v>
      </c>
      <c r="G250" t="str">
        <f>IFERROR(VLOOKUP(E250,Control_Actividades!A:C,2,FALSE),)</f>
        <v>Dia</v>
      </c>
      <c r="H250">
        <v>1</v>
      </c>
      <c r="I250" s="3">
        <f>IFERROR(VLOOKUP(E250,Control_Actividades!A:C,3,FALSE),"")</f>
        <v>75</v>
      </c>
      <c r="J250" s="3">
        <f t="shared" si="12"/>
        <v>75</v>
      </c>
    </row>
    <row r="251" spans="1:10" x14ac:dyDescent="0.3">
      <c r="A251" s="2">
        <v>46123</v>
      </c>
      <c r="B251">
        <f t="shared" si="10"/>
        <v>15</v>
      </c>
      <c r="C251" t="s">
        <v>31</v>
      </c>
      <c r="E251" t="s">
        <v>61</v>
      </c>
      <c r="G251" t="str">
        <f>IFERROR(VLOOKUP(E251,Control_Actividades!A:C,2,FALSE),)</f>
        <v>Dia</v>
      </c>
      <c r="H251">
        <v>1</v>
      </c>
      <c r="I251" s="3">
        <f>IFERROR(VLOOKUP(E251,Control_Actividades!A:C,3,FALSE),"")</f>
        <v>75</v>
      </c>
      <c r="J251" s="3">
        <f t="shared" si="12"/>
        <v>75</v>
      </c>
    </row>
    <row r="252" spans="1:10" x14ac:dyDescent="0.3">
      <c r="A252" s="2">
        <v>46123</v>
      </c>
      <c r="B252">
        <f t="shared" si="10"/>
        <v>15</v>
      </c>
      <c r="C252" t="s">
        <v>32</v>
      </c>
      <c r="E252" t="s">
        <v>61</v>
      </c>
      <c r="G252" t="str">
        <f>IFERROR(VLOOKUP(E252,Control_Actividades!A:C,2,FALSE),)</f>
        <v>Dia</v>
      </c>
      <c r="H252">
        <v>1</v>
      </c>
      <c r="I252" s="3">
        <f>IFERROR(VLOOKUP(E252,Control_Actividades!A:C,3,FALSE),"")</f>
        <v>75</v>
      </c>
      <c r="J252" s="3">
        <f t="shared" si="12"/>
        <v>75</v>
      </c>
    </row>
    <row r="253" spans="1:10" x14ac:dyDescent="0.3">
      <c r="A253" s="2">
        <v>46123</v>
      </c>
      <c r="B253">
        <f t="shared" si="10"/>
        <v>15</v>
      </c>
      <c r="C253" t="s">
        <v>33</v>
      </c>
      <c r="E253" t="s">
        <v>61</v>
      </c>
      <c r="G253" t="str">
        <f>IFERROR(VLOOKUP(E253,Control_Actividades!A:C,2,FALSE),)</f>
        <v>Dia</v>
      </c>
      <c r="H253">
        <v>1</v>
      </c>
      <c r="I253" s="3">
        <f>IFERROR(VLOOKUP(E253,Control_Actividades!A:C,3,FALSE),"")</f>
        <v>75</v>
      </c>
      <c r="J253" s="3">
        <f t="shared" si="12"/>
        <v>75</v>
      </c>
    </row>
    <row r="254" spans="1:10" x14ac:dyDescent="0.3">
      <c r="A254" s="2">
        <v>46123</v>
      </c>
      <c r="B254">
        <f t="shared" si="10"/>
        <v>15</v>
      </c>
      <c r="C254" t="s">
        <v>34</v>
      </c>
      <c r="E254" t="s">
        <v>61</v>
      </c>
      <c r="G254" t="str">
        <f>IFERROR(VLOOKUP(E254,Control_Actividades!A:C,2,FALSE),)</f>
        <v>Dia</v>
      </c>
      <c r="H254">
        <v>1</v>
      </c>
      <c r="I254" s="3">
        <f>IFERROR(VLOOKUP(E254,Control_Actividades!A:C,3,FALSE),"")</f>
        <v>75</v>
      </c>
      <c r="J254" s="3">
        <f t="shared" si="12"/>
        <v>75</v>
      </c>
    </row>
    <row r="255" spans="1:10" x14ac:dyDescent="0.3">
      <c r="A255" s="2">
        <v>46123</v>
      </c>
      <c r="B255">
        <f t="shared" si="10"/>
        <v>15</v>
      </c>
      <c r="C255" t="s">
        <v>35</v>
      </c>
      <c r="E255" t="s">
        <v>17</v>
      </c>
      <c r="G255" t="str">
        <f>IFERROR(VLOOKUP(E255,Control_Actividades!A:C,2,FALSE),)</f>
        <v>Manzana</v>
      </c>
      <c r="H255">
        <v>0.5</v>
      </c>
      <c r="I255" s="3">
        <f>IFERROR(VLOOKUP(E255,Control_Actividades!A:C,3,FALSE),"")</f>
        <v>110</v>
      </c>
      <c r="J255" s="3">
        <f t="shared" si="12"/>
        <v>55</v>
      </c>
    </row>
    <row r="256" spans="1:10" x14ac:dyDescent="0.3">
      <c r="A256" s="2">
        <v>46123</v>
      </c>
      <c r="B256">
        <f t="shared" si="10"/>
        <v>15</v>
      </c>
      <c r="C256" t="s">
        <v>36</v>
      </c>
      <c r="E256" t="s">
        <v>61</v>
      </c>
      <c r="G256" t="str">
        <f>IFERROR(VLOOKUP(E256,Control_Actividades!A:C,2,FALSE),)</f>
        <v>Dia</v>
      </c>
      <c r="H256">
        <v>1</v>
      </c>
      <c r="I256" s="3">
        <f>IFERROR(VLOOKUP(E256,Control_Actividades!A:C,3,FALSE),"")</f>
        <v>75</v>
      </c>
      <c r="J256" s="3">
        <f t="shared" si="12"/>
        <v>75</v>
      </c>
    </row>
    <row r="257" spans="1:10" x14ac:dyDescent="0.3">
      <c r="A257" s="2">
        <v>46123</v>
      </c>
      <c r="B257">
        <f t="shared" si="10"/>
        <v>15</v>
      </c>
      <c r="C257" t="s">
        <v>37</v>
      </c>
      <c r="E257" t="s">
        <v>62</v>
      </c>
      <c r="G257" t="str">
        <f>IFERROR(VLOOKUP(E257,Control_Actividades!A:C,2,FALSE),)</f>
        <v>Dia</v>
      </c>
      <c r="H257">
        <v>1</v>
      </c>
      <c r="I257" s="3">
        <f>IFERROR(VLOOKUP(E257,Control_Actividades!A:C,3,FALSE),"")</f>
        <v>100</v>
      </c>
      <c r="J257" s="3">
        <f t="shared" si="12"/>
        <v>100</v>
      </c>
    </row>
    <row r="258" spans="1:10" x14ac:dyDescent="0.3">
      <c r="A258" s="2">
        <v>46123</v>
      </c>
      <c r="B258">
        <f t="shared" si="10"/>
        <v>15</v>
      </c>
      <c r="C258" t="s">
        <v>38</v>
      </c>
      <c r="E258" t="s">
        <v>61</v>
      </c>
      <c r="G258" t="str">
        <f>IFERROR(VLOOKUP(E258,Control_Actividades!A:C,2,FALSE),)</f>
        <v>Dia</v>
      </c>
      <c r="H258">
        <v>1</v>
      </c>
      <c r="I258" s="20">
        <f>IFERROR(VLOOKUP(E258,Control_Actividades!A:C,3,FALSE),"")</f>
        <v>75</v>
      </c>
      <c r="J258" s="20">
        <f t="shared" si="12"/>
        <v>75</v>
      </c>
    </row>
    <row r="259" spans="1:10" x14ac:dyDescent="0.3">
      <c r="A259" s="2">
        <v>46123</v>
      </c>
      <c r="B259">
        <f t="shared" ref="B259:B288" si="13">WEEKNUM(A259,2)</f>
        <v>15</v>
      </c>
      <c r="C259" t="s">
        <v>39</v>
      </c>
      <c r="E259" t="s">
        <v>17</v>
      </c>
      <c r="G259" t="str">
        <f>IFERROR(VLOOKUP(E259,Control_Actividades!A:C,2,FALSE),)</f>
        <v>Manzana</v>
      </c>
      <c r="H259">
        <v>0.5</v>
      </c>
      <c r="I259" s="20">
        <f>IFERROR(VLOOKUP(E259,Control_Actividades!A:C,3,FALSE),"")</f>
        <v>110</v>
      </c>
      <c r="J259" s="20">
        <f t="shared" si="12"/>
        <v>55</v>
      </c>
    </row>
    <row r="260" spans="1:10" x14ac:dyDescent="0.3">
      <c r="A260" s="2">
        <v>46123</v>
      </c>
      <c r="B260">
        <f t="shared" si="13"/>
        <v>15</v>
      </c>
      <c r="C260" t="s">
        <v>40</v>
      </c>
      <c r="E260" t="s">
        <v>61</v>
      </c>
      <c r="G260" t="str">
        <f>IFERROR(VLOOKUP(E260,Control_Actividades!A:C,2,FALSE),)</f>
        <v>Dia</v>
      </c>
      <c r="H260">
        <v>1</v>
      </c>
      <c r="I260" s="20">
        <f>IFERROR(VLOOKUP(E260,Control_Actividades!A:C,3,FALSE),"")</f>
        <v>75</v>
      </c>
      <c r="J260" s="20">
        <f t="shared" si="12"/>
        <v>75</v>
      </c>
    </row>
    <row r="261" spans="1:10" x14ac:dyDescent="0.3">
      <c r="A261" s="2">
        <v>46123</v>
      </c>
      <c r="B261">
        <f t="shared" si="13"/>
        <v>15</v>
      </c>
      <c r="C261" t="s">
        <v>41</v>
      </c>
      <c r="E261" t="s">
        <v>61</v>
      </c>
      <c r="G261" t="str">
        <f>IFERROR(VLOOKUP(E261,Control_Actividades!A:C,2,FALSE),)</f>
        <v>Dia</v>
      </c>
      <c r="H261">
        <v>1</v>
      </c>
      <c r="I261" s="20">
        <f>IFERROR(VLOOKUP(E261,Control_Actividades!A:C,3,FALSE),"")</f>
        <v>75</v>
      </c>
      <c r="J261" s="20">
        <f t="shared" si="12"/>
        <v>75</v>
      </c>
    </row>
    <row r="262" spans="1:10" x14ac:dyDescent="0.3">
      <c r="A262" s="2">
        <v>46123</v>
      </c>
      <c r="B262">
        <f t="shared" si="13"/>
        <v>15</v>
      </c>
      <c r="C262" t="s">
        <v>42</v>
      </c>
      <c r="E262" t="s">
        <v>61</v>
      </c>
      <c r="G262" t="str">
        <f>IFERROR(VLOOKUP(E262,Control_Actividades!A:C,2,FALSE),)</f>
        <v>Dia</v>
      </c>
      <c r="H262">
        <v>1</v>
      </c>
      <c r="I262" s="20">
        <f>IFERROR(VLOOKUP(E262,Control_Actividades!A:C,3,FALSE),"")</f>
        <v>75</v>
      </c>
      <c r="J262" s="20">
        <f t="shared" si="12"/>
        <v>75</v>
      </c>
    </row>
    <row r="263" spans="1:10" x14ac:dyDescent="0.3">
      <c r="A263" s="2">
        <v>46123</v>
      </c>
      <c r="B263">
        <f t="shared" si="13"/>
        <v>15</v>
      </c>
      <c r="C263" t="s">
        <v>43</v>
      </c>
      <c r="E263" t="s">
        <v>61</v>
      </c>
      <c r="G263" t="str">
        <f>IFERROR(VLOOKUP(E263,Control_Actividades!A:C,2,FALSE),)</f>
        <v>Dia</v>
      </c>
      <c r="H263">
        <v>1</v>
      </c>
      <c r="I263" s="3">
        <f>IFERROR(VLOOKUP(E263,Control_Actividades!A:C,3,FALSE),"")</f>
        <v>75</v>
      </c>
      <c r="J263" s="3">
        <f t="shared" si="12"/>
        <v>75</v>
      </c>
    </row>
    <row r="264" spans="1:10" x14ac:dyDescent="0.3">
      <c r="A264" s="2">
        <v>46123</v>
      </c>
      <c r="B264">
        <f t="shared" si="13"/>
        <v>15</v>
      </c>
      <c r="C264" t="s">
        <v>44</v>
      </c>
      <c r="E264" t="s">
        <v>61</v>
      </c>
      <c r="G264" t="str">
        <f>IFERROR(VLOOKUP(E264,Control_Actividades!A:C,2,FALSE),)</f>
        <v>Dia</v>
      </c>
      <c r="H264">
        <v>1</v>
      </c>
      <c r="I264" s="3">
        <f>IFERROR(VLOOKUP(E264,Control_Actividades!A:C,3,FALSE),"")</f>
        <v>75</v>
      </c>
      <c r="J264" s="3">
        <f t="shared" si="12"/>
        <v>75</v>
      </c>
    </row>
    <row r="265" spans="1:10" x14ac:dyDescent="0.3">
      <c r="A265" s="2">
        <v>46123</v>
      </c>
      <c r="B265">
        <f t="shared" si="13"/>
        <v>15</v>
      </c>
      <c r="C265" t="s">
        <v>45</v>
      </c>
      <c r="E265" t="s">
        <v>61</v>
      </c>
      <c r="G265" t="str">
        <f>IFERROR(VLOOKUP(E265,Control_Actividades!A:C,2,FALSE),)</f>
        <v>Dia</v>
      </c>
      <c r="H265">
        <v>1</v>
      </c>
      <c r="I265" s="3">
        <f>IFERROR(VLOOKUP(E265,Control_Actividades!A:C,3,FALSE),"")</f>
        <v>75</v>
      </c>
      <c r="J265" s="3">
        <f t="shared" si="12"/>
        <v>75</v>
      </c>
    </row>
    <row r="266" spans="1:10" x14ac:dyDescent="0.3">
      <c r="A266" s="2">
        <v>46123</v>
      </c>
      <c r="B266">
        <f t="shared" si="13"/>
        <v>15</v>
      </c>
      <c r="C266" t="s">
        <v>46</v>
      </c>
      <c r="E266" t="s">
        <v>61</v>
      </c>
      <c r="G266" t="str">
        <f>IFERROR(VLOOKUP(E266,Control_Actividades!A:C,2,FALSE),)</f>
        <v>Dia</v>
      </c>
      <c r="H266">
        <v>0</v>
      </c>
      <c r="I266" s="3">
        <f>IFERROR(VLOOKUP(E266,Control_Actividades!A:C,3,FALSE),"")</f>
        <v>75</v>
      </c>
      <c r="J266" s="3">
        <f t="shared" si="12"/>
        <v>0</v>
      </c>
    </row>
    <row r="267" spans="1:10" x14ac:dyDescent="0.3">
      <c r="A267" s="2">
        <v>46123</v>
      </c>
      <c r="B267">
        <f t="shared" si="13"/>
        <v>15</v>
      </c>
      <c r="C267" t="s">
        <v>47</v>
      </c>
      <c r="E267" t="s">
        <v>61</v>
      </c>
      <c r="G267" t="str">
        <f>IFERROR(VLOOKUP(E267,Control_Actividades!A:C,2,FALSE),)</f>
        <v>Dia</v>
      </c>
      <c r="H267">
        <v>1</v>
      </c>
      <c r="I267" s="3">
        <f>IFERROR(VLOOKUP(E267,Control_Actividades!A:C,3,FALSE),"")</f>
        <v>75</v>
      </c>
      <c r="J267" s="3">
        <f t="shared" si="12"/>
        <v>75</v>
      </c>
    </row>
    <row r="268" spans="1:10" x14ac:dyDescent="0.3">
      <c r="A268" s="2">
        <v>46123</v>
      </c>
      <c r="B268">
        <f t="shared" si="13"/>
        <v>15</v>
      </c>
      <c r="C268" t="s">
        <v>48</v>
      </c>
      <c r="E268" t="s">
        <v>62</v>
      </c>
      <c r="G268" t="str">
        <f>IFERROR(VLOOKUP(E268,Control_Actividades!A:C,2,FALSE),)</f>
        <v>Dia</v>
      </c>
      <c r="H268">
        <v>1</v>
      </c>
      <c r="I268" s="3">
        <f>IFERROR(VLOOKUP(E268,Control_Actividades!A:C,3,FALSE),"")</f>
        <v>100</v>
      </c>
      <c r="J268" s="3">
        <f t="shared" si="12"/>
        <v>100</v>
      </c>
    </row>
    <row r="269" spans="1:10" x14ac:dyDescent="0.3">
      <c r="A269" s="2">
        <v>46123</v>
      </c>
      <c r="B269">
        <f t="shared" si="13"/>
        <v>15</v>
      </c>
      <c r="C269" t="s">
        <v>49</v>
      </c>
      <c r="E269" t="s">
        <v>61</v>
      </c>
      <c r="G269" t="str">
        <f>IFERROR(VLOOKUP(E269,Control_Actividades!A:C,2,FALSE),)</f>
        <v>Dia</v>
      </c>
      <c r="H269">
        <v>1</v>
      </c>
      <c r="I269" s="3">
        <f>IFERROR(VLOOKUP(E269,Control_Actividades!A:C,3,FALSE),"")</f>
        <v>75</v>
      </c>
      <c r="J269" s="3">
        <f t="shared" si="12"/>
        <v>75</v>
      </c>
    </row>
    <row r="270" spans="1:10" x14ac:dyDescent="0.3">
      <c r="A270" s="2">
        <v>46123</v>
      </c>
      <c r="B270">
        <f t="shared" si="13"/>
        <v>15</v>
      </c>
      <c r="C270" t="s">
        <v>50</v>
      </c>
      <c r="E270" t="s">
        <v>61</v>
      </c>
      <c r="G270" t="str">
        <f>IFERROR(VLOOKUP(E270,Control_Actividades!A:C,2,FALSE),)</f>
        <v>Dia</v>
      </c>
      <c r="H270">
        <v>1</v>
      </c>
      <c r="I270" s="3">
        <f>IFERROR(VLOOKUP(E270,Control_Actividades!A:C,3,FALSE),"")</f>
        <v>75</v>
      </c>
      <c r="J270" s="3">
        <f t="shared" si="12"/>
        <v>75</v>
      </c>
    </row>
    <row r="271" spans="1:10" x14ac:dyDescent="0.3">
      <c r="A271" s="2">
        <v>46123</v>
      </c>
      <c r="B271">
        <f t="shared" si="13"/>
        <v>15</v>
      </c>
      <c r="C271" t="s">
        <v>51</v>
      </c>
      <c r="E271" t="s">
        <v>61</v>
      </c>
      <c r="G271" t="str">
        <f>IFERROR(VLOOKUP(E271,Control_Actividades!A:C,2,FALSE),)</f>
        <v>Dia</v>
      </c>
      <c r="H271">
        <v>1</v>
      </c>
      <c r="I271" s="20">
        <f>IFERROR(VLOOKUP(E271,Control_Actividades!A:C,3,FALSE),"")</f>
        <v>75</v>
      </c>
      <c r="J271" s="20">
        <f t="shared" si="12"/>
        <v>75</v>
      </c>
    </row>
    <row r="272" spans="1:10" x14ac:dyDescent="0.3">
      <c r="J272" s="7">
        <f>SUM(J2:J271)</f>
        <v>15657.5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Control_Actividades!$A$2:$A$6</xm:f>
          </x14:formula1>
          <xm:sqref>E2:E271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B11" sqref="B11"/>
    </sheetView>
  </sheetViews>
  <sheetFormatPr baseColWidth="10" defaultColWidth="8.88671875" defaultRowHeight="14.4" x14ac:dyDescent="0.3"/>
  <cols>
    <col min="1" max="3" width="22" customWidth="1"/>
  </cols>
  <sheetData>
    <row r="1" spans="1:3" x14ac:dyDescent="0.3">
      <c r="A1" s="1" t="s">
        <v>4</v>
      </c>
      <c r="B1" s="1" t="s">
        <v>6</v>
      </c>
      <c r="C1" s="1" t="s">
        <v>8</v>
      </c>
    </row>
    <row r="2" spans="1:3" x14ac:dyDescent="0.3">
      <c r="A2" t="s">
        <v>10</v>
      </c>
      <c r="B2" t="s">
        <v>11</v>
      </c>
      <c r="C2">
        <v>70</v>
      </c>
    </row>
    <row r="3" spans="1:3" x14ac:dyDescent="0.3">
      <c r="A3" t="s">
        <v>12</v>
      </c>
      <c r="B3" t="s">
        <v>11</v>
      </c>
      <c r="C3">
        <v>35</v>
      </c>
    </row>
    <row r="4" spans="1:3" x14ac:dyDescent="0.3">
      <c r="A4" t="s">
        <v>13</v>
      </c>
      <c r="B4" t="s">
        <v>14</v>
      </c>
      <c r="C4">
        <v>150</v>
      </c>
    </row>
    <row r="5" spans="1:3" x14ac:dyDescent="0.3">
      <c r="A5" t="s">
        <v>15</v>
      </c>
      <c r="B5" t="s">
        <v>16</v>
      </c>
      <c r="C5">
        <v>50</v>
      </c>
    </row>
    <row r="6" spans="1:3" x14ac:dyDescent="0.3">
      <c r="A6" t="s">
        <v>17</v>
      </c>
      <c r="B6" t="s">
        <v>57</v>
      </c>
      <c r="C6">
        <v>110</v>
      </c>
    </row>
    <row r="7" spans="1:3" x14ac:dyDescent="0.3">
      <c r="A7" t="s">
        <v>52</v>
      </c>
      <c r="B7" t="s">
        <v>53</v>
      </c>
      <c r="C7">
        <v>130</v>
      </c>
    </row>
    <row r="8" spans="1:3" x14ac:dyDescent="0.3">
      <c r="A8" t="s">
        <v>55</v>
      </c>
      <c r="B8" t="s">
        <v>53</v>
      </c>
      <c r="C8">
        <v>100</v>
      </c>
    </row>
    <row r="9" spans="1:3" x14ac:dyDescent="0.3">
      <c r="A9" t="s">
        <v>60</v>
      </c>
      <c r="B9" t="s">
        <v>53</v>
      </c>
      <c r="C9">
        <v>75</v>
      </c>
    </row>
    <row r="10" spans="1:3" x14ac:dyDescent="0.3">
      <c r="A10" t="s">
        <v>77</v>
      </c>
      <c r="B10" t="s">
        <v>57</v>
      </c>
      <c r="C10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20" customWidth="1"/>
    <col min="2" max="2" width="27.33203125" bestFit="1" customWidth="1"/>
    <col min="3" max="6" width="20" customWidth="1"/>
  </cols>
  <sheetData>
    <row r="1" spans="1:6" x14ac:dyDescent="0.3">
      <c r="A1" s="1" t="s">
        <v>1</v>
      </c>
      <c r="B1" s="1" t="s">
        <v>2</v>
      </c>
      <c r="C1" s="1" t="s">
        <v>9</v>
      </c>
      <c r="D1" s="1" t="s">
        <v>18</v>
      </c>
      <c r="E1" s="1" t="s">
        <v>19</v>
      </c>
      <c r="F1" s="1" t="s">
        <v>20</v>
      </c>
    </row>
    <row r="2" spans="1:6" x14ac:dyDescent="0.3">
      <c r="A2">
        <v>14</v>
      </c>
      <c r="B2" t="s">
        <v>22</v>
      </c>
      <c r="C2" s="3">
        <f>SUMIFS(Registro_Actividades!J:J,Registro_Actividades!C:C,B2,Registro_Actividades!B:B,A2)</f>
        <v>390</v>
      </c>
      <c r="F2" s="3">
        <f t="shared" ref="F2:F33" si="0">C2+D2-E2</f>
        <v>390</v>
      </c>
    </row>
    <row r="3" spans="1:6" x14ac:dyDescent="0.3">
      <c r="A3">
        <v>14</v>
      </c>
      <c r="B3" t="s">
        <v>23</v>
      </c>
      <c r="C3" s="3">
        <f>SUMIFS(Registro_Actividades!J:J,Registro_Actividades!C:C,B3,Registro_Actividades!B:B,A3)</f>
        <v>150.5</v>
      </c>
      <c r="F3" s="3">
        <f t="shared" si="0"/>
        <v>150.5</v>
      </c>
    </row>
    <row r="4" spans="1:6" x14ac:dyDescent="0.3">
      <c r="A4">
        <v>14</v>
      </c>
      <c r="B4" t="s">
        <v>24</v>
      </c>
      <c r="C4" s="3">
        <f>SUMIFS(Registro_Actividades!J:J,Registro_Actividades!C:C,B4,Registro_Actividades!B:B,A4)</f>
        <v>157.5</v>
      </c>
      <c r="F4" s="3">
        <f t="shared" si="0"/>
        <v>157.5</v>
      </c>
    </row>
    <row r="5" spans="1:6" x14ac:dyDescent="0.3">
      <c r="A5">
        <v>14</v>
      </c>
      <c r="B5" t="s">
        <v>25</v>
      </c>
      <c r="C5" s="3">
        <f>SUMIFS(Registro_Actividades!J:J,Registro_Actividades!C:C,B5,Registro_Actividades!B:B,A5)</f>
        <v>171.5</v>
      </c>
      <c r="F5" s="3">
        <f t="shared" si="0"/>
        <v>171.5</v>
      </c>
    </row>
    <row r="6" spans="1:6" x14ac:dyDescent="0.3">
      <c r="A6">
        <v>14</v>
      </c>
      <c r="B6" t="s">
        <v>26</v>
      </c>
      <c r="C6" s="3">
        <f>SUMIFS(Registro_Actividades!J:J,Registro_Actividades!C:C,B6,Registro_Actividades!B:B,A6)</f>
        <v>143.5</v>
      </c>
      <c r="F6" s="3">
        <f t="shared" si="0"/>
        <v>143.5</v>
      </c>
    </row>
    <row r="7" spans="1:6" x14ac:dyDescent="0.3">
      <c r="A7">
        <v>14</v>
      </c>
      <c r="B7" t="s">
        <v>27</v>
      </c>
      <c r="C7" s="3">
        <f>SUMIFS(Registro_Actividades!J:J,Registro_Actividades!C:C,B7,Registro_Actividades!B:B,A7)</f>
        <v>164.5</v>
      </c>
      <c r="F7" s="3">
        <f t="shared" si="0"/>
        <v>164.5</v>
      </c>
    </row>
    <row r="8" spans="1:6" x14ac:dyDescent="0.3">
      <c r="A8">
        <v>14</v>
      </c>
      <c r="B8" t="s">
        <v>28</v>
      </c>
      <c r="C8" s="3">
        <f>SUMIFS(Registro_Actividades!J:J,Registro_Actividades!C:C,B8,Registro_Actividades!B:B,A8)</f>
        <v>234.5</v>
      </c>
      <c r="F8" s="3">
        <f t="shared" si="0"/>
        <v>234.5</v>
      </c>
    </row>
    <row r="9" spans="1:6" x14ac:dyDescent="0.3">
      <c r="A9">
        <v>14</v>
      </c>
      <c r="B9" t="s">
        <v>29</v>
      </c>
      <c r="C9" s="3">
        <f>SUMIFS(Registro_Actividades!J:J,Registro_Actividades!C:C,B9,Registro_Actividades!B:B,A9)</f>
        <v>91</v>
      </c>
      <c r="F9" s="3">
        <f t="shared" si="0"/>
        <v>91</v>
      </c>
    </row>
    <row r="10" spans="1:6" x14ac:dyDescent="0.3">
      <c r="A10">
        <v>14</v>
      </c>
      <c r="B10" t="s">
        <v>30</v>
      </c>
      <c r="C10" s="3">
        <f>SUMIFS(Registro_Actividades!J:J,Registro_Actividades!C:C,B10,Registro_Actividades!B:B,A10)</f>
        <v>168</v>
      </c>
      <c r="F10" s="3">
        <f t="shared" si="0"/>
        <v>168</v>
      </c>
    </row>
    <row r="11" spans="1:6" x14ac:dyDescent="0.3">
      <c r="A11">
        <v>14</v>
      </c>
      <c r="B11" t="s">
        <v>31</v>
      </c>
      <c r="C11" s="3">
        <f>SUMIFS(Registro_Actividades!J:J,Registro_Actividades!C:C,B11,Registro_Actividades!B:B,A11)</f>
        <v>164.5</v>
      </c>
      <c r="F11" s="3">
        <f t="shared" si="0"/>
        <v>164.5</v>
      </c>
    </row>
    <row r="12" spans="1:6" x14ac:dyDescent="0.3">
      <c r="A12">
        <v>14</v>
      </c>
      <c r="B12" t="s">
        <v>32</v>
      </c>
      <c r="C12" s="3">
        <f>SUMIFS(Registro_Actividades!J:J,Registro_Actividades!C:C,B12,Registro_Actividades!B:B,A12)</f>
        <v>98</v>
      </c>
      <c r="F12" s="3">
        <f t="shared" si="0"/>
        <v>98</v>
      </c>
    </row>
    <row r="13" spans="1:6" x14ac:dyDescent="0.3">
      <c r="A13">
        <v>14</v>
      </c>
      <c r="B13" t="s">
        <v>33</v>
      </c>
      <c r="C13" s="3">
        <f>SUMIFS(Registro_Actividades!J:J,Registro_Actividades!C:C,B13,Registro_Actividades!B:B,A13)</f>
        <v>98</v>
      </c>
      <c r="F13" s="3">
        <f t="shared" si="0"/>
        <v>98</v>
      </c>
    </row>
    <row r="14" spans="1:6" x14ac:dyDescent="0.3">
      <c r="A14">
        <v>14</v>
      </c>
      <c r="B14" t="s">
        <v>34</v>
      </c>
      <c r="C14" s="3">
        <f>SUMIFS(Registro_Actividades!J:J,Registro_Actividades!C:C,B14,Registro_Actividades!B:B,A14)</f>
        <v>140</v>
      </c>
      <c r="F14" s="3">
        <f t="shared" si="0"/>
        <v>140</v>
      </c>
    </row>
    <row r="15" spans="1:6" x14ac:dyDescent="0.3">
      <c r="A15">
        <v>14</v>
      </c>
      <c r="B15" t="s">
        <v>35</v>
      </c>
      <c r="C15" s="3">
        <f>SUMIFS(Registro_Actividades!J:J,Registro_Actividades!C:C,B15,Registro_Actividades!B:B,A15)</f>
        <v>165</v>
      </c>
      <c r="F15" s="3">
        <f t="shared" si="0"/>
        <v>165</v>
      </c>
    </row>
    <row r="16" spans="1:6" x14ac:dyDescent="0.3">
      <c r="A16">
        <v>14</v>
      </c>
      <c r="B16" t="s">
        <v>36</v>
      </c>
      <c r="C16" s="3">
        <f>SUMIFS(Registro_Actividades!J:J,Registro_Actividades!C:C,B16,Registro_Actividades!B:B,A16)</f>
        <v>172.25</v>
      </c>
      <c r="F16" s="3">
        <f t="shared" si="0"/>
        <v>172.25</v>
      </c>
    </row>
    <row r="17" spans="1:6" x14ac:dyDescent="0.3">
      <c r="A17">
        <v>14</v>
      </c>
      <c r="B17" t="s">
        <v>37</v>
      </c>
      <c r="C17" s="3">
        <f>SUMIFS(Registro_Actividades!J:J,Registro_Actividades!C:C,B17,Registro_Actividades!B:B,A17)</f>
        <v>300</v>
      </c>
      <c r="F17" s="3">
        <f t="shared" si="0"/>
        <v>300</v>
      </c>
    </row>
    <row r="18" spans="1:6" x14ac:dyDescent="0.3">
      <c r="A18">
        <v>14</v>
      </c>
      <c r="B18" t="s">
        <v>38</v>
      </c>
      <c r="C18" s="3">
        <f>SUMIFS(Registro_Actividades!J:J,Registro_Actividades!C:C,B18,Registro_Actividades!B:B,A18)</f>
        <v>63</v>
      </c>
      <c r="F18" s="3">
        <f t="shared" si="0"/>
        <v>63</v>
      </c>
    </row>
    <row r="19" spans="1:6" x14ac:dyDescent="0.3">
      <c r="A19">
        <v>14</v>
      </c>
      <c r="B19" t="s">
        <v>39</v>
      </c>
      <c r="C19" s="3">
        <f>SUMIFS(Registro_Actividades!J:J,Registro_Actividades!C:C,B19,Registro_Actividades!B:B,A19)</f>
        <v>165</v>
      </c>
      <c r="F19" s="3">
        <f t="shared" si="0"/>
        <v>165</v>
      </c>
    </row>
    <row r="20" spans="1:6" x14ac:dyDescent="0.3">
      <c r="A20">
        <v>14</v>
      </c>
      <c r="B20" t="s">
        <v>40</v>
      </c>
      <c r="C20" s="3">
        <f>SUMIFS(Registro_Actividades!J:J,Registro_Actividades!C:C,B20,Registro_Actividades!B:B,A20)</f>
        <v>94.5</v>
      </c>
      <c r="F20" s="3">
        <f t="shared" si="0"/>
        <v>94.5</v>
      </c>
    </row>
    <row r="21" spans="1:6" x14ac:dyDescent="0.3">
      <c r="A21">
        <v>14</v>
      </c>
      <c r="B21" t="s">
        <v>41</v>
      </c>
      <c r="C21" s="3">
        <f>SUMIFS(Registro_Actividades!J:J,Registro_Actividades!C:C,B21,Registro_Actividades!B:B,A21)</f>
        <v>185.5</v>
      </c>
      <c r="F21" s="3">
        <f t="shared" si="0"/>
        <v>185.5</v>
      </c>
    </row>
    <row r="22" spans="1:6" x14ac:dyDescent="0.3">
      <c r="A22">
        <v>14</v>
      </c>
      <c r="B22" t="s">
        <v>42</v>
      </c>
      <c r="C22" s="3">
        <f>SUMIFS(Registro_Actividades!J:J,Registro_Actividades!C:C,B22,Registro_Actividades!B:B,A22)</f>
        <v>94.5</v>
      </c>
      <c r="F22" s="3">
        <f t="shared" si="0"/>
        <v>94.5</v>
      </c>
    </row>
    <row r="23" spans="1:6" x14ac:dyDescent="0.3">
      <c r="A23">
        <v>14</v>
      </c>
      <c r="B23" t="s">
        <v>43</v>
      </c>
      <c r="C23" s="3">
        <f>SUMIFS(Registro_Actividades!J:J,Registro_Actividades!C:C,B23,Registro_Actividades!B:B,A23)</f>
        <v>101.5</v>
      </c>
      <c r="F23" s="3">
        <f t="shared" si="0"/>
        <v>101.5</v>
      </c>
    </row>
    <row r="24" spans="1:6" x14ac:dyDescent="0.3">
      <c r="A24">
        <v>14</v>
      </c>
      <c r="B24" t="s">
        <v>44</v>
      </c>
      <c r="C24" s="3">
        <f>SUMIFS(Registro_Actividades!J:J,Registro_Actividades!C:C,B24,Registro_Actividades!B:B,A24)</f>
        <v>140.25</v>
      </c>
      <c r="F24" s="3">
        <f t="shared" si="0"/>
        <v>140.25</v>
      </c>
    </row>
    <row r="25" spans="1:6" x14ac:dyDescent="0.3">
      <c r="A25">
        <v>14</v>
      </c>
      <c r="B25" t="s">
        <v>45</v>
      </c>
      <c r="C25" s="3">
        <f>SUMIFS(Registro_Actividades!J:J,Registro_Actividades!C:C,B25,Registro_Actividades!B:B,A25)</f>
        <v>143.5</v>
      </c>
      <c r="F25" s="3">
        <f t="shared" si="0"/>
        <v>143.5</v>
      </c>
    </row>
    <row r="26" spans="1:6" x14ac:dyDescent="0.3">
      <c r="A26">
        <v>14</v>
      </c>
      <c r="B26" t="s">
        <v>46</v>
      </c>
      <c r="C26" s="3">
        <f>SUMIFS(Registro_Actividades!J:J,Registro_Actividades!C:C,B26,Registro_Actividades!B:B,A26)</f>
        <v>101.5</v>
      </c>
      <c r="F26" s="3">
        <f t="shared" si="0"/>
        <v>101.5</v>
      </c>
    </row>
    <row r="27" spans="1:6" x14ac:dyDescent="0.3">
      <c r="A27">
        <v>14</v>
      </c>
      <c r="B27" t="s">
        <v>47</v>
      </c>
      <c r="C27" s="3">
        <f>SUMIFS(Registro_Actividades!J:J,Registro_Actividades!C:C,B27,Registro_Actividades!B:B,A27)</f>
        <v>178.5</v>
      </c>
      <c r="F27" s="3">
        <f t="shared" si="0"/>
        <v>178.5</v>
      </c>
    </row>
    <row r="28" spans="1:6" x14ac:dyDescent="0.3">
      <c r="A28">
        <v>14</v>
      </c>
      <c r="B28" t="s">
        <v>48</v>
      </c>
      <c r="C28" s="3">
        <f>SUMIFS(Registro_Actividades!J:J,Registro_Actividades!C:C,B28,Registro_Actividades!B:B,A28)</f>
        <v>192.5</v>
      </c>
      <c r="F28" s="3">
        <f t="shared" si="0"/>
        <v>192.5</v>
      </c>
    </row>
    <row r="29" spans="1:6" x14ac:dyDescent="0.3">
      <c r="A29">
        <v>14</v>
      </c>
      <c r="B29" t="s">
        <v>49</v>
      </c>
      <c r="C29" s="3">
        <f>SUMIFS(Registro_Actividades!J:J,Registro_Actividades!C:C,B29,Registro_Actividades!B:B,A29)</f>
        <v>168</v>
      </c>
      <c r="F29" s="3">
        <f t="shared" si="0"/>
        <v>168</v>
      </c>
    </row>
    <row r="30" spans="1:6" x14ac:dyDescent="0.3">
      <c r="A30">
        <v>14</v>
      </c>
      <c r="B30" t="s">
        <v>50</v>
      </c>
      <c r="C30" s="3">
        <f>SUMIFS(Registro_Actividades!J:J,Registro_Actividades!C:C,B30,Registro_Actividades!B:B,A30)</f>
        <v>108.5</v>
      </c>
      <c r="F30" s="3">
        <f t="shared" si="0"/>
        <v>108.5</v>
      </c>
    </row>
    <row r="31" spans="1:6" x14ac:dyDescent="0.3">
      <c r="A31">
        <v>14</v>
      </c>
      <c r="B31" t="s">
        <v>51</v>
      </c>
      <c r="C31" s="3">
        <f>SUMIFS(Registro_Actividades!J:J,Registro_Actividades!C:C,B31,Registro_Actividades!B:B,A31)</f>
        <v>87.5</v>
      </c>
      <c r="F31" s="3">
        <f t="shared" si="0"/>
        <v>87.5</v>
      </c>
    </row>
    <row r="32" spans="1:6" x14ac:dyDescent="0.3">
      <c r="A32">
        <v>15</v>
      </c>
      <c r="B32" t="s">
        <v>22</v>
      </c>
      <c r="C32" s="3">
        <f>SUMIFS(Registro_Actividades!J:J,Registro_Actividades!C:C,B32,Registro_Actividades!B:B,A32)</f>
        <v>780</v>
      </c>
      <c r="F32" s="3">
        <f t="shared" si="0"/>
        <v>780</v>
      </c>
    </row>
    <row r="33" spans="1:6" x14ac:dyDescent="0.3">
      <c r="A33">
        <v>15</v>
      </c>
      <c r="B33" t="s">
        <v>23</v>
      </c>
      <c r="C33" s="3">
        <f>SUMIFS(Registro_Actividades!J:J,Registro_Actividades!C:C,B33,Registro_Actividades!B:B,A33)</f>
        <v>352.5</v>
      </c>
      <c r="F33" s="3">
        <f t="shared" si="0"/>
        <v>352.5</v>
      </c>
    </row>
    <row r="34" spans="1:6" x14ac:dyDescent="0.3">
      <c r="A34">
        <v>15</v>
      </c>
      <c r="B34" t="s">
        <v>24</v>
      </c>
      <c r="C34" s="3">
        <f>SUMIFS(Registro_Actividades!J:J,Registro_Actividades!C:C,B34,Registro_Actividades!B:B,A34)</f>
        <v>344</v>
      </c>
      <c r="F34" s="3">
        <f t="shared" ref="F34:F61" si="1">C34+D34-E34</f>
        <v>344</v>
      </c>
    </row>
    <row r="35" spans="1:6" x14ac:dyDescent="0.3">
      <c r="A35">
        <v>15</v>
      </c>
      <c r="B35" t="s">
        <v>25</v>
      </c>
      <c r="C35" s="3">
        <f>SUMIFS(Registro_Actividades!J:J,Registro_Actividades!C:C,B35,Registro_Actividades!B:B,A35)</f>
        <v>328</v>
      </c>
      <c r="F35" s="3">
        <f t="shared" si="1"/>
        <v>328</v>
      </c>
    </row>
    <row r="36" spans="1:6" x14ac:dyDescent="0.3">
      <c r="A36">
        <v>15</v>
      </c>
      <c r="B36" t="s">
        <v>26</v>
      </c>
      <c r="C36" s="3">
        <f>SUMIFS(Registro_Actividades!J:J,Registro_Actividades!C:C,B36,Registro_Actividades!B:B,A36)</f>
        <v>323</v>
      </c>
      <c r="F36" s="3">
        <f t="shared" si="1"/>
        <v>323</v>
      </c>
    </row>
    <row r="37" spans="1:6" x14ac:dyDescent="0.3">
      <c r="A37">
        <v>15</v>
      </c>
      <c r="B37" t="s">
        <v>27</v>
      </c>
      <c r="C37" s="3">
        <f>SUMIFS(Registro_Actividades!J:J,Registro_Actividades!C:C,B37,Registro_Actividades!B:B,A37)</f>
        <v>372</v>
      </c>
      <c r="F37" s="3">
        <f t="shared" si="1"/>
        <v>372</v>
      </c>
    </row>
    <row r="38" spans="1:6" x14ac:dyDescent="0.3">
      <c r="A38">
        <v>15</v>
      </c>
      <c r="B38" t="s">
        <v>28</v>
      </c>
      <c r="C38" s="3">
        <f>SUMIFS(Registro_Actividades!J:J,Registro_Actividades!C:C,B38,Registro_Actividades!B:B,A38)</f>
        <v>373.5</v>
      </c>
      <c r="F38" s="3">
        <f t="shared" si="1"/>
        <v>373.5</v>
      </c>
    </row>
    <row r="39" spans="1:6" x14ac:dyDescent="0.3">
      <c r="A39">
        <v>15</v>
      </c>
      <c r="B39" t="s">
        <v>29</v>
      </c>
      <c r="C39" s="3">
        <f>SUMIFS(Registro_Actividades!J:J,Registro_Actividades!C:C,B39,Registro_Actividades!B:B,A39)</f>
        <v>323</v>
      </c>
      <c r="F39" s="3">
        <f t="shared" si="1"/>
        <v>323</v>
      </c>
    </row>
    <row r="40" spans="1:6" x14ac:dyDescent="0.3">
      <c r="A40">
        <v>15</v>
      </c>
      <c r="B40" t="s">
        <v>30</v>
      </c>
      <c r="C40" s="3">
        <f>SUMIFS(Registro_Actividades!J:J,Registro_Actividades!C:C,B40,Registro_Actividades!B:B,A40)</f>
        <v>360</v>
      </c>
      <c r="F40" s="3">
        <f t="shared" si="1"/>
        <v>360</v>
      </c>
    </row>
    <row r="41" spans="1:6" x14ac:dyDescent="0.3">
      <c r="A41">
        <v>15</v>
      </c>
      <c r="B41" t="s">
        <v>31</v>
      </c>
      <c r="C41" s="3">
        <f>SUMIFS(Registro_Actividades!J:J,Registro_Actividades!C:C,B41,Registro_Actividades!B:B,A41)</f>
        <v>345.5</v>
      </c>
      <c r="F41" s="3">
        <f t="shared" si="1"/>
        <v>345.5</v>
      </c>
    </row>
    <row r="42" spans="1:6" x14ac:dyDescent="0.3">
      <c r="A42">
        <v>15</v>
      </c>
      <c r="B42" t="s">
        <v>32</v>
      </c>
      <c r="C42" s="3">
        <f>SUMIFS(Registro_Actividades!J:J,Registro_Actividades!C:C,B42,Registro_Actividades!B:B,A42)</f>
        <v>317.5</v>
      </c>
      <c r="F42" s="3">
        <f t="shared" si="1"/>
        <v>317.5</v>
      </c>
    </row>
    <row r="43" spans="1:6" x14ac:dyDescent="0.3">
      <c r="A43">
        <v>15</v>
      </c>
      <c r="B43" t="s">
        <v>33</v>
      </c>
      <c r="C43" s="3">
        <f>SUMIFS(Registro_Actividades!J:J,Registro_Actividades!C:C,B43,Registro_Actividades!B:B,A43)</f>
        <v>305.5</v>
      </c>
      <c r="F43" s="3">
        <f t="shared" si="1"/>
        <v>305.5</v>
      </c>
    </row>
    <row r="44" spans="1:6" x14ac:dyDescent="0.3">
      <c r="A44">
        <v>15</v>
      </c>
      <c r="B44" t="s">
        <v>34</v>
      </c>
      <c r="C44" s="3">
        <f>SUMIFS(Registro_Actividades!J:J,Registro_Actividades!C:C,B44,Registro_Actividades!B:B,A44)</f>
        <v>331.5</v>
      </c>
      <c r="F44" s="3">
        <f t="shared" si="1"/>
        <v>331.5</v>
      </c>
    </row>
    <row r="45" spans="1:6" x14ac:dyDescent="0.3">
      <c r="A45">
        <v>15</v>
      </c>
      <c r="B45" t="s">
        <v>35</v>
      </c>
      <c r="C45" s="3">
        <f>SUMIFS(Registro_Actividades!J:J,Registro_Actividades!C:C,B45,Registro_Actividades!B:B,A45)</f>
        <v>330</v>
      </c>
      <c r="F45" s="3">
        <f t="shared" si="1"/>
        <v>330</v>
      </c>
    </row>
    <row r="46" spans="1:6" x14ac:dyDescent="0.3">
      <c r="A46">
        <v>15</v>
      </c>
      <c r="B46" t="s">
        <v>36</v>
      </c>
      <c r="C46" s="3">
        <f>SUMIFS(Registro_Actividades!J:J,Registro_Actividades!C:C,B46,Registro_Actividades!B:B,A46)</f>
        <v>363.75</v>
      </c>
      <c r="F46" s="3">
        <f t="shared" si="1"/>
        <v>363.75</v>
      </c>
    </row>
    <row r="47" spans="1:6" x14ac:dyDescent="0.3">
      <c r="A47">
        <v>15</v>
      </c>
      <c r="B47" t="s">
        <v>37</v>
      </c>
      <c r="C47" s="3">
        <f>SUMIFS(Registro_Actividades!J:J,Registro_Actividades!C:C,B47,Registro_Actividades!B:B,A47)</f>
        <v>600</v>
      </c>
      <c r="F47" s="3">
        <f t="shared" si="1"/>
        <v>600</v>
      </c>
    </row>
    <row r="48" spans="1:6" x14ac:dyDescent="0.3">
      <c r="A48">
        <v>15</v>
      </c>
      <c r="B48" t="s">
        <v>38</v>
      </c>
      <c r="C48" s="3">
        <f>SUMIFS(Registro_Actividades!J:J,Registro_Actividades!C:C,B48,Registro_Actividades!B:B,A48)</f>
        <v>442.5</v>
      </c>
      <c r="F48" s="3">
        <f t="shared" si="1"/>
        <v>442.5</v>
      </c>
    </row>
    <row r="49" spans="1:6" x14ac:dyDescent="0.3">
      <c r="A49">
        <v>15</v>
      </c>
      <c r="B49" t="s">
        <v>39</v>
      </c>
      <c r="C49" s="3">
        <f>SUMIFS(Registro_Actividades!J:J,Registro_Actividades!C:C,B49,Registro_Actividades!B:B,A49)</f>
        <v>330</v>
      </c>
      <c r="F49" s="3">
        <f t="shared" si="1"/>
        <v>330</v>
      </c>
    </row>
    <row r="50" spans="1:6" x14ac:dyDescent="0.3">
      <c r="A50">
        <v>15</v>
      </c>
      <c r="B50" t="s">
        <v>40</v>
      </c>
      <c r="C50" s="3">
        <f>SUMIFS(Registro_Actividades!J:J,Registro_Actividades!C:C,B50,Registro_Actividades!B:B,A50)</f>
        <v>319.5</v>
      </c>
      <c r="F50" s="3">
        <f t="shared" si="1"/>
        <v>319.5</v>
      </c>
    </row>
    <row r="51" spans="1:6" x14ac:dyDescent="0.3">
      <c r="A51">
        <v>15</v>
      </c>
      <c r="B51" t="s">
        <v>41</v>
      </c>
      <c r="C51" s="3">
        <f>SUMIFS(Registro_Actividades!J:J,Registro_Actividades!C:C,B51,Registro_Actividades!B:B,A51)</f>
        <v>345.5</v>
      </c>
      <c r="F51" s="3">
        <f t="shared" si="1"/>
        <v>345.5</v>
      </c>
    </row>
    <row r="52" spans="1:6" x14ac:dyDescent="0.3">
      <c r="A52">
        <v>15</v>
      </c>
      <c r="B52" t="s">
        <v>42</v>
      </c>
      <c r="C52" s="3">
        <f>SUMIFS(Registro_Actividades!J:J,Registro_Actividades!C:C,B52,Registro_Actividades!B:B,A52)</f>
        <v>331.5</v>
      </c>
      <c r="F52" s="3">
        <f t="shared" si="1"/>
        <v>331.5</v>
      </c>
    </row>
    <row r="53" spans="1:6" x14ac:dyDescent="0.3">
      <c r="A53">
        <v>15</v>
      </c>
      <c r="B53" t="s">
        <v>43</v>
      </c>
      <c r="C53" s="3">
        <f>SUMIFS(Registro_Actividades!J:J,Registro_Actividades!C:C,B53,Registro_Actividades!B:B,A53)</f>
        <v>321</v>
      </c>
      <c r="F53" s="3">
        <f t="shared" si="1"/>
        <v>321</v>
      </c>
    </row>
    <row r="54" spans="1:6" x14ac:dyDescent="0.3">
      <c r="A54">
        <v>15</v>
      </c>
      <c r="B54" t="s">
        <v>44</v>
      </c>
      <c r="C54" s="3">
        <f>SUMIFS(Registro_Actividades!J:J,Registro_Actividades!C:C,B54,Registro_Actividades!B:B,A54)</f>
        <v>326.25</v>
      </c>
      <c r="F54" s="3">
        <f t="shared" si="1"/>
        <v>326.25</v>
      </c>
    </row>
    <row r="55" spans="1:6" x14ac:dyDescent="0.3">
      <c r="A55">
        <v>15</v>
      </c>
      <c r="B55" t="s">
        <v>45</v>
      </c>
      <c r="C55" s="3">
        <f>SUMIFS(Registro_Actividades!J:J,Registro_Actividades!C:C,B55,Registro_Actividades!B:B,A55)</f>
        <v>314</v>
      </c>
      <c r="F55" s="3">
        <f t="shared" si="1"/>
        <v>314</v>
      </c>
    </row>
    <row r="56" spans="1:6" x14ac:dyDescent="0.3">
      <c r="A56">
        <v>15</v>
      </c>
      <c r="B56" t="s">
        <v>46</v>
      </c>
      <c r="C56" s="3">
        <f>SUMIFS(Registro_Actividades!J:J,Registro_Actividades!C:C,B56,Registro_Actividades!B:B,A56)</f>
        <v>251.5</v>
      </c>
      <c r="F56" s="3">
        <f t="shared" si="1"/>
        <v>251.5</v>
      </c>
    </row>
    <row r="57" spans="1:6" x14ac:dyDescent="0.3">
      <c r="A57">
        <v>15</v>
      </c>
      <c r="B57" t="s">
        <v>47</v>
      </c>
      <c r="C57" s="3">
        <f>SUMIFS(Registro_Actividades!J:J,Registro_Actividades!C:C,B57,Registro_Actividades!B:B,A57)</f>
        <v>379</v>
      </c>
      <c r="F57" s="3">
        <f t="shared" si="1"/>
        <v>379</v>
      </c>
    </row>
    <row r="58" spans="1:6" x14ac:dyDescent="0.3">
      <c r="A58">
        <v>15</v>
      </c>
      <c r="B58" t="s">
        <v>48</v>
      </c>
      <c r="C58" s="3">
        <f>SUMIFS(Registro_Actividades!J:J,Registro_Actividades!C:C,B58,Registro_Actividades!B:B,A58)</f>
        <v>370.5</v>
      </c>
      <c r="F58" s="3">
        <f t="shared" si="1"/>
        <v>370.5</v>
      </c>
    </row>
    <row r="59" spans="1:6" x14ac:dyDescent="0.3">
      <c r="A59">
        <v>15</v>
      </c>
      <c r="B59" t="s">
        <v>49</v>
      </c>
      <c r="C59" s="3">
        <f>SUMIFS(Registro_Actividades!J:J,Registro_Actividades!C:C,B59,Registro_Actividades!B:B,A59)</f>
        <v>354.5</v>
      </c>
      <c r="F59" s="3">
        <f t="shared" si="1"/>
        <v>354.5</v>
      </c>
    </row>
    <row r="60" spans="1:6" x14ac:dyDescent="0.3">
      <c r="A60">
        <v>15</v>
      </c>
      <c r="B60" t="s">
        <v>50</v>
      </c>
      <c r="C60" s="3">
        <f>SUMIFS(Registro_Actividades!J:J,Registro_Actividades!C:C,B60,Registro_Actividades!B:B,A60)</f>
        <v>403</v>
      </c>
      <c r="F60" s="3">
        <f t="shared" si="1"/>
        <v>403</v>
      </c>
    </row>
    <row r="61" spans="1:6" x14ac:dyDescent="0.3">
      <c r="A61">
        <v>15</v>
      </c>
      <c r="B61" t="s">
        <v>51</v>
      </c>
      <c r="C61" s="3">
        <f>SUMIFS(Registro_Actividades!J:J,Registro_Actividades!C:C,B61,Registro_Actividades!B:B,A61)</f>
        <v>386</v>
      </c>
      <c r="F61" s="3">
        <f t="shared" si="1"/>
        <v>386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087A-315E-4539-936E-FB305368D0B8}">
  <dimension ref="B1:J43"/>
  <sheetViews>
    <sheetView topLeftCell="A18" workbookViewId="0">
      <selection activeCell="F40" sqref="F40"/>
    </sheetView>
  </sheetViews>
  <sheetFormatPr baseColWidth="10" defaultRowHeight="14.4" x14ac:dyDescent="0.3"/>
  <cols>
    <col min="2" max="2" width="27.33203125" bestFit="1" customWidth="1"/>
    <col min="3" max="3" width="19.33203125" bestFit="1" customWidth="1"/>
    <col min="4" max="4" width="13.5546875" bestFit="1" customWidth="1"/>
    <col min="5" max="5" width="11" bestFit="1" customWidth="1"/>
    <col min="6" max="6" width="19.6640625" bestFit="1" customWidth="1"/>
    <col min="7" max="7" width="18.5546875" hidden="1" customWidth="1"/>
    <col min="8" max="8" width="14.33203125" bestFit="1" customWidth="1"/>
    <col min="9" max="9" width="10.109375" bestFit="1" customWidth="1"/>
  </cols>
  <sheetData>
    <row r="1" spans="2:9" ht="18.600000000000001" thickBot="1" x14ac:dyDescent="0.4">
      <c r="B1" s="25" t="s">
        <v>75</v>
      </c>
      <c r="C1" s="26"/>
      <c r="D1" s="26"/>
      <c r="E1" s="26"/>
      <c r="F1" s="26"/>
      <c r="G1" s="26"/>
      <c r="H1" s="26"/>
      <c r="I1" s="27"/>
    </row>
    <row r="2" spans="2:9" ht="15.6" thickTop="1" thickBot="1" x14ac:dyDescent="0.35">
      <c r="B2" s="8" t="s">
        <v>2</v>
      </c>
      <c r="C2" s="8" t="s">
        <v>9</v>
      </c>
      <c r="D2" s="8" t="s">
        <v>18</v>
      </c>
      <c r="E2" s="8" t="s">
        <v>19</v>
      </c>
      <c r="F2" s="9" t="s">
        <v>20</v>
      </c>
      <c r="G2" s="8" t="s">
        <v>3</v>
      </c>
      <c r="H2" s="14" t="s">
        <v>63</v>
      </c>
      <c r="I2" s="8" t="s">
        <v>64</v>
      </c>
    </row>
    <row r="3" spans="2:9" ht="15" thickTop="1" x14ac:dyDescent="0.3">
      <c r="B3" t="s">
        <v>35</v>
      </c>
      <c r="C3" s="10">
        <f>+SUMIFS(Resumen_Semanal!F:F,Resumen_Semanal!B:B,Resumen_Semanal!B15)</f>
        <v>495</v>
      </c>
      <c r="D3" s="10">
        <f>+(4*75)</f>
        <v>300</v>
      </c>
      <c r="E3" s="10"/>
      <c r="F3" s="11">
        <f t="shared" ref="F3:F32" si="0">C3+D3-E3</f>
        <v>795</v>
      </c>
      <c r="G3" s="12">
        <v>1698862470613</v>
      </c>
      <c r="H3">
        <v>4029152121</v>
      </c>
      <c r="I3" t="s">
        <v>65</v>
      </c>
    </row>
    <row r="4" spans="2:9" x14ac:dyDescent="0.3">
      <c r="B4" t="s">
        <v>45</v>
      </c>
      <c r="C4" s="10">
        <f>+SUMIFS(Resumen_Semanal!F:F,Resumen_Semanal!B:B,Resumen_Semanal!B25)</f>
        <v>457.5</v>
      </c>
      <c r="D4" s="10">
        <v>75</v>
      </c>
      <c r="E4" s="10"/>
      <c r="F4" s="11">
        <f t="shared" si="0"/>
        <v>532.5</v>
      </c>
      <c r="G4" s="12"/>
      <c r="H4">
        <v>4029152167</v>
      </c>
      <c r="I4" t="s">
        <v>65</v>
      </c>
    </row>
    <row r="5" spans="2:9" x14ac:dyDescent="0.3">
      <c r="B5" t="s">
        <v>39</v>
      </c>
      <c r="C5" s="10">
        <f>+SUMIFS(Resumen_Semanal!F:F,Resumen_Semanal!B:B,Resumen_Semanal!B19)</f>
        <v>495</v>
      </c>
      <c r="D5" s="10">
        <f t="shared" ref="D5:D18" si="1">+(4*75)</f>
        <v>300</v>
      </c>
      <c r="E5" s="10"/>
      <c r="F5" s="11">
        <f t="shared" si="0"/>
        <v>795</v>
      </c>
      <c r="G5" s="12">
        <v>2959555540613</v>
      </c>
      <c r="H5">
        <v>4029152135</v>
      </c>
      <c r="I5" t="s">
        <v>65</v>
      </c>
    </row>
    <row r="6" spans="2:9" x14ac:dyDescent="0.3">
      <c r="B6" t="s">
        <v>34</v>
      </c>
      <c r="C6" s="10">
        <f>+SUMIFS(Resumen_Semanal!F:F,Resumen_Semanal!B:B,Resumen_Semanal!B14)</f>
        <v>471.5</v>
      </c>
      <c r="D6" s="10">
        <f t="shared" si="1"/>
        <v>300</v>
      </c>
      <c r="E6" s="10"/>
      <c r="F6" s="11">
        <f t="shared" si="0"/>
        <v>771.5</v>
      </c>
      <c r="G6" s="12"/>
      <c r="H6">
        <v>4029163700</v>
      </c>
      <c r="I6" t="s">
        <v>65</v>
      </c>
    </row>
    <row r="7" spans="2:9" x14ac:dyDescent="0.3">
      <c r="B7" t="s">
        <v>32</v>
      </c>
      <c r="C7" s="10">
        <f>+SUMIFS(Resumen_Semanal!F:F,Resumen_Semanal!B:B,Resumen_Semanal!B12)</f>
        <v>415.5</v>
      </c>
      <c r="D7" s="10">
        <f t="shared" si="1"/>
        <v>300</v>
      </c>
      <c r="E7" s="10"/>
      <c r="F7" s="11">
        <f t="shared" si="0"/>
        <v>715.5</v>
      </c>
      <c r="G7" s="12">
        <v>3099538120613</v>
      </c>
      <c r="H7">
        <v>4372143237</v>
      </c>
      <c r="I7" t="s">
        <v>65</v>
      </c>
    </row>
    <row r="8" spans="2:9" x14ac:dyDescent="0.3">
      <c r="B8" t="s">
        <v>23</v>
      </c>
      <c r="C8" s="10">
        <f>+SUMIFS(Resumen_Semanal!F:F,Resumen_Semanal!B:B,Resumen_Semanal!B3)</f>
        <v>503</v>
      </c>
      <c r="D8" s="10">
        <f t="shared" si="1"/>
        <v>300</v>
      </c>
      <c r="E8" s="10"/>
      <c r="F8" s="11">
        <f t="shared" si="0"/>
        <v>803</v>
      </c>
      <c r="G8" s="12">
        <v>3099783270613</v>
      </c>
      <c r="H8">
        <v>4029152098</v>
      </c>
      <c r="I8" t="s">
        <v>65</v>
      </c>
    </row>
    <row r="9" spans="2:9" x14ac:dyDescent="0.3">
      <c r="B9" t="s">
        <v>42</v>
      </c>
      <c r="C9" s="10">
        <f>+SUMIFS(Resumen_Semanal!F:F,Resumen_Semanal!B:B,Resumen_Semanal!B22)</f>
        <v>426</v>
      </c>
      <c r="D9" s="10">
        <v>75</v>
      </c>
      <c r="E9" s="10"/>
      <c r="F9" s="11">
        <f t="shared" si="0"/>
        <v>501</v>
      </c>
      <c r="G9" s="12">
        <v>3098648870613</v>
      </c>
      <c r="H9" s="23">
        <v>4029152218</v>
      </c>
      <c r="I9" t="s">
        <v>65</v>
      </c>
    </row>
    <row r="10" spans="2:9" x14ac:dyDescent="0.3">
      <c r="B10" t="s">
        <v>46</v>
      </c>
      <c r="C10" s="10">
        <f>+SUMIFS(Resumen_Semanal!F:F,Resumen_Semanal!B:B,Resumen_Semanal!B26)</f>
        <v>353</v>
      </c>
      <c r="D10" s="10">
        <v>0</v>
      </c>
      <c r="E10" s="10"/>
      <c r="F10" s="11">
        <f t="shared" si="0"/>
        <v>353</v>
      </c>
      <c r="G10" s="12"/>
      <c r="H10">
        <v>4029157433</v>
      </c>
      <c r="I10" t="s">
        <v>65</v>
      </c>
    </row>
    <row r="11" spans="2:9" x14ac:dyDescent="0.3">
      <c r="B11" t="s">
        <v>28</v>
      </c>
      <c r="C11" s="10">
        <f>+SUMIFS(Resumen_Semanal!F:F,Resumen_Semanal!B:B,Resumen_Semanal!B8)</f>
        <v>608</v>
      </c>
      <c r="D11" s="10">
        <f t="shared" si="1"/>
        <v>300</v>
      </c>
      <c r="E11" s="10"/>
      <c r="F11" s="11">
        <f t="shared" si="0"/>
        <v>908</v>
      </c>
      <c r="G11" s="12">
        <v>1706723600608</v>
      </c>
      <c r="H11">
        <v>4029152117</v>
      </c>
      <c r="I11" t="s">
        <v>65</v>
      </c>
    </row>
    <row r="12" spans="2:9" x14ac:dyDescent="0.3">
      <c r="B12" t="s">
        <v>37</v>
      </c>
      <c r="C12" s="10">
        <f>+SUMIFS(Resumen_Semanal!F:F,Resumen_Semanal!B:B,Resumen_Semanal!B17)</f>
        <v>900</v>
      </c>
      <c r="D12" s="10">
        <f t="shared" si="1"/>
        <v>300</v>
      </c>
      <c r="E12" s="10"/>
      <c r="F12" s="11">
        <f t="shared" si="0"/>
        <v>1200</v>
      </c>
      <c r="G12" s="12" t="s">
        <v>67</v>
      </c>
      <c r="H12">
        <v>4029157520</v>
      </c>
      <c r="I12" t="s">
        <v>65</v>
      </c>
    </row>
    <row r="13" spans="2:9" x14ac:dyDescent="0.3">
      <c r="B13" t="s">
        <v>27</v>
      </c>
      <c r="C13" s="10">
        <f>+SUMIFS(Resumen_Semanal!F:F,Resumen_Semanal!B:B,Resumen_Semanal!B7)</f>
        <v>536.5</v>
      </c>
      <c r="D13" s="10">
        <f t="shared" si="1"/>
        <v>300</v>
      </c>
      <c r="E13" s="10"/>
      <c r="F13" s="11">
        <f t="shared" si="0"/>
        <v>836.5</v>
      </c>
      <c r="G13" s="12" t="s">
        <v>66</v>
      </c>
      <c r="H13">
        <v>4029152070</v>
      </c>
      <c r="I13" t="s">
        <v>65</v>
      </c>
    </row>
    <row r="14" spans="2:9" x14ac:dyDescent="0.3">
      <c r="B14" t="s">
        <v>30</v>
      </c>
      <c r="C14" s="10">
        <f>+SUMIFS(Resumen_Semanal!F:F,Resumen_Semanal!B:B,Resumen_Semanal!B10)</f>
        <v>528</v>
      </c>
      <c r="D14" s="10">
        <f t="shared" si="1"/>
        <v>300</v>
      </c>
      <c r="E14" s="10"/>
      <c r="F14" s="11">
        <f t="shared" si="0"/>
        <v>828</v>
      </c>
      <c r="G14" s="12">
        <v>2950209380613</v>
      </c>
      <c r="H14">
        <v>3029026021</v>
      </c>
      <c r="I14" t="s">
        <v>65</v>
      </c>
    </row>
    <row r="15" spans="2:9" x14ac:dyDescent="0.3">
      <c r="B15" t="s">
        <v>47</v>
      </c>
      <c r="C15" s="10">
        <f>+SUMIFS(Resumen_Semanal!F:F,Resumen_Semanal!B:B,Resumen_Semanal!B27)</f>
        <v>557.5</v>
      </c>
      <c r="D15" s="10">
        <v>0</v>
      </c>
      <c r="E15" s="10"/>
      <c r="F15" s="11">
        <f t="shared" si="0"/>
        <v>557.5</v>
      </c>
      <c r="G15" s="12"/>
      <c r="H15">
        <v>4029151948</v>
      </c>
      <c r="I15" t="s">
        <v>65</v>
      </c>
    </row>
    <row r="16" spans="2:9" x14ac:dyDescent="0.3">
      <c r="B16" t="s">
        <v>44</v>
      </c>
      <c r="C16" s="10">
        <f>+SUMIFS(Resumen_Semanal!F:F,Resumen_Semanal!B:B,Resumen_Semanal!B24)</f>
        <v>466.5</v>
      </c>
      <c r="D16" s="10">
        <v>75</v>
      </c>
      <c r="E16" s="10"/>
      <c r="F16" s="11">
        <f t="shared" si="0"/>
        <v>541.5</v>
      </c>
      <c r="G16" s="12">
        <v>3068027160601</v>
      </c>
      <c r="H16" s="23">
        <v>4029152218</v>
      </c>
      <c r="I16" t="s">
        <v>65</v>
      </c>
    </row>
    <row r="17" spans="2:9" x14ac:dyDescent="0.3">
      <c r="B17" t="s">
        <v>50</v>
      </c>
      <c r="C17" s="10">
        <f>+SUMIFS(Resumen_Semanal!F:F,Resumen_Semanal!B:B,Resumen_Semanal!B30)</f>
        <v>511.5</v>
      </c>
      <c r="D17" s="10">
        <v>75</v>
      </c>
      <c r="E17" s="10"/>
      <c r="F17" s="11">
        <f t="shared" si="0"/>
        <v>586.5</v>
      </c>
      <c r="G17" s="12"/>
      <c r="H17" s="23">
        <v>4029152218</v>
      </c>
      <c r="I17" t="s">
        <v>65</v>
      </c>
    </row>
    <row r="18" spans="2:9" x14ac:dyDescent="0.3">
      <c r="B18" t="s">
        <v>31</v>
      </c>
      <c r="C18" s="10">
        <f>+SUMIFS(Resumen_Semanal!F:F,Resumen_Semanal!B:B,Resumen_Semanal!B11)</f>
        <v>510</v>
      </c>
      <c r="D18" s="10">
        <f t="shared" si="1"/>
        <v>300</v>
      </c>
      <c r="E18" s="10"/>
      <c r="F18" s="11">
        <f t="shared" si="0"/>
        <v>810</v>
      </c>
      <c r="G18" s="12" t="s">
        <v>67</v>
      </c>
      <c r="H18">
        <v>4396087194</v>
      </c>
      <c r="I18" t="s">
        <v>65</v>
      </c>
    </row>
    <row r="19" spans="2:9" x14ac:dyDescent="0.3">
      <c r="B19" t="s">
        <v>22</v>
      </c>
      <c r="C19" s="10">
        <f>+SUMIFS(Resumen_Semanal!F:F,Resumen_Semanal!B:B,Resumen_Semanal!B2)</f>
        <v>1170</v>
      </c>
      <c r="D19" s="10">
        <f>400+700</f>
        <v>1100</v>
      </c>
      <c r="E19" s="10"/>
      <c r="F19" s="11">
        <f t="shared" si="0"/>
        <v>2270</v>
      </c>
      <c r="G19" s="12">
        <v>3099918620613</v>
      </c>
      <c r="H19">
        <v>4029152199</v>
      </c>
      <c r="I19" t="s">
        <v>65</v>
      </c>
    </row>
    <row r="20" spans="2:9" x14ac:dyDescent="0.3">
      <c r="B20" t="s">
        <v>25</v>
      </c>
      <c r="C20" s="10">
        <f>+SUMIFS(Resumen_Semanal!F:F,Resumen_Semanal!B:B,Resumen_Semanal!B5)</f>
        <v>499.5</v>
      </c>
      <c r="D20" s="10">
        <v>300</v>
      </c>
      <c r="E20" s="10"/>
      <c r="F20" s="11">
        <f t="shared" si="0"/>
        <v>799.5</v>
      </c>
      <c r="G20" s="12">
        <v>3067692120601</v>
      </c>
      <c r="H20">
        <v>4372145336</v>
      </c>
      <c r="I20" t="s">
        <v>65</v>
      </c>
    </row>
    <row r="21" spans="2:9" x14ac:dyDescent="0.3">
      <c r="B21" t="s">
        <v>38</v>
      </c>
      <c r="C21" s="10">
        <f>+SUMIFS(Resumen_Semanal!F:F,Resumen_Semanal!B:B,Resumen_Semanal!B18)</f>
        <v>505.5</v>
      </c>
      <c r="D21" s="10">
        <v>75</v>
      </c>
      <c r="E21" s="10"/>
      <c r="F21" s="11">
        <f t="shared" si="0"/>
        <v>580.5</v>
      </c>
      <c r="G21" s="12" t="s">
        <v>66</v>
      </c>
      <c r="H21">
        <v>4029161954</v>
      </c>
      <c r="I21" t="s">
        <v>65</v>
      </c>
    </row>
    <row r="22" spans="2:9" x14ac:dyDescent="0.3">
      <c r="B22" t="s">
        <v>43</v>
      </c>
      <c r="C22" s="10">
        <f>+SUMIFS(Resumen_Semanal!F:F,Resumen_Semanal!B:B,Resumen_Semanal!B23)</f>
        <v>422.5</v>
      </c>
      <c r="D22" s="10">
        <v>0</v>
      </c>
      <c r="E22" s="10"/>
      <c r="F22" s="11">
        <f t="shared" si="0"/>
        <v>422.5</v>
      </c>
      <c r="G22" s="12" t="s">
        <v>66</v>
      </c>
      <c r="H22">
        <v>4029159358</v>
      </c>
      <c r="I22" t="s">
        <v>65</v>
      </c>
    </row>
    <row r="23" spans="2:9" x14ac:dyDescent="0.3">
      <c r="B23" t="s">
        <v>41</v>
      </c>
      <c r="C23" s="10">
        <f>+SUMIFS(Resumen_Semanal!F:F,Resumen_Semanal!B:B,Resumen_Semanal!B21)</f>
        <v>531</v>
      </c>
      <c r="D23" s="10">
        <v>75</v>
      </c>
      <c r="E23" s="10"/>
      <c r="F23" s="11">
        <f t="shared" si="0"/>
        <v>606</v>
      </c>
      <c r="G23" s="12">
        <v>29595553380613</v>
      </c>
      <c r="H23" s="23">
        <v>4029152218</v>
      </c>
      <c r="I23" t="s">
        <v>65</v>
      </c>
    </row>
    <row r="24" spans="2:9" x14ac:dyDescent="0.3">
      <c r="B24" t="s">
        <v>33</v>
      </c>
      <c r="C24" s="10">
        <f>+SUMIFS(Resumen_Semanal!F:F,Resumen_Semanal!B:B,Resumen_Semanal!B13)</f>
        <v>403.5</v>
      </c>
      <c r="D24" s="10">
        <v>300</v>
      </c>
      <c r="E24" s="10"/>
      <c r="F24" s="11">
        <f t="shared" si="0"/>
        <v>703.5</v>
      </c>
      <c r="G24" s="12">
        <v>1965763850613</v>
      </c>
      <c r="H24">
        <v>4029152153</v>
      </c>
      <c r="I24" t="s">
        <v>65</v>
      </c>
    </row>
    <row r="25" spans="2:9" x14ac:dyDescent="0.3">
      <c r="B25" t="s">
        <v>24</v>
      </c>
      <c r="C25" s="10">
        <f>+SUMIFS(Resumen_Semanal!F:F,Resumen_Semanal!B:B,Resumen_Semanal!B4)</f>
        <v>501.5</v>
      </c>
      <c r="D25" s="10">
        <v>300</v>
      </c>
      <c r="E25" s="10"/>
      <c r="F25" s="11">
        <f t="shared" si="0"/>
        <v>801.5</v>
      </c>
      <c r="G25" s="12">
        <v>3100323690613</v>
      </c>
      <c r="H25">
        <v>4029152084</v>
      </c>
      <c r="I25" t="s">
        <v>65</v>
      </c>
    </row>
    <row r="26" spans="2:9" x14ac:dyDescent="0.3">
      <c r="B26" t="s">
        <v>40</v>
      </c>
      <c r="C26" s="10">
        <f>+SUMIFS(Resumen_Semanal!F:F,Resumen_Semanal!B:B,Resumen_Semanal!B20)</f>
        <v>414</v>
      </c>
      <c r="D26" s="10">
        <v>75</v>
      </c>
      <c r="E26" s="10"/>
      <c r="F26" s="11">
        <f t="shared" si="0"/>
        <v>489</v>
      </c>
      <c r="G26" s="12">
        <v>2974713760613</v>
      </c>
      <c r="H26">
        <v>4029161922</v>
      </c>
      <c r="I26" t="s">
        <v>65</v>
      </c>
    </row>
    <row r="27" spans="2:9" x14ac:dyDescent="0.3">
      <c r="B27" t="s">
        <v>51</v>
      </c>
      <c r="C27" s="10">
        <f>+SUMIFS(Resumen_Semanal!F:F,Resumen_Semanal!B:B,Resumen_Semanal!B31)</f>
        <v>473.5</v>
      </c>
      <c r="D27" s="10">
        <v>75</v>
      </c>
      <c r="E27" s="10"/>
      <c r="F27" s="11">
        <f t="shared" si="0"/>
        <v>548.5</v>
      </c>
      <c r="G27" s="12"/>
      <c r="H27" s="23">
        <v>4029152218</v>
      </c>
      <c r="I27" t="s">
        <v>65</v>
      </c>
    </row>
    <row r="28" spans="2:9" x14ac:dyDescent="0.3">
      <c r="B28" t="s">
        <v>36</v>
      </c>
      <c r="C28" s="10">
        <f>+SUMIFS(Resumen_Semanal!F:F,Resumen_Semanal!B:B,Resumen_Semanal!B16)</f>
        <v>536</v>
      </c>
      <c r="D28" s="10">
        <v>300</v>
      </c>
      <c r="E28" s="10"/>
      <c r="F28" s="11">
        <f t="shared" si="0"/>
        <v>836</v>
      </c>
      <c r="G28" s="12">
        <v>3423713632201</v>
      </c>
      <c r="H28">
        <v>4029157516</v>
      </c>
      <c r="I28" t="s">
        <v>65</v>
      </c>
    </row>
    <row r="29" spans="2:9" x14ac:dyDescent="0.3">
      <c r="B29" t="s">
        <v>29</v>
      </c>
      <c r="C29" s="10">
        <f>+SUMIFS(Resumen_Semanal!F:F,Resumen_Semanal!B:B,Resumen_Semanal!B9)</f>
        <v>414</v>
      </c>
      <c r="D29" s="10">
        <v>300</v>
      </c>
      <c r="E29" s="10"/>
      <c r="F29" s="11">
        <f t="shared" si="0"/>
        <v>714</v>
      </c>
      <c r="G29" s="12">
        <v>1963954960613</v>
      </c>
      <c r="H29" s="23">
        <v>4029152218</v>
      </c>
      <c r="I29" t="s">
        <v>65</v>
      </c>
    </row>
    <row r="30" spans="2:9" x14ac:dyDescent="0.3">
      <c r="B30" t="s">
        <v>26</v>
      </c>
      <c r="C30" s="10">
        <f>+SUMIFS(Resumen_Semanal!F:F,Resumen_Semanal!B:B,Resumen_Semanal!B6)</f>
        <v>466.5</v>
      </c>
      <c r="D30" s="10">
        <v>300</v>
      </c>
      <c r="E30" s="10"/>
      <c r="F30" s="11">
        <f t="shared" si="0"/>
        <v>766.5</v>
      </c>
      <c r="G30" s="12">
        <v>3423713552201</v>
      </c>
      <c r="H30">
        <v>4029152149</v>
      </c>
      <c r="I30" t="s">
        <v>65</v>
      </c>
    </row>
    <row r="31" spans="2:9" x14ac:dyDescent="0.3">
      <c r="B31" t="s">
        <v>49</v>
      </c>
      <c r="C31" s="10">
        <f>+SUMIFS(Resumen_Semanal!F:F,Resumen_Semanal!B:B,Resumen_Semanal!B29)</f>
        <v>522.5</v>
      </c>
      <c r="D31" s="10">
        <v>75</v>
      </c>
      <c r="E31" s="10"/>
      <c r="F31" s="11">
        <f t="shared" si="0"/>
        <v>597.5</v>
      </c>
      <c r="G31" s="12"/>
      <c r="H31" s="23">
        <v>4029152218</v>
      </c>
      <c r="I31" t="s">
        <v>65</v>
      </c>
    </row>
    <row r="32" spans="2:9" x14ac:dyDescent="0.3">
      <c r="B32" t="s">
        <v>48</v>
      </c>
      <c r="C32" s="10">
        <f>+SUMIFS(Resumen_Semanal!F:F,Resumen_Semanal!B:B,Resumen_Semanal!B28)</f>
        <v>563</v>
      </c>
      <c r="D32" s="10">
        <v>75</v>
      </c>
      <c r="E32" s="10"/>
      <c r="F32" s="11">
        <f t="shared" si="0"/>
        <v>638</v>
      </c>
      <c r="G32" s="12"/>
      <c r="H32" s="23">
        <v>4029152218</v>
      </c>
      <c r="I32" t="s">
        <v>65</v>
      </c>
    </row>
    <row r="33" spans="2:10" x14ac:dyDescent="0.3">
      <c r="B33" t="s">
        <v>68</v>
      </c>
      <c r="F33" s="7">
        <f>SUBTOTAL(109,Tabla3[Total a Pagar])</f>
        <v>22307.5</v>
      </c>
      <c r="J33" t="s">
        <v>76</v>
      </c>
    </row>
    <row r="34" spans="2:10" x14ac:dyDescent="0.3">
      <c r="F34" s="7"/>
    </row>
    <row r="35" spans="2:10" x14ac:dyDescent="0.3">
      <c r="F35" s="7"/>
    </row>
    <row r="36" spans="2:10" x14ac:dyDescent="0.3">
      <c r="B36" s="14" t="s">
        <v>2</v>
      </c>
      <c r="C36" s="14" t="s">
        <v>9</v>
      </c>
      <c r="D36" s="14" t="s">
        <v>18</v>
      </c>
      <c r="E36" s="14" t="s">
        <v>19</v>
      </c>
      <c r="F36" s="14" t="s">
        <v>20</v>
      </c>
      <c r="G36" s="14" t="s">
        <v>3</v>
      </c>
      <c r="H36" s="14" t="s">
        <v>63</v>
      </c>
      <c r="I36" s="14" t="s">
        <v>64</v>
      </c>
    </row>
    <row r="37" spans="2:10" x14ac:dyDescent="0.3">
      <c r="B37" s="13" t="s">
        <v>69</v>
      </c>
      <c r="C37" s="15">
        <v>2700</v>
      </c>
      <c r="D37" s="15">
        <v>150</v>
      </c>
      <c r="E37" s="13"/>
      <c r="F37" s="15">
        <f>+Tabla4[[#This Row],[Total Devengado]]+Tabla4[[#This Row],[Bonificación]]-Tabla4[[#This Row],[Anticipos]]</f>
        <v>2850</v>
      </c>
      <c r="G37" s="16">
        <v>1966179950608</v>
      </c>
      <c r="H37" s="13">
        <v>4029152218</v>
      </c>
      <c r="I37" s="13" t="s">
        <v>65</v>
      </c>
    </row>
    <row r="38" spans="2:10" x14ac:dyDescent="0.3">
      <c r="B38" s="13" t="s">
        <v>72</v>
      </c>
      <c r="C38" s="15">
        <v>1500</v>
      </c>
      <c r="D38" s="15">
        <f>400+700</f>
        <v>1100</v>
      </c>
      <c r="E38" s="13"/>
      <c r="F38" s="15">
        <f>+Tabla4[[#This Row],[Total Devengado]]+Tabla4[[#This Row],[Bonificación]]-Tabla4[[#This Row],[Anticipos]]</f>
        <v>2600</v>
      </c>
      <c r="G38" s="16"/>
      <c r="H38" s="13">
        <v>4029112595</v>
      </c>
      <c r="I38" s="13" t="s">
        <v>65</v>
      </c>
    </row>
    <row r="39" spans="2:10" x14ac:dyDescent="0.3">
      <c r="B39" s="13" t="s">
        <v>70</v>
      </c>
      <c r="C39" s="15">
        <f>60*15</f>
        <v>900</v>
      </c>
      <c r="D39" s="15"/>
      <c r="E39" s="13"/>
      <c r="F39" s="15">
        <f>+Tabla4[[#This Row],[Total Devengado]]+Tabla4[[#This Row],[Bonificación]]-Tabla4[[#This Row],[Anticipos]]</f>
        <v>900</v>
      </c>
      <c r="G39" s="16">
        <v>1977100930613</v>
      </c>
      <c r="H39" s="13">
        <v>4029143334</v>
      </c>
      <c r="I39" s="13" t="s">
        <v>65</v>
      </c>
    </row>
    <row r="40" spans="2:10" x14ac:dyDescent="0.3">
      <c r="B40" s="13" t="s">
        <v>71</v>
      </c>
      <c r="C40" s="15">
        <f>17*60</f>
        <v>1020</v>
      </c>
      <c r="D40" s="15"/>
      <c r="E40" s="13"/>
      <c r="F40" s="15">
        <f>+Tabla4[[#This Row],[Total Devengado]]+Tabla4[[#This Row],[Bonificación]]-Tabla4[[#This Row],[Anticipos]]</f>
        <v>1020</v>
      </c>
      <c r="G40" s="16">
        <v>3099918110613</v>
      </c>
      <c r="H40" s="13">
        <v>4029161904</v>
      </c>
      <c r="I40" s="13" t="s">
        <v>65</v>
      </c>
    </row>
    <row r="41" spans="2:10" x14ac:dyDescent="0.3">
      <c r="B41" s="13" t="s">
        <v>50</v>
      </c>
      <c r="C41" s="15">
        <f>60*5</f>
        <v>300</v>
      </c>
      <c r="D41" s="15"/>
      <c r="E41" s="13"/>
      <c r="F41" s="15">
        <f>+Tabla4[[#This Row],[Total Devengado]]+Tabla4[[#This Row],[Bonificación]]-Tabla4[[#This Row],[Anticipos]]</f>
        <v>300</v>
      </c>
      <c r="G41" s="16"/>
      <c r="H41" s="24">
        <v>4029152218</v>
      </c>
      <c r="I41" s="13" t="s">
        <v>65</v>
      </c>
    </row>
    <row r="42" spans="2:10" x14ac:dyDescent="0.3">
      <c r="B42" s="13" t="s">
        <v>51</v>
      </c>
      <c r="C42" s="15">
        <f>60*4</f>
        <v>240</v>
      </c>
      <c r="D42" s="15"/>
      <c r="E42" s="13"/>
      <c r="F42" s="15">
        <f>+Tabla4[[#This Row],[Total Devengado]]+Tabla4[[#This Row],[Bonificación]]-Tabla4[[#This Row],[Anticipos]]</f>
        <v>240</v>
      </c>
      <c r="G42" s="16"/>
      <c r="H42" s="24">
        <v>4029152218</v>
      </c>
      <c r="I42" s="13" t="s">
        <v>65</v>
      </c>
    </row>
    <row r="43" spans="2:10" ht="15.6" x14ac:dyDescent="0.3">
      <c r="B43" s="17"/>
      <c r="C43" s="21"/>
      <c r="D43" s="22"/>
      <c r="E43" s="18"/>
      <c r="F43" s="22">
        <f>SUBTOTAL(109,Tabla4[Total a Pagar])</f>
        <v>7910</v>
      </c>
      <c r="G43" s="19"/>
      <c r="H43" s="18"/>
      <c r="I43" s="18"/>
    </row>
  </sheetData>
  <mergeCells count="1">
    <mergeCell ref="B1:I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baseColWidth="10" defaultColWidth="8.88671875" defaultRowHeight="14.4" x14ac:dyDescent="0.3"/>
  <cols>
    <col min="1" max="3" width="25" customWidth="1"/>
  </cols>
  <sheetData>
    <row r="1" spans="1:3" x14ac:dyDescent="0.3">
      <c r="A1" s="1" t="s">
        <v>1</v>
      </c>
      <c r="B1" s="1" t="s">
        <v>5</v>
      </c>
      <c r="C1" s="1" t="s">
        <v>21</v>
      </c>
    </row>
    <row r="2" spans="1:3" x14ac:dyDescent="0.3">
      <c r="C2" t="e">
        <f ca="1">SUMAR.SI.CONJUNTO(Registro_Actividades!J:J,Registro_Actividades!F:F,B2,Registro_Actividades!B:B,A2)</f>
        <v>#NAME?</v>
      </c>
    </row>
    <row r="3" spans="1:3" x14ac:dyDescent="0.3">
      <c r="C3" t="e">
        <f ca="1">SUMAR.SI.CONJUNTO(Registro_Actividades!J:J,Registro_Actividades!F:F,B3,Registro_Actividades!B:B,A3)</f>
        <v>#NAME?</v>
      </c>
    </row>
    <row r="4" spans="1:3" x14ac:dyDescent="0.3">
      <c r="C4" t="e">
        <f ca="1">SUMAR.SI.CONJUNTO(Registro_Actividades!J:J,Registro_Actividades!F:F,B4,Registro_Actividades!B:B,A4)</f>
        <v>#NAME?</v>
      </c>
    </row>
    <row r="5" spans="1:3" x14ac:dyDescent="0.3">
      <c r="C5" t="e">
        <f ca="1">SUMAR.SI.CONJUNTO(Registro_Actividades!J:J,Registro_Actividades!F:F,B5,Registro_Actividades!B:B,A5)</f>
        <v>#NAME?</v>
      </c>
    </row>
    <row r="6" spans="1:3" x14ac:dyDescent="0.3">
      <c r="C6" t="e">
        <f ca="1">SUMAR.SI.CONJUNTO(Registro_Actividades!J:J,Registro_Actividades!F:F,B6,Registro_Actividades!B:B,A6)</f>
        <v>#NAME?</v>
      </c>
    </row>
    <row r="7" spans="1:3" x14ac:dyDescent="0.3">
      <c r="C7" t="e">
        <f ca="1">SUMAR.SI.CONJUNTO(Registro_Actividades!J:J,Registro_Actividades!F:F,B7,Registro_Actividades!B:B,A7)</f>
        <v>#NAME?</v>
      </c>
    </row>
    <row r="8" spans="1:3" x14ac:dyDescent="0.3">
      <c r="C8" t="e">
        <f ca="1">SUMAR.SI.CONJUNTO(Registro_Actividades!J:J,Registro_Actividades!F:F,B8,Registro_Actividades!B:B,A8)</f>
        <v>#NAME?</v>
      </c>
    </row>
    <row r="9" spans="1:3" x14ac:dyDescent="0.3">
      <c r="C9" t="e">
        <f ca="1">SUMAR.SI.CONJUNTO(Registro_Actividades!J:J,Registro_Actividades!F:F,B9,Registro_Actividades!B:B,A9)</f>
        <v>#NAME?</v>
      </c>
    </row>
    <row r="10" spans="1:3" x14ac:dyDescent="0.3">
      <c r="C10" t="e">
        <f ca="1">SUMAR.SI.CONJUNTO(Registro_Actividades!J:J,Registro_Actividades!F:F,B10,Registro_Actividades!B:B,A10)</f>
        <v>#NAME?</v>
      </c>
    </row>
    <row r="11" spans="1:3" x14ac:dyDescent="0.3">
      <c r="C11" t="e">
        <f ca="1">SUMAR.SI.CONJUNTO(Registro_Actividades!J:J,Registro_Actividades!F:F,B11,Registro_Actividades!B:B,A11)</f>
        <v>#NAME?</v>
      </c>
    </row>
    <row r="12" spans="1:3" x14ac:dyDescent="0.3">
      <c r="C12" t="e">
        <f ca="1">SUMAR.SI.CONJUNTO(Registro_Actividades!J:J,Registro_Actividades!F:F,B12,Registro_Actividades!B:B,A12)</f>
        <v>#NAME?</v>
      </c>
    </row>
    <row r="13" spans="1:3" x14ac:dyDescent="0.3">
      <c r="C13" t="e">
        <f ca="1">SUMAR.SI.CONJUNTO(Registro_Actividades!J:J,Registro_Actividades!F:F,B13,Registro_Actividades!B:B,A13)</f>
        <v>#NAME?</v>
      </c>
    </row>
    <row r="14" spans="1:3" x14ac:dyDescent="0.3">
      <c r="C14" t="e">
        <f ca="1">SUMAR.SI.CONJUNTO(Registro_Actividades!J:J,Registro_Actividades!F:F,B14,Registro_Actividades!B:B,A14)</f>
        <v>#NAME?</v>
      </c>
    </row>
    <row r="15" spans="1:3" x14ac:dyDescent="0.3">
      <c r="C15" t="e">
        <f ca="1">SUMAR.SI.CONJUNTO(Registro_Actividades!J:J,Registro_Actividades!F:F,B15,Registro_Actividades!B:B,A15)</f>
        <v>#NAME?</v>
      </c>
    </row>
    <row r="16" spans="1:3" x14ac:dyDescent="0.3">
      <c r="C16" t="e">
        <f ca="1">SUMAR.SI.CONJUNTO(Registro_Actividades!J:J,Registro_Actividades!F:F,B16,Registro_Actividades!B:B,A16)</f>
        <v>#NAME?</v>
      </c>
    </row>
    <row r="17" spans="3:3" x14ac:dyDescent="0.3">
      <c r="C17" t="e">
        <f ca="1">SUMAR.SI.CONJUNTO(Registro_Actividades!J:J,Registro_Actividades!F:F,B17,Registro_Actividades!B:B,A17)</f>
        <v>#NAME?</v>
      </c>
    </row>
    <row r="18" spans="3:3" x14ac:dyDescent="0.3">
      <c r="C18" t="e">
        <f ca="1">SUMAR.SI.CONJUNTO(Registro_Actividades!J:J,Registro_Actividades!F:F,B18,Registro_Actividades!B:B,A18)</f>
        <v>#NAME?</v>
      </c>
    </row>
    <row r="19" spans="3:3" x14ac:dyDescent="0.3">
      <c r="C19" t="e">
        <f ca="1">SUMAR.SI.CONJUNTO(Registro_Actividades!J:J,Registro_Actividades!F:F,B19,Registro_Actividades!B:B,A19)</f>
        <v>#NAME?</v>
      </c>
    </row>
    <row r="20" spans="3:3" x14ac:dyDescent="0.3">
      <c r="C20" t="e">
        <f ca="1">SUMAR.SI.CONJUNTO(Registro_Actividades!J:J,Registro_Actividades!F:F,B20,Registro_Actividades!B:B,A20)</f>
        <v>#NAME?</v>
      </c>
    </row>
    <row r="21" spans="3:3" x14ac:dyDescent="0.3">
      <c r="C21" t="e">
        <f ca="1">SUMAR.SI.CONJUNTO(Registro_Actividades!J:J,Registro_Actividades!F:F,B21,Registro_Actividades!B:B,A21)</f>
        <v>#NAME?</v>
      </c>
    </row>
    <row r="22" spans="3:3" x14ac:dyDescent="0.3">
      <c r="C22" t="e">
        <f ca="1">SUMAR.SI.CONJUNTO(Registro_Actividades!J:J,Registro_Actividades!F:F,B22,Registro_Actividades!B:B,A22)</f>
        <v>#NAME?</v>
      </c>
    </row>
    <row r="23" spans="3:3" x14ac:dyDescent="0.3">
      <c r="C23" t="e">
        <f ca="1">SUMAR.SI.CONJUNTO(Registro_Actividades!J:J,Registro_Actividades!F:F,B23,Registro_Actividades!B:B,A23)</f>
        <v>#NAME?</v>
      </c>
    </row>
    <row r="24" spans="3:3" x14ac:dyDescent="0.3">
      <c r="C24" t="e">
        <f ca="1">SUMAR.SI.CONJUNTO(Registro_Actividades!J:J,Registro_Actividades!F:F,B24,Registro_Actividades!B:B,A24)</f>
        <v>#NAME?</v>
      </c>
    </row>
    <row r="25" spans="3:3" x14ac:dyDescent="0.3">
      <c r="C25" t="e">
        <f ca="1">SUMAR.SI.CONJUNTO(Registro_Actividades!J:J,Registro_Actividades!F:F,B25,Registro_Actividades!B:B,A25)</f>
        <v>#NAME?</v>
      </c>
    </row>
    <row r="26" spans="3:3" x14ac:dyDescent="0.3">
      <c r="C26" t="e">
        <f ca="1">SUMAR.SI.CONJUNTO(Registro_Actividades!J:J,Registro_Actividades!F:F,B26,Registro_Actividades!B:B,A26)</f>
        <v>#NAME?</v>
      </c>
    </row>
    <row r="27" spans="3:3" x14ac:dyDescent="0.3">
      <c r="C27" t="e">
        <f ca="1">SUMAR.SI.CONJUNTO(Registro_Actividades!J:J,Registro_Actividades!F:F,B27,Registro_Actividades!B:B,A27)</f>
        <v>#NAME?</v>
      </c>
    </row>
    <row r="28" spans="3:3" x14ac:dyDescent="0.3">
      <c r="C28" t="e">
        <f ca="1">SUMAR.SI.CONJUNTO(Registro_Actividades!J:J,Registro_Actividades!F:F,B28,Registro_Actividades!B:B,A28)</f>
        <v>#NAME?</v>
      </c>
    </row>
    <row r="29" spans="3:3" x14ac:dyDescent="0.3">
      <c r="C29" t="e">
        <f ca="1">SUMAR.SI.CONJUNTO(Registro_Actividades!J:J,Registro_Actividades!F:F,B29,Registro_Actividades!B:B,A29)</f>
        <v>#NAME?</v>
      </c>
    </row>
    <row r="30" spans="3:3" x14ac:dyDescent="0.3">
      <c r="C30" t="e">
        <f ca="1">SUMAR.SI.CONJUNTO(Registro_Actividades!J:J,Registro_Actividades!F:F,B30,Registro_Actividades!B:B,A30)</f>
        <v>#NAME?</v>
      </c>
    </row>
    <row r="31" spans="3:3" x14ac:dyDescent="0.3">
      <c r="C31" t="e">
        <f ca="1">SUMAR.SI.CONJUNTO(Registro_Actividades!J:J,Registro_Actividades!F:F,B31,Registro_Actividades!B:B,A31)</f>
        <v>#NAME?</v>
      </c>
    </row>
    <row r="32" spans="3:3" x14ac:dyDescent="0.3">
      <c r="C32" t="e">
        <f ca="1">SUMAR.SI.CONJUNTO(Registro_Actividades!J:J,Registro_Actividades!F:F,B32,Registro_Actividades!B:B,A32)</f>
        <v>#NAME?</v>
      </c>
    </row>
    <row r="33" spans="3:3" x14ac:dyDescent="0.3">
      <c r="C33" t="e">
        <f ca="1">SUMAR.SI.CONJUNTO(Registro_Actividades!J:J,Registro_Actividades!F:F,B33,Registro_Actividades!B:B,A33)</f>
        <v>#NAME?</v>
      </c>
    </row>
    <row r="34" spans="3:3" x14ac:dyDescent="0.3">
      <c r="C34" t="e">
        <f ca="1">SUMAR.SI.CONJUNTO(Registro_Actividades!J:J,Registro_Actividades!F:F,B34,Registro_Actividades!B:B,A34)</f>
        <v>#NAME?</v>
      </c>
    </row>
    <row r="35" spans="3:3" x14ac:dyDescent="0.3">
      <c r="C35" t="e">
        <f ca="1">SUMAR.SI.CONJUNTO(Registro_Actividades!J:J,Registro_Actividades!F:F,B35,Registro_Actividades!B:B,A35)</f>
        <v>#NAME?</v>
      </c>
    </row>
    <row r="36" spans="3:3" x14ac:dyDescent="0.3">
      <c r="C36" t="e">
        <f ca="1">SUMAR.SI.CONJUNTO(Registro_Actividades!J:J,Registro_Actividades!F:F,B36,Registro_Actividades!B:B,A36)</f>
        <v>#NAME?</v>
      </c>
    </row>
    <row r="37" spans="3:3" x14ac:dyDescent="0.3">
      <c r="C37" t="e">
        <f ca="1">SUMAR.SI.CONJUNTO(Registro_Actividades!J:J,Registro_Actividades!F:F,B37,Registro_Actividades!B:B,A37)</f>
        <v>#NAME?</v>
      </c>
    </row>
    <row r="38" spans="3:3" x14ac:dyDescent="0.3">
      <c r="C38" t="e">
        <f ca="1">SUMAR.SI.CONJUNTO(Registro_Actividades!J:J,Registro_Actividades!F:F,B38,Registro_Actividades!B:B,A38)</f>
        <v>#NAME?</v>
      </c>
    </row>
    <row r="39" spans="3:3" x14ac:dyDescent="0.3">
      <c r="C39" t="e">
        <f ca="1">SUMAR.SI.CONJUNTO(Registro_Actividades!J:J,Registro_Actividades!F:F,B39,Registro_Actividades!B:B,A39)</f>
        <v>#NAME?</v>
      </c>
    </row>
    <row r="40" spans="3:3" x14ac:dyDescent="0.3">
      <c r="C40" t="e">
        <f ca="1">SUMAR.SI.CONJUNTO(Registro_Actividades!J:J,Registro_Actividades!F:F,B40,Registro_Actividades!B:B,A40)</f>
        <v>#NAME?</v>
      </c>
    </row>
    <row r="41" spans="3:3" x14ac:dyDescent="0.3">
      <c r="C41" t="e">
        <f ca="1">SUMAR.SI.CONJUNTO(Registro_Actividades!J:J,Registro_Actividades!F:F,B41,Registro_Actividades!B:B,A41)</f>
        <v>#NAME?</v>
      </c>
    </row>
    <row r="42" spans="3:3" x14ac:dyDescent="0.3">
      <c r="C42" t="e">
        <f ca="1">SUMAR.SI.CONJUNTO(Registro_Actividades!J:J,Registro_Actividades!F:F,B42,Registro_Actividades!B:B,A42)</f>
        <v>#NAME?</v>
      </c>
    </row>
    <row r="43" spans="3:3" x14ac:dyDescent="0.3">
      <c r="C43" t="e">
        <f ca="1">SUMAR.SI.CONJUNTO(Registro_Actividades!J:J,Registro_Actividades!F:F,B43,Registro_Actividades!B:B,A43)</f>
        <v>#NAME?</v>
      </c>
    </row>
    <row r="44" spans="3:3" x14ac:dyDescent="0.3">
      <c r="C44" t="e">
        <f ca="1">SUMAR.SI.CONJUNTO(Registro_Actividades!J:J,Registro_Actividades!F:F,B44,Registro_Actividades!B:B,A44)</f>
        <v>#NAME?</v>
      </c>
    </row>
    <row r="45" spans="3:3" x14ac:dyDescent="0.3">
      <c r="C45" t="e">
        <f ca="1">SUMAR.SI.CONJUNTO(Registro_Actividades!J:J,Registro_Actividades!F:F,B45,Registro_Actividades!B:B,A45)</f>
        <v>#NAME?</v>
      </c>
    </row>
    <row r="46" spans="3:3" x14ac:dyDescent="0.3">
      <c r="C46" t="e">
        <f ca="1">SUMAR.SI.CONJUNTO(Registro_Actividades!J:J,Registro_Actividades!F:F,B46,Registro_Actividades!B:B,A46)</f>
        <v>#NAME?</v>
      </c>
    </row>
    <row r="47" spans="3:3" x14ac:dyDescent="0.3">
      <c r="C47" t="e">
        <f ca="1">SUMAR.SI.CONJUNTO(Registro_Actividades!J:J,Registro_Actividades!F:F,B47,Registro_Actividades!B:B,A47)</f>
        <v>#NAME?</v>
      </c>
    </row>
    <row r="48" spans="3:3" x14ac:dyDescent="0.3">
      <c r="C48" t="e">
        <f ca="1">SUMAR.SI.CONJUNTO(Registro_Actividades!J:J,Registro_Actividades!F:F,B48,Registro_Actividades!B:B,A48)</f>
        <v>#NAME?</v>
      </c>
    </row>
    <row r="49" spans="3:3" x14ac:dyDescent="0.3">
      <c r="C49" t="e">
        <f ca="1">SUMAR.SI.CONJUNTO(Registro_Actividades!J:J,Registro_Actividades!F:F,B49,Registro_Actividades!B:B,A49)</f>
        <v>#NAME?</v>
      </c>
    </row>
    <row r="50" spans="3:3" x14ac:dyDescent="0.3">
      <c r="C50" t="e">
        <f ca="1">SUMAR.SI.CONJUNTO(Registro_Actividades!J:J,Registro_Actividades!F:F,B50,Registro_Actividades!B:B,A50)</f>
        <v>#NAME?</v>
      </c>
    </row>
    <row r="51" spans="3:3" x14ac:dyDescent="0.3">
      <c r="C51" t="e">
        <f ca="1">SUMAR.SI.CONJUNTO(Registro_Actividades!J:J,Registro_Actividades!F:F,B51,Registro_Actividades!B:B,A51)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Registro_Actividades</vt:lpstr>
      <vt:lpstr>Control_Actividades</vt:lpstr>
      <vt:lpstr>Resumen_Semanal</vt:lpstr>
      <vt:lpstr>RESUMEN PERSONAL</vt:lpstr>
      <vt:lpstr>Resumen_Lotes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Castellanos</cp:lastModifiedBy>
  <dcterms:created xsi:type="dcterms:W3CDTF">2026-03-02T00:24:36Z</dcterms:created>
  <dcterms:modified xsi:type="dcterms:W3CDTF">2026-04-15T22:28:11Z</dcterms:modified>
</cp:coreProperties>
</file>